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Εγγραφα\data analyst portfolio\Absenteism Analysis\Excel\"/>
    </mc:Choice>
  </mc:AlternateContent>
  <xr:revisionPtr revIDLastSave="0" documentId="13_ncr:1_{46EC1E03-81B1-4796-949B-D080337AC98A}" xr6:coauthVersionLast="47" xr6:coauthVersionMax="47" xr10:uidLastSave="{00000000-0000-0000-0000-000000000000}"/>
  <bookViews>
    <workbookView xWindow="-108" yWindow="-108" windowWidth="23256" windowHeight="12456" firstSheet="2" activeTab="5" xr2:uid="{00000000-000D-0000-FFFF-FFFF00000000}"/>
  </bookViews>
  <sheets>
    <sheet name="README" sheetId="3" r:id="rId1"/>
    <sheet name="Raw_Data" sheetId="5" r:id="rId2"/>
    <sheet name="Data_Preparation" sheetId="4" r:id="rId3"/>
    <sheet name="Pivot_Analysis" sheetId="6" r:id="rId4"/>
    <sheet name="KPI_Summary" sheetId="7" r:id="rId5"/>
    <sheet name="Dashboard" sheetId="8" r:id="rId6"/>
    <sheet name="Insights_Recommendations" sheetId="9" r:id="rId7"/>
    <sheet name="Exercises" sheetId="2" state="hidden" r:id="rId8"/>
  </sheets>
  <definedNames>
    <definedName name="Αναλυτής_Age_Group">#N/A</definedName>
    <definedName name="Αναλυτής_BMI_Category">#N/A</definedName>
    <definedName name="Αναλυτής_Distance_Band">#N/A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7" l="1"/>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B5" i="7"/>
  <c r="G2" i="8" s="1"/>
  <c r="B4" i="7"/>
  <c r="D2" i="8" s="1"/>
  <c r="B3" i="7"/>
  <c r="B2" i="7"/>
  <c r="A2" i="8" s="1"/>
  <c r="Z385" i="4"/>
  <c r="Z386" i="4"/>
  <c r="Z387" i="4"/>
  <c r="Z388" i="4"/>
  <c r="Z389" i="4"/>
  <c r="Z390" i="4"/>
  <c r="Z391" i="4"/>
  <c r="Z392" i="4"/>
  <c r="Z393" i="4"/>
  <c r="Z394" i="4"/>
  <c r="Z395" i="4"/>
  <c r="Z396" i="4"/>
  <c r="Z397" i="4"/>
  <c r="Z398" i="4"/>
  <c r="Z399" i="4"/>
  <c r="Z400" i="4"/>
  <c r="Z401" i="4"/>
  <c r="Z402" i="4"/>
  <c r="Z403" i="4"/>
  <c r="Z452" i="4"/>
  <c r="Z453" i="4"/>
  <c r="Z454" i="4"/>
  <c r="Z455" i="4"/>
  <c r="Z456" i="4"/>
  <c r="Z457" i="4"/>
  <c r="Z458" i="4"/>
  <c r="Z459" i="4"/>
  <c r="Z460" i="4"/>
  <c r="Z461" i="4"/>
  <c r="Z462" i="4"/>
  <c r="Z463" i="4"/>
  <c r="Z464" i="4"/>
  <c r="Z465" i="4"/>
  <c r="Z466" i="4"/>
  <c r="Z467" i="4"/>
  <c r="Z468" i="4"/>
  <c r="Z469" i="4"/>
  <c r="Z470" i="4"/>
  <c r="Z471" i="4"/>
  <c r="Z472" i="4"/>
  <c r="Z506" i="4"/>
  <c r="Z507" i="4"/>
  <c r="Z508" i="4"/>
  <c r="Z509" i="4"/>
  <c r="Z510" i="4"/>
  <c r="Z511" i="4"/>
  <c r="Z512" i="4"/>
  <c r="Z513" i="4"/>
  <c r="Z514" i="4"/>
  <c r="Z515" i="4"/>
  <c r="Z516" i="4"/>
  <c r="Z517" i="4"/>
  <c r="Z518" i="4"/>
  <c r="Z519" i="4"/>
  <c r="Z520" i="4"/>
  <c r="Z521" i="4"/>
  <c r="Z522" i="4"/>
  <c r="Z523" i="4"/>
  <c r="Z524" i="4"/>
  <c r="Z525" i="4"/>
  <c r="Z526" i="4"/>
  <c r="Z527" i="4"/>
  <c r="Z559" i="4"/>
  <c r="Z560" i="4"/>
  <c r="Z561" i="4"/>
  <c r="Z562" i="4"/>
  <c r="Z741" i="4"/>
  <c r="Z563" i="4"/>
  <c r="Z564" i="4"/>
  <c r="Z565" i="4"/>
  <c r="Z566" i="4"/>
  <c r="Z567" i="4"/>
  <c r="Z568" i="4"/>
  <c r="Z569" i="4"/>
  <c r="Z570" i="4"/>
  <c r="Z571" i="4"/>
  <c r="Z572" i="4"/>
  <c r="Z573" i="4"/>
  <c r="Z574" i="4"/>
  <c r="Z575" i="4"/>
  <c r="Z629" i="4"/>
  <c r="Z630" i="4"/>
  <c r="Z631" i="4"/>
  <c r="Z632" i="4"/>
  <c r="Z633" i="4"/>
  <c r="Z634" i="4"/>
  <c r="Z635" i="4"/>
  <c r="Z636" i="4"/>
  <c r="Z637" i="4"/>
  <c r="Z638" i="4"/>
  <c r="Z639" i="4"/>
  <c r="Z640" i="4"/>
  <c r="Z641" i="4"/>
  <c r="Z642" i="4"/>
  <c r="Z643" i="4"/>
  <c r="Z644" i="4"/>
  <c r="Z645" i="4"/>
  <c r="Z646" i="4"/>
  <c r="Z692" i="4"/>
  <c r="Z693" i="4"/>
  <c r="Z694" i="4"/>
  <c r="Z695" i="4"/>
  <c r="Z696" i="4"/>
  <c r="Z697" i="4"/>
  <c r="Z698" i="4"/>
  <c r="Z699" i="4"/>
  <c r="Z700" i="4"/>
  <c r="Z701" i="4"/>
  <c r="Z702" i="4"/>
  <c r="Z703" i="4"/>
  <c r="Z704" i="4"/>
  <c r="Z705" i="4"/>
  <c r="Z706" i="4"/>
  <c r="Z5" i="4"/>
  <c r="Z6" i="4"/>
  <c r="Z7" i="4"/>
  <c r="Z8" i="4"/>
  <c r="Z9" i="4"/>
  <c r="Z10" i="4"/>
  <c r="Z11" i="4"/>
  <c r="Z12" i="4"/>
  <c r="Z13" i="4"/>
  <c r="Z14" i="4"/>
  <c r="Z15" i="4"/>
  <c r="Z16" i="4"/>
  <c r="Z17" i="4"/>
  <c r="Z18" i="4"/>
  <c r="Z19" i="4"/>
  <c r="Z20" i="4"/>
  <c r="Z21" i="4"/>
  <c r="Z22" i="4"/>
  <c r="Z23" i="4"/>
  <c r="Z24" i="4"/>
  <c r="Z25" i="4"/>
  <c r="Z26" i="4"/>
  <c r="Z27" i="4"/>
  <c r="Z28" i="4"/>
  <c r="Z55" i="4"/>
  <c r="Z56" i="4"/>
  <c r="Z57" i="4"/>
  <c r="Z58" i="4"/>
  <c r="Z59" i="4"/>
  <c r="Z60" i="4"/>
  <c r="Z61" i="4"/>
  <c r="Z62" i="4"/>
  <c r="Z63" i="4"/>
  <c r="Z64" i="4"/>
  <c r="Z65" i="4"/>
  <c r="Z66" i="4"/>
  <c r="Z67" i="4"/>
  <c r="Z68" i="4"/>
  <c r="Z69" i="4"/>
  <c r="Z70" i="4"/>
  <c r="Z71" i="4"/>
  <c r="Z72"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214" i="4"/>
  <c r="Z215" i="4"/>
  <c r="Z216" i="4"/>
  <c r="Z217" i="4"/>
  <c r="Z218" i="4"/>
  <c r="Z219" i="4"/>
  <c r="Z220" i="4"/>
  <c r="Z221" i="4"/>
  <c r="Z222" i="4"/>
  <c r="Z223" i="4"/>
  <c r="Z224" i="4"/>
  <c r="Z225" i="4"/>
  <c r="Z226" i="4"/>
  <c r="Z227" i="4"/>
  <c r="Z228" i="4"/>
  <c r="Z229" i="4"/>
  <c r="Z230" i="4"/>
  <c r="Z231" i="4"/>
  <c r="Z232" i="4"/>
  <c r="Z233" i="4"/>
  <c r="Z267" i="4"/>
  <c r="Z268" i="4"/>
  <c r="Z269" i="4"/>
  <c r="Z270" i="4"/>
  <c r="Z271" i="4"/>
  <c r="Z272" i="4"/>
  <c r="Z273" i="4"/>
  <c r="Z274" i="4"/>
  <c r="Z275" i="4"/>
  <c r="Z276" i="4"/>
  <c r="Z277" i="4"/>
  <c r="Z278" i="4"/>
  <c r="Z279" i="4"/>
  <c r="Z280" i="4"/>
  <c r="Z281" i="4"/>
  <c r="Z282" i="4"/>
  <c r="Z331" i="4"/>
  <c r="Z332" i="4"/>
  <c r="Z333" i="4"/>
  <c r="Z334" i="4"/>
  <c r="Z335" i="4"/>
  <c r="Z336" i="4"/>
  <c r="Z337" i="4"/>
  <c r="Z338" i="4"/>
  <c r="Z339" i="4"/>
  <c r="Z340" i="4"/>
  <c r="Z341" i="4"/>
  <c r="Z342" i="4"/>
  <c r="Z343" i="4"/>
  <c r="Z344" i="4"/>
  <c r="Z345" i="4"/>
  <c r="Z346" i="4"/>
  <c r="Z404" i="4"/>
  <c r="Z405" i="4"/>
  <c r="Z406" i="4"/>
  <c r="Z407" i="4"/>
  <c r="Z408" i="4"/>
  <c r="Z409" i="4"/>
  <c r="Z410" i="4"/>
  <c r="Z411" i="4"/>
  <c r="Z412" i="4"/>
  <c r="Z413" i="4"/>
  <c r="Z414" i="4"/>
  <c r="Z415" i="4"/>
  <c r="Z416" i="4"/>
  <c r="Z417" i="4"/>
  <c r="Z418" i="4"/>
  <c r="Z419" i="4"/>
  <c r="Z473" i="4"/>
  <c r="Z474" i="4"/>
  <c r="Z475" i="4"/>
  <c r="Z476" i="4"/>
  <c r="Z477" i="4"/>
  <c r="Z478" i="4"/>
  <c r="Z479" i="4"/>
  <c r="Z480" i="4"/>
  <c r="Z481" i="4"/>
  <c r="Z482" i="4"/>
  <c r="Z483" i="4"/>
  <c r="Z484" i="4"/>
  <c r="Z485" i="4"/>
  <c r="Z486" i="4"/>
  <c r="Z487" i="4"/>
  <c r="Z488" i="4"/>
  <c r="Z489" i="4"/>
  <c r="Z490" i="4"/>
  <c r="Z528" i="4"/>
  <c r="Z529" i="4"/>
  <c r="Z530" i="4"/>
  <c r="Z531" i="4"/>
  <c r="Z532" i="4"/>
  <c r="Z533" i="4"/>
  <c r="Z534" i="4"/>
  <c r="Z535" i="4"/>
  <c r="Z536" i="4"/>
  <c r="Z537" i="4"/>
  <c r="Z538" i="4"/>
  <c r="Z539" i="4"/>
  <c r="Z540" i="4"/>
  <c r="Z541" i="4"/>
  <c r="Z542" i="4"/>
  <c r="Z543" i="4"/>
  <c r="Z544" i="4"/>
  <c r="Z545" i="4"/>
  <c r="Z546"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47" i="4"/>
  <c r="Z648" i="4"/>
  <c r="Z649" i="4"/>
  <c r="Z650" i="4"/>
  <c r="Z651" i="4"/>
  <c r="Z652" i="4"/>
  <c r="Z653" i="4"/>
  <c r="Z654" i="4"/>
  <c r="Z655" i="4"/>
  <c r="Z656" i="4"/>
  <c r="Z657" i="4"/>
  <c r="Z658" i="4"/>
  <c r="Z659" i="4"/>
  <c r="Z660" i="4"/>
  <c r="Z661" i="4"/>
  <c r="Z662" i="4"/>
  <c r="Z663" i="4"/>
  <c r="Z664" i="4"/>
  <c r="Z665" i="4"/>
  <c r="Z666" i="4"/>
  <c r="Z667" i="4"/>
  <c r="Z668" i="4"/>
  <c r="Z707" i="4"/>
  <c r="Z708" i="4"/>
  <c r="Z709" i="4"/>
  <c r="Z710" i="4"/>
  <c r="Z711" i="4"/>
  <c r="Z712" i="4"/>
  <c r="Z713" i="4"/>
  <c r="Z714" i="4"/>
  <c r="Z715" i="4"/>
  <c r="Z716" i="4"/>
  <c r="Z717" i="4"/>
  <c r="Z718" i="4"/>
  <c r="Z719" i="4"/>
  <c r="Z720" i="4"/>
  <c r="Z721" i="4"/>
  <c r="Z722" i="4"/>
  <c r="Z723" i="4"/>
  <c r="Z724" i="4"/>
  <c r="Z725" i="4"/>
  <c r="Z29" i="4"/>
  <c r="Z30" i="4"/>
  <c r="Z31" i="4"/>
  <c r="Z32" i="4"/>
  <c r="Z33" i="4"/>
  <c r="Z34" i="4"/>
  <c r="Z35" i="4"/>
  <c r="Z36" i="4"/>
  <c r="Z37" i="4"/>
  <c r="Z38" i="4"/>
  <c r="Z39" i="4"/>
  <c r="Z73" i="4"/>
  <c r="Z74" i="4"/>
  <c r="Z75" i="4"/>
  <c r="Z76" i="4"/>
  <c r="Z77" i="4"/>
  <c r="Z78" i="4"/>
  <c r="Z79" i="4"/>
  <c r="Z80" i="4"/>
  <c r="Z81" i="4"/>
  <c r="Z82" i="4"/>
  <c r="Z83" i="4"/>
  <c r="Z84" i="4"/>
  <c r="Z85" i="4"/>
  <c r="Z86" i="4"/>
  <c r="Z87" i="4"/>
  <c r="Z88" i="4"/>
  <c r="Z89" i="4"/>
  <c r="Z90" i="4"/>
  <c r="Z91" i="4"/>
  <c r="Z92" i="4"/>
  <c r="Z93" i="4"/>
  <c r="Z156" i="4"/>
  <c r="Z157" i="4"/>
  <c r="Z158" i="4"/>
  <c r="Z159" i="4"/>
  <c r="Z160" i="4"/>
  <c r="Z161" i="4"/>
  <c r="Z162" i="4"/>
  <c r="Z163" i="4"/>
  <c r="Z164" i="4"/>
  <c r="Z165" i="4"/>
  <c r="Z166" i="4"/>
  <c r="Z167" i="4"/>
  <c r="Z168" i="4"/>
  <c r="Z169" i="4"/>
  <c r="Z170" i="4"/>
  <c r="Z171" i="4"/>
  <c r="Z172" i="4"/>
  <c r="Z173" i="4"/>
  <c r="Z174" i="4"/>
  <c r="Z175" i="4"/>
  <c r="Z176" i="4"/>
  <c r="Z177" i="4"/>
  <c r="Z234" i="4"/>
  <c r="Z235" i="4"/>
  <c r="Z236" i="4"/>
  <c r="Z237" i="4"/>
  <c r="Z238" i="4"/>
  <c r="Z239" i="4"/>
  <c r="Z240" i="4"/>
  <c r="Z241" i="4"/>
  <c r="Z242" i="4"/>
  <c r="Z243" i="4"/>
  <c r="Z244" i="4"/>
  <c r="Z245" i="4"/>
  <c r="Z246" i="4"/>
  <c r="Z283" i="4"/>
  <c r="Z284" i="4"/>
  <c r="Z285" i="4"/>
  <c r="Z286" i="4"/>
  <c r="Z287" i="4"/>
  <c r="Z288" i="4"/>
  <c r="Z289" i="4"/>
  <c r="Z290" i="4"/>
  <c r="Z291" i="4"/>
  <c r="Z292" i="4"/>
  <c r="Z293" i="4"/>
  <c r="Z294" i="4"/>
  <c r="Z295" i="4"/>
  <c r="Z296" i="4"/>
  <c r="Z297" i="4"/>
  <c r="Z298" i="4"/>
  <c r="Z347" i="4"/>
  <c r="Z348" i="4"/>
  <c r="Z349" i="4"/>
  <c r="Z350" i="4"/>
  <c r="Z351" i="4"/>
  <c r="Z352" i="4"/>
  <c r="Z353" i="4"/>
  <c r="Z354" i="4"/>
  <c r="Z355" i="4"/>
  <c r="Z356" i="4"/>
  <c r="Z357" i="4"/>
  <c r="Z358" i="4"/>
  <c r="Z359" i="4"/>
  <c r="Z360" i="4"/>
  <c r="Z361" i="4"/>
  <c r="Z362" i="4"/>
  <c r="Z363" i="4"/>
  <c r="Z364" i="4"/>
  <c r="Z365" i="4"/>
  <c r="Z420" i="4"/>
  <c r="Z421" i="4"/>
  <c r="Z422" i="4"/>
  <c r="Z423" i="4"/>
  <c r="Z424" i="4"/>
  <c r="Z425" i="4"/>
  <c r="Z426" i="4"/>
  <c r="Z427" i="4"/>
  <c r="Z428" i="4"/>
  <c r="Z429" i="4"/>
  <c r="Z430" i="4"/>
  <c r="Z431" i="4"/>
  <c r="Z432" i="4"/>
  <c r="Z433" i="4"/>
  <c r="Z434" i="4"/>
  <c r="Z435" i="4"/>
  <c r="Z436" i="4"/>
  <c r="Z437" i="4"/>
  <c r="Z438" i="4"/>
  <c r="Z439" i="4"/>
  <c r="Z491" i="4"/>
  <c r="Z492" i="4"/>
  <c r="Z493" i="4"/>
  <c r="Z494" i="4"/>
  <c r="Z495" i="4"/>
  <c r="Z496" i="4"/>
  <c r="Z497" i="4"/>
  <c r="Z498" i="4"/>
  <c r="Z499" i="4"/>
  <c r="Z500" i="4"/>
  <c r="Z501" i="4"/>
  <c r="Z502" i="4"/>
  <c r="Z503" i="4"/>
  <c r="Z504" i="4"/>
  <c r="Z505" i="4"/>
  <c r="Z547" i="4"/>
  <c r="Z548" i="4"/>
  <c r="Z549" i="4"/>
  <c r="Z550" i="4"/>
  <c r="Z551" i="4"/>
  <c r="Z552" i="4"/>
  <c r="Z553" i="4"/>
  <c r="Z554" i="4"/>
  <c r="Z555" i="4"/>
  <c r="Z556" i="4"/>
  <c r="Z557" i="4"/>
  <c r="Z558"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69" i="4"/>
  <c r="Z670" i="4"/>
  <c r="Z671" i="4"/>
  <c r="Z672" i="4"/>
  <c r="Z673" i="4"/>
  <c r="Z674" i="4"/>
  <c r="Z675" i="4"/>
  <c r="Z676" i="4"/>
  <c r="Z677" i="4"/>
  <c r="Z678" i="4"/>
  <c r="Z679" i="4"/>
  <c r="Z680" i="4"/>
  <c r="Z681" i="4"/>
  <c r="Z682" i="4"/>
  <c r="Z683" i="4"/>
  <c r="Z684" i="4"/>
  <c r="Z685" i="4"/>
  <c r="Z686" i="4"/>
  <c r="Z687" i="4"/>
  <c r="Z688" i="4"/>
  <c r="Z689" i="4"/>
  <c r="Z690" i="4"/>
  <c r="Z691" i="4"/>
  <c r="Z726" i="4"/>
  <c r="Z727" i="4"/>
  <c r="Z728" i="4"/>
  <c r="Z729" i="4"/>
  <c r="Z730" i="4"/>
  <c r="Z731" i="4"/>
  <c r="Z732" i="4"/>
  <c r="Z733" i="4"/>
  <c r="Z734" i="4"/>
  <c r="Z735" i="4"/>
  <c r="Z736" i="4"/>
  <c r="Z737" i="4"/>
  <c r="Z738" i="4"/>
  <c r="Z739" i="4"/>
  <c r="Z740" i="4"/>
  <c r="Z40" i="4"/>
  <c r="Z41" i="4"/>
  <c r="Z42" i="4"/>
  <c r="Z43" i="4"/>
  <c r="Z44" i="4"/>
  <c r="Z45" i="4"/>
  <c r="Z46" i="4"/>
  <c r="Z47" i="4"/>
  <c r="Z48" i="4"/>
  <c r="Z49" i="4"/>
  <c r="Z50" i="4"/>
  <c r="Z51" i="4"/>
  <c r="Z52" i="4"/>
  <c r="Z53" i="4"/>
  <c r="Z54"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47" i="4"/>
  <c r="Z248" i="4"/>
  <c r="Z249" i="4"/>
  <c r="Z250" i="4"/>
  <c r="Z251" i="4"/>
  <c r="Z252" i="4"/>
  <c r="Z253" i="4"/>
  <c r="Z254" i="4"/>
  <c r="Z255" i="4"/>
  <c r="Z256" i="4"/>
  <c r="Z257" i="4"/>
  <c r="Z258" i="4"/>
  <c r="Z259" i="4"/>
  <c r="Z260" i="4"/>
  <c r="Z261" i="4"/>
  <c r="Z262" i="4"/>
  <c r="Z263" i="4"/>
  <c r="Z264" i="4"/>
  <c r="Z265" i="4"/>
  <c r="Z266"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66" i="4"/>
  <c r="Z367" i="4"/>
  <c r="Z368" i="4"/>
  <c r="Z369" i="4"/>
  <c r="Z370" i="4"/>
  <c r="Z371" i="4"/>
  <c r="Z372" i="4"/>
  <c r="Z373" i="4"/>
  <c r="Z374" i="4"/>
  <c r="Z375" i="4"/>
  <c r="Z376" i="4"/>
  <c r="Z377" i="4"/>
  <c r="Z378" i="4"/>
  <c r="Z379" i="4"/>
  <c r="Z380" i="4"/>
  <c r="Z381" i="4"/>
  <c r="Z382" i="4"/>
  <c r="Z383" i="4"/>
  <c r="Z384" i="4"/>
  <c r="Z440" i="4"/>
  <c r="Z441" i="4"/>
  <c r="Z442" i="4"/>
  <c r="Z443" i="4"/>
  <c r="Z444" i="4"/>
  <c r="Z445" i="4"/>
  <c r="Z446" i="4"/>
  <c r="Z447" i="4"/>
  <c r="Z448" i="4"/>
  <c r="Z449" i="4"/>
  <c r="Z450" i="4"/>
  <c r="Z451" i="4"/>
  <c r="Z2" i="4"/>
  <c r="Z3" i="4"/>
  <c r="Z4" i="4"/>
  <c r="Y385" i="4"/>
  <c r="Y386" i="4"/>
  <c r="Y387" i="4"/>
  <c r="Y388" i="4"/>
  <c r="Y389" i="4"/>
  <c r="Y390" i="4"/>
  <c r="Y391" i="4"/>
  <c r="Y392" i="4"/>
  <c r="Y393" i="4"/>
  <c r="Y394" i="4"/>
  <c r="Y395" i="4"/>
  <c r="Y396" i="4"/>
  <c r="Y397" i="4"/>
  <c r="Y398" i="4"/>
  <c r="Y399" i="4"/>
  <c r="Y400" i="4"/>
  <c r="Y401" i="4"/>
  <c r="Y402" i="4"/>
  <c r="Y403" i="4"/>
  <c r="Y452" i="4"/>
  <c r="Y453" i="4"/>
  <c r="Y454" i="4"/>
  <c r="Y455" i="4"/>
  <c r="Y456" i="4"/>
  <c r="Y457" i="4"/>
  <c r="Y458" i="4"/>
  <c r="Y459" i="4"/>
  <c r="Y460" i="4"/>
  <c r="Y461" i="4"/>
  <c r="Y462" i="4"/>
  <c r="Y463" i="4"/>
  <c r="Y464" i="4"/>
  <c r="Y465" i="4"/>
  <c r="Y466" i="4"/>
  <c r="Y467" i="4"/>
  <c r="Y468" i="4"/>
  <c r="Y469" i="4"/>
  <c r="Y470" i="4"/>
  <c r="Y471" i="4"/>
  <c r="Y472" i="4"/>
  <c r="Y506" i="4"/>
  <c r="Y507" i="4"/>
  <c r="Y508" i="4"/>
  <c r="Y509" i="4"/>
  <c r="Y510" i="4"/>
  <c r="Y511" i="4"/>
  <c r="Y512" i="4"/>
  <c r="Y513" i="4"/>
  <c r="Y514" i="4"/>
  <c r="Y515" i="4"/>
  <c r="Y516" i="4"/>
  <c r="Y517" i="4"/>
  <c r="Y518" i="4"/>
  <c r="Y519" i="4"/>
  <c r="Y520" i="4"/>
  <c r="Y521" i="4"/>
  <c r="Y522" i="4"/>
  <c r="Y523" i="4"/>
  <c r="Y524" i="4"/>
  <c r="Y525" i="4"/>
  <c r="Y526" i="4"/>
  <c r="Y527" i="4"/>
  <c r="Y559" i="4"/>
  <c r="Y560" i="4"/>
  <c r="Y561" i="4"/>
  <c r="Y562" i="4"/>
  <c r="Y741" i="4"/>
  <c r="Y563" i="4"/>
  <c r="Y564" i="4"/>
  <c r="Y565" i="4"/>
  <c r="Y566" i="4"/>
  <c r="Y567" i="4"/>
  <c r="Y568" i="4"/>
  <c r="Y569" i="4"/>
  <c r="Y570" i="4"/>
  <c r="Y571" i="4"/>
  <c r="Y572" i="4"/>
  <c r="Y573" i="4"/>
  <c r="Y574" i="4"/>
  <c r="Y575" i="4"/>
  <c r="Y629" i="4"/>
  <c r="Y630" i="4"/>
  <c r="Y631" i="4"/>
  <c r="Y632" i="4"/>
  <c r="Y633" i="4"/>
  <c r="Y634" i="4"/>
  <c r="Y635" i="4"/>
  <c r="Y636" i="4"/>
  <c r="Y637" i="4"/>
  <c r="Y638" i="4"/>
  <c r="Y639" i="4"/>
  <c r="Y640" i="4"/>
  <c r="Y641" i="4"/>
  <c r="Y642" i="4"/>
  <c r="Y643" i="4"/>
  <c r="Y644" i="4"/>
  <c r="Y645" i="4"/>
  <c r="Y646" i="4"/>
  <c r="Y692" i="4"/>
  <c r="Y693" i="4"/>
  <c r="Y694" i="4"/>
  <c r="Y695" i="4"/>
  <c r="Y696" i="4"/>
  <c r="Y697" i="4"/>
  <c r="Y698" i="4"/>
  <c r="Y699" i="4"/>
  <c r="Y700" i="4"/>
  <c r="Y701" i="4"/>
  <c r="Y702" i="4"/>
  <c r="Y703" i="4"/>
  <c r="Y704" i="4"/>
  <c r="Y705" i="4"/>
  <c r="Y706" i="4"/>
  <c r="Y5" i="4"/>
  <c r="Y6" i="4"/>
  <c r="Y7" i="4"/>
  <c r="Y8" i="4"/>
  <c r="Y9" i="4"/>
  <c r="Y10" i="4"/>
  <c r="Y11" i="4"/>
  <c r="Y12" i="4"/>
  <c r="Y13" i="4"/>
  <c r="Y14" i="4"/>
  <c r="Y15" i="4"/>
  <c r="Y16" i="4"/>
  <c r="Y17" i="4"/>
  <c r="Y18" i="4"/>
  <c r="Y19" i="4"/>
  <c r="Y20" i="4"/>
  <c r="Y21" i="4"/>
  <c r="Y22" i="4"/>
  <c r="Y23" i="4"/>
  <c r="Y24" i="4"/>
  <c r="Y25" i="4"/>
  <c r="Y26" i="4"/>
  <c r="Y27" i="4"/>
  <c r="Y28" i="4"/>
  <c r="Y55" i="4"/>
  <c r="Y56" i="4"/>
  <c r="Y57" i="4"/>
  <c r="Y58" i="4"/>
  <c r="Y59" i="4"/>
  <c r="Y60" i="4"/>
  <c r="Y61" i="4"/>
  <c r="Y62" i="4"/>
  <c r="Y63" i="4"/>
  <c r="Y64" i="4"/>
  <c r="Y65" i="4"/>
  <c r="Y66" i="4"/>
  <c r="Y67" i="4"/>
  <c r="Y68" i="4"/>
  <c r="Y69" i="4"/>
  <c r="Y70" i="4"/>
  <c r="Y71" i="4"/>
  <c r="Y72"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214" i="4"/>
  <c r="Y215" i="4"/>
  <c r="Y216" i="4"/>
  <c r="Y217" i="4"/>
  <c r="Y218" i="4"/>
  <c r="Y219" i="4"/>
  <c r="Y220" i="4"/>
  <c r="Y221" i="4"/>
  <c r="Y222" i="4"/>
  <c r="Y223" i="4"/>
  <c r="Y224" i="4"/>
  <c r="Y225" i="4"/>
  <c r="Y226" i="4"/>
  <c r="Y227" i="4"/>
  <c r="Y228" i="4"/>
  <c r="Y229" i="4"/>
  <c r="Y230" i="4"/>
  <c r="Y231" i="4"/>
  <c r="Y232" i="4"/>
  <c r="Y233" i="4"/>
  <c r="Y267" i="4"/>
  <c r="Y268" i="4"/>
  <c r="Y269" i="4"/>
  <c r="Y270" i="4"/>
  <c r="Y271" i="4"/>
  <c r="Y272" i="4"/>
  <c r="Y273" i="4"/>
  <c r="Y274" i="4"/>
  <c r="Y275" i="4"/>
  <c r="Y276" i="4"/>
  <c r="Y277" i="4"/>
  <c r="Y278" i="4"/>
  <c r="Y279" i="4"/>
  <c r="Y280" i="4"/>
  <c r="Y281" i="4"/>
  <c r="Y282" i="4"/>
  <c r="Y331" i="4"/>
  <c r="Y332" i="4"/>
  <c r="Y333" i="4"/>
  <c r="Y334" i="4"/>
  <c r="Y335" i="4"/>
  <c r="Y336" i="4"/>
  <c r="Y337" i="4"/>
  <c r="Y338" i="4"/>
  <c r="Y339" i="4"/>
  <c r="Y340" i="4"/>
  <c r="Y341" i="4"/>
  <c r="Y342" i="4"/>
  <c r="Y343" i="4"/>
  <c r="Y344" i="4"/>
  <c r="Y345" i="4"/>
  <c r="Y346" i="4"/>
  <c r="Y404" i="4"/>
  <c r="Y405" i="4"/>
  <c r="Y406" i="4"/>
  <c r="Y407" i="4"/>
  <c r="Y408" i="4"/>
  <c r="Y409" i="4"/>
  <c r="Y410" i="4"/>
  <c r="Y411" i="4"/>
  <c r="Y412" i="4"/>
  <c r="Y413" i="4"/>
  <c r="Y414" i="4"/>
  <c r="Y415" i="4"/>
  <c r="Y416" i="4"/>
  <c r="Y417" i="4"/>
  <c r="Y418" i="4"/>
  <c r="Y419" i="4"/>
  <c r="Y473" i="4"/>
  <c r="Y474" i="4"/>
  <c r="Y475" i="4"/>
  <c r="Y476" i="4"/>
  <c r="Y477" i="4"/>
  <c r="Y478" i="4"/>
  <c r="Y479" i="4"/>
  <c r="Y480" i="4"/>
  <c r="Y481" i="4"/>
  <c r="Y482" i="4"/>
  <c r="Y483" i="4"/>
  <c r="Y484" i="4"/>
  <c r="Y485" i="4"/>
  <c r="Y486" i="4"/>
  <c r="Y487" i="4"/>
  <c r="Y488" i="4"/>
  <c r="Y489" i="4"/>
  <c r="Y490" i="4"/>
  <c r="Y528" i="4"/>
  <c r="Y529" i="4"/>
  <c r="Y530" i="4"/>
  <c r="Y531" i="4"/>
  <c r="Y532" i="4"/>
  <c r="Y533" i="4"/>
  <c r="Y534" i="4"/>
  <c r="Y535" i="4"/>
  <c r="Y536" i="4"/>
  <c r="Y537" i="4"/>
  <c r="Y538" i="4"/>
  <c r="Y539" i="4"/>
  <c r="Y540" i="4"/>
  <c r="Y541" i="4"/>
  <c r="Y542" i="4"/>
  <c r="Y543" i="4"/>
  <c r="Y544" i="4"/>
  <c r="Y545" i="4"/>
  <c r="Y546"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47" i="4"/>
  <c r="Y648" i="4"/>
  <c r="Y649" i="4"/>
  <c r="Y650" i="4"/>
  <c r="Y651" i="4"/>
  <c r="Y652" i="4"/>
  <c r="Y653" i="4"/>
  <c r="Y654" i="4"/>
  <c r="Y655" i="4"/>
  <c r="Y656" i="4"/>
  <c r="Y657" i="4"/>
  <c r="Y658" i="4"/>
  <c r="Y659" i="4"/>
  <c r="Y660" i="4"/>
  <c r="Y661" i="4"/>
  <c r="Y662" i="4"/>
  <c r="Y663" i="4"/>
  <c r="Y664" i="4"/>
  <c r="Y665" i="4"/>
  <c r="Y666" i="4"/>
  <c r="Y667" i="4"/>
  <c r="Y668" i="4"/>
  <c r="Y707" i="4"/>
  <c r="Y708" i="4"/>
  <c r="Y709" i="4"/>
  <c r="Y710" i="4"/>
  <c r="Y711" i="4"/>
  <c r="Y712" i="4"/>
  <c r="Y713" i="4"/>
  <c r="Y714" i="4"/>
  <c r="Y715" i="4"/>
  <c r="Y716" i="4"/>
  <c r="Y717" i="4"/>
  <c r="Y718" i="4"/>
  <c r="Y719" i="4"/>
  <c r="Y720" i="4"/>
  <c r="Y721" i="4"/>
  <c r="Y722" i="4"/>
  <c r="Y723" i="4"/>
  <c r="Y724" i="4"/>
  <c r="Y725" i="4"/>
  <c r="Y29" i="4"/>
  <c r="Y30" i="4"/>
  <c r="Y31" i="4"/>
  <c r="Y32" i="4"/>
  <c r="Y33" i="4"/>
  <c r="Y34" i="4"/>
  <c r="Y35" i="4"/>
  <c r="Y36" i="4"/>
  <c r="Y37" i="4"/>
  <c r="Y38" i="4"/>
  <c r="Y39" i="4"/>
  <c r="Y73" i="4"/>
  <c r="Y74" i="4"/>
  <c r="Y75" i="4"/>
  <c r="Y76" i="4"/>
  <c r="Y77" i="4"/>
  <c r="Y78" i="4"/>
  <c r="Y79" i="4"/>
  <c r="Y80" i="4"/>
  <c r="Y81" i="4"/>
  <c r="Y82" i="4"/>
  <c r="Y83" i="4"/>
  <c r="Y84" i="4"/>
  <c r="Y85" i="4"/>
  <c r="Y86" i="4"/>
  <c r="Y87" i="4"/>
  <c r="Y88" i="4"/>
  <c r="Y89" i="4"/>
  <c r="Y90" i="4"/>
  <c r="Y91" i="4"/>
  <c r="Y92" i="4"/>
  <c r="Y93" i="4"/>
  <c r="Y156" i="4"/>
  <c r="Y157" i="4"/>
  <c r="Y158" i="4"/>
  <c r="Y159" i="4"/>
  <c r="Y160" i="4"/>
  <c r="Y161" i="4"/>
  <c r="Y162" i="4"/>
  <c r="Y163" i="4"/>
  <c r="Y164" i="4"/>
  <c r="Y165" i="4"/>
  <c r="Y166" i="4"/>
  <c r="Y167" i="4"/>
  <c r="Y168" i="4"/>
  <c r="Y169" i="4"/>
  <c r="Y170" i="4"/>
  <c r="Y171" i="4"/>
  <c r="Y172" i="4"/>
  <c r="Y173" i="4"/>
  <c r="Y174" i="4"/>
  <c r="Y175" i="4"/>
  <c r="Y176" i="4"/>
  <c r="Y177" i="4"/>
  <c r="Y234" i="4"/>
  <c r="Y235" i="4"/>
  <c r="Y236" i="4"/>
  <c r="Y237" i="4"/>
  <c r="Y238" i="4"/>
  <c r="Y239" i="4"/>
  <c r="Y240" i="4"/>
  <c r="Y241" i="4"/>
  <c r="Y242" i="4"/>
  <c r="Y243" i="4"/>
  <c r="Y244" i="4"/>
  <c r="Y245" i="4"/>
  <c r="Y246" i="4"/>
  <c r="Y283" i="4"/>
  <c r="Y284" i="4"/>
  <c r="Y285" i="4"/>
  <c r="Y286" i="4"/>
  <c r="Y287" i="4"/>
  <c r="Y288" i="4"/>
  <c r="Y289" i="4"/>
  <c r="Y290" i="4"/>
  <c r="Y291" i="4"/>
  <c r="Y292" i="4"/>
  <c r="Y293" i="4"/>
  <c r="Y294" i="4"/>
  <c r="Y295" i="4"/>
  <c r="Y296" i="4"/>
  <c r="Y297" i="4"/>
  <c r="Y298" i="4"/>
  <c r="Y347" i="4"/>
  <c r="Y348" i="4"/>
  <c r="Y349" i="4"/>
  <c r="Y350" i="4"/>
  <c r="Y351" i="4"/>
  <c r="Y352" i="4"/>
  <c r="Y353" i="4"/>
  <c r="Y354" i="4"/>
  <c r="Y355" i="4"/>
  <c r="Y356" i="4"/>
  <c r="Y357" i="4"/>
  <c r="Y358" i="4"/>
  <c r="Y359" i="4"/>
  <c r="Y360" i="4"/>
  <c r="Y361" i="4"/>
  <c r="Y362" i="4"/>
  <c r="Y363" i="4"/>
  <c r="Y364" i="4"/>
  <c r="Y365" i="4"/>
  <c r="Y420" i="4"/>
  <c r="Y421" i="4"/>
  <c r="Y422" i="4"/>
  <c r="Y423" i="4"/>
  <c r="Y424" i="4"/>
  <c r="Y425" i="4"/>
  <c r="Y426" i="4"/>
  <c r="Y427" i="4"/>
  <c r="Y428" i="4"/>
  <c r="Y429" i="4"/>
  <c r="Y430" i="4"/>
  <c r="Y431" i="4"/>
  <c r="Y432" i="4"/>
  <c r="Y433" i="4"/>
  <c r="Y434" i="4"/>
  <c r="Y435" i="4"/>
  <c r="Y436" i="4"/>
  <c r="Y437" i="4"/>
  <c r="Y438" i="4"/>
  <c r="Y439" i="4"/>
  <c r="Y491" i="4"/>
  <c r="Y492" i="4"/>
  <c r="Y493" i="4"/>
  <c r="Y494" i="4"/>
  <c r="Y495" i="4"/>
  <c r="Y496" i="4"/>
  <c r="Y497" i="4"/>
  <c r="Y498" i="4"/>
  <c r="Y499" i="4"/>
  <c r="Y500" i="4"/>
  <c r="Y501" i="4"/>
  <c r="Y502" i="4"/>
  <c r="Y503" i="4"/>
  <c r="Y504" i="4"/>
  <c r="Y505" i="4"/>
  <c r="Y547" i="4"/>
  <c r="Y548" i="4"/>
  <c r="Y549" i="4"/>
  <c r="Y550" i="4"/>
  <c r="Y551" i="4"/>
  <c r="Y552" i="4"/>
  <c r="Y553" i="4"/>
  <c r="Y554" i="4"/>
  <c r="Y555" i="4"/>
  <c r="Y556" i="4"/>
  <c r="Y557" i="4"/>
  <c r="Y558"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69" i="4"/>
  <c r="Y670" i="4"/>
  <c r="Y671" i="4"/>
  <c r="Y672" i="4"/>
  <c r="Y673" i="4"/>
  <c r="Y674" i="4"/>
  <c r="Y675" i="4"/>
  <c r="Y676" i="4"/>
  <c r="Y677" i="4"/>
  <c r="Y678" i="4"/>
  <c r="Y679" i="4"/>
  <c r="Y680" i="4"/>
  <c r="Y681" i="4"/>
  <c r="Y682" i="4"/>
  <c r="Y683" i="4"/>
  <c r="Y684" i="4"/>
  <c r="Y685" i="4"/>
  <c r="Y686" i="4"/>
  <c r="Y687" i="4"/>
  <c r="Y688" i="4"/>
  <c r="Y689" i="4"/>
  <c r="Y690" i="4"/>
  <c r="Y691" i="4"/>
  <c r="Y726" i="4"/>
  <c r="Y727" i="4"/>
  <c r="Y728" i="4"/>
  <c r="Y729" i="4"/>
  <c r="Y730" i="4"/>
  <c r="Y731" i="4"/>
  <c r="Y732" i="4"/>
  <c r="Y733" i="4"/>
  <c r="Y734" i="4"/>
  <c r="Y735" i="4"/>
  <c r="Y736" i="4"/>
  <c r="Y737" i="4"/>
  <c r="Y738" i="4"/>
  <c r="Y739" i="4"/>
  <c r="Y740" i="4"/>
  <c r="Y40" i="4"/>
  <c r="Y41" i="4"/>
  <c r="Y42" i="4"/>
  <c r="Y43" i="4"/>
  <c r="Y44" i="4"/>
  <c r="Y45" i="4"/>
  <c r="Y46" i="4"/>
  <c r="Y47" i="4"/>
  <c r="Y48" i="4"/>
  <c r="Y49" i="4"/>
  <c r="Y50" i="4"/>
  <c r="Y51" i="4"/>
  <c r="Y52" i="4"/>
  <c r="Y53" i="4"/>
  <c r="Y54"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47" i="4"/>
  <c r="Y248" i="4"/>
  <c r="Y249" i="4"/>
  <c r="Y250" i="4"/>
  <c r="Y251" i="4"/>
  <c r="Y252" i="4"/>
  <c r="Y253" i="4"/>
  <c r="Y254" i="4"/>
  <c r="Y255" i="4"/>
  <c r="Y256" i="4"/>
  <c r="Y257" i="4"/>
  <c r="Y258" i="4"/>
  <c r="Y259" i="4"/>
  <c r="Y260" i="4"/>
  <c r="Y261" i="4"/>
  <c r="Y262" i="4"/>
  <c r="Y263" i="4"/>
  <c r="Y264" i="4"/>
  <c r="Y265" i="4"/>
  <c r="Y266"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66" i="4"/>
  <c r="Y367" i="4"/>
  <c r="Y368" i="4"/>
  <c r="Y369" i="4"/>
  <c r="Y370" i="4"/>
  <c r="Y371" i="4"/>
  <c r="Y372" i="4"/>
  <c r="Y373" i="4"/>
  <c r="Y374" i="4"/>
  <c r="Y375" i="4"/>
  <c r="Y376" i="4"/>
  <c r="Y377" i="4"/>
  <c r="Y378" i="4"/>
  <c r="Y379" i="4"/>
  <c r="Y380" i="4"/>
  <c r="Y381" i="4"/>
  <c r="Y382" i="4"/>
  <c r="Y383" i="4"/>
  <c r="Y384" i="4"/>
  <c r="Y440" i="4"/>
  <c r="Y441" i="4"/>
  <c r="Y442" i="4"/>
  <c r="Y443" i="4"/>
  <c r="Y444" i="4"/>
  <c r="Y445" i="4"/>
  <c r="Y446" i="4"/>
  <c r="Y447" i="4"/>
  <c r="Y448" i="4"/>
  <c r="Y449" i="4"/>
  <c r="Y450" i="4"/>
  <c r="Y451" i="4"/>
  <c r="Y2" i="4"/>
  <c r="Y3" i="4"/>
  <c r="Y4" i="4"/>
  <c r="X385" i="4"/>
  <c r="X386" i="4"/>
  <c r="X387" i="4"/>
  <c r="X388" i="4"/>
  <c r="X389" i="4"/>
  <c r="X390" i="4"/>
  <c r="X391" i="4"/>
  <c r="X392" i="4"/>
  <c r="X393" i="4"/>
  <c r="X394" i="4"/>
  <c r="X395" i="4"/>
  <c r="X396" i="4"/>
  <c r="X397" i="4"/>
  <c r="X398" i="4"/>
  <c r="X399" i="4"/>
  <c r="X400" i="4"/>
  <c r="X401" i="4"/>
  <c r="X402" i="4"/>
  <c r="X403" i="4"/>
  <c r="X452" i="4"/>
  <c r="X453" i="4"/>
  <c r="X454" i="4"/>
  <c r="X455" i="4"/>
  <c r="X456" i="4"/>
  <c r="X457" i="4"/>
  <c r="X458" i="4"/>
  <c r="X459" i="4"/>
  <c r="X460" i="4"/>
  <c r="X461" i="4"/>
  <c r="X462" i="4"/>
  <c r="X463" i="4"/>
  <c r="X464" i="4"/>
  <c r="X465" i="4"/>
  <c r="X466" i="4"/>
  <c r="X467" i="4"/>
  <c r="X468" i="4"/>
  <c r="X469" i="4"/>
  <c r="X470" i="4"/>
  <c r="X471" i="4"/>
  <c r="X472" i="4"/>
  <c r="X506" i="4"/>
  <c r="X507" i="4"/>
  <c r="X508" i="4"/>
  <c r="X509" i="4"/>
  <c r="X510" i="4"/>
  <c r="X511" i="4"/>
  <c r="X512" i="4"/>
  <c r="X513" i="4"/>
  <c r="X514" i="4"/>
  <c r="X515" i="4"/>
  <c r="X516" i="4"/>
  <c r="X517" i="4"/>
  <c r="X518" i="4"/>
  <c r="X519" i="4"/>
  <c r="X520" i="4"/>
  <c r="X521" i="4"/>
  <c r="X522" i="4"/>
  <c r="X523" i="4"/>
  <c r="X524" i="4"/>
  <c r="X525" i="4"/>
  <c r="X526" i="4"/>
  <c r="X527" i="4"/>
  <c r="X559" i="4"/>
  <c r="X560" i="4"/>
  <c r="X561" i="4"/>
  <c r="X562" i="4"/>
  <c r="X741" i="4"/>
  <c r="X563" i="4"/>
  <c r="X564" i="4"/>
  <c r="X565" i="4"/>
  <c r="X566" i="4"/>
  <c r="X567" i="4"/>
  <c r="X568" i="4"/>
  <c r="X569" i="4"/>
  <c r="X570" i="4"/>
  <c r="X571" i="4"/>
  <c r="X572" i="4"/>
  <c r="X573" i="4"/>
  <c r="X574" i="4"/>
  <c r="X575" i="4"/>
  <c r="X629" i="4"/>
  <c r="X630" i="4"/>
  <c r="X631" i="4"/>
  <c r="X632" i="4"/>
  <c r="X633" i="4"/>
  <c r="X634" i="4"/>
  <c r="X635" i="4"/>
  <c r="X636" i="4"/>
  <c r="X637" i="4"/>
  <c r="X638" i="4"/>
  <c r="X639" i="4"/>
  <c r="X640" i="4"/>
  <c r="X641" i="4"/>
  <c r="X642" i="4"/>
  <c r="X643" i="4"/>
  <c r="X644" i="4"/>
  <c r="X645" i="4"/>
  <c r="X646" i="4"/>
  <c r="X692" i="4"/>
  <c r="X693" i="4"/>
  <c r="X694" i="4"/>
  <c r="X695" i="4"/>
  <c r="X696" i="4"/>
  <c r="X697" i="4"/>
  <c r="X698" i="4"/>
  <c r="X699" i="4"/>
  <c r="X700" i="4"/>
  <c r="X701" i="4"/>
  <c r="X702" i="4"/>
  <c r="X703" i="4"/>
  <c r="X704" i="4"/>
  <c r="X705" i="4"/>
  <c r="X706" i="4"/>
  <c r="X5" i="4"/>
  <c r="X6" i="4"/>
  <c r="X7" i="4"/>
  <c r="X8" i="4"/>
  <c r="X9" i="4"/>
  <c r="X10" i="4"/>
  <c r="X11" i="4"/>
  <c r="X12" i="4"/>
  <c r="X13" i="4"/>
  <c r="X14" i="4"/>
  <c r="X15" i="4"/>
  <c r="X16" i="4"/>
  <c r="X17" i="4"/>
  <c r="X18" i="4"/>
  <c r="X19" i="4"/>
  <c r="X20" i="4"/>
  <c r="X21" i="4"/>
  <c r="X22" i="4"/>
  <c r="X23" i="4"/>
  <c r="X24" i="4"/>
  <c r="X25" i="4"/>
  <c r="X26" i="4"/>
  <c r="X27" i="4"/>
  <c r="X28" i="4"/>
  <c r="X55" i="4"/>
  <c r="X56" i="4"/>
  <c r="X57" i="4"/>
  <c r="X58" i="4"/>
  <c r="X59" i="4"/>
  <c r="X60" i="4"/>
  <c r="X61" i="4"/>
  <c r="X62" i="4"/>
  <c r="X63" i="4"/>
  <c r="X64" i="4"/>
  <c r="X65" i="4"/>
  <c r="X66" i="4"/>
  <c r="X67" i="4"/>
  <c r="X68" i="4"/>
  <c r="X69" i="4"/>
  <c r="X70" i="4"/>
  <c r="X71" i="4"/>
  <c r="X72"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214" i="4"/>
  <c r="X215" i="4"/>
  <c r="X216" i="4"/>
  <c r="X217" i="4"/>
  <c r="X218" i="4"/>
  <c r="X219" i="4"/>
  <c r="X220" i="4"/>
  <c r="X221" i="4"/>
  <c r="X222" i="4"/>
  <c r="X223" i="4"/>
  <c r="X224" i="4"/>
  <c r="X225" i="4"/>
  <c r="X226" i="4"/>
  <c r="X227" i="4"/>
  <c r="X228" i="4"/>
  <c r="X229" i="4"/>
  <c r="X230" i="4"/>
  <c r="X231" i="4"/>
  <c r="X232" i="4"/>
  <c r="X233" i="4"/>
  <c r="X267" i="4"/>
  <c r="X268" i="4"/>
  <c r="X269" i="4"/>
  <c r="X270" i="4"/>
  <c r="X271" i="4"/>
  <c r="X272" i="4"/>
  <c r="X273" i="4"/>
  <c r="X274" i="4"/>
  <c r="X275" i="4"/>
  <c r="X276" i="4"/>
  <c r="X277" i="4"/>
  <c r="X278" i="4"/>
  <c r="X279" i="4"/>
  <c r="X280" i="4"/>
  <c r="X281" i="4"/>
  <c r="X282" i="4"/>
  <c r="X331" i="4"/>
  <c r="X332" i="4"/>
  <c r="X333" i="4"/>
  <c r="X334" i="4"/>
  <c r="X335" i="4"/>
  <c r="X336" i="4"/>
  <c r="X337" i="4"/>
  <c r="X338" i="4"/>
  <c r="X339" i="4"/>
  <c r="X340" i="4"/>
  <c r="X341" i="4"/>
  <c r="X342" i="4"/>
  <c r="X343" i="4"/>
  <c r="X344" i="4"/>
  <c r="X345" i="4"/>
  <c r="X346" i="4"/>
  <c r="X404" i="4"/>
  <c r="X405" i="4"/>
  <c r="X406" i="4"/>
  <c r="X407" i="4"/>
  <c r="X408" i="4"/>
  <c r="X409" i="4"/>
  <c r="X410" i="4"/>
  <c r="X411" i="4"/>
  <c r="X412" i="4"/>
  <c r="X413" i="4"/>
  <c r="X414" i="4"/>
  <c r="X415" i="4"/>
  <c r="X416" i="4"/>
  <c r="X417" i="4"/>
  <c r="X418" i="4"/>
  <c r="X419" i="4"/>
  <c r="X473" i="4"/>
  <c r="X474" i="4"/>
  <c r="X475" i="4"/>
  <c r="X476" i="4"/>
  <c r="X477" i="4"/>
  <c r="X478" i="4"/>
  <c r="X479" i="4"/>
  <c r="X480" i="4"/>
  <c r="X481" i="4"/>
  <c r="X482" i="4"/>
  <c r="X483" i="4"/>
  <c r="X484" i="4"/>
  <c r="X485" i="4"/>
  <c r="X486" i="4"/>
  <c r="X487" i="4"/>
  <c r="X488" i="4"/>
  <c r="X489" i="4"/>
  <c r="X490" i="4"/>
  <c r="X528" i="4"/>
  <c r="X529" i="4"/>
  <c r="X530" i="4"/>
  <c r="X531" i="4"/>
  <c r="X532" i="4"/>
  <c r="X533" i="4"/>
  <c r="X534" i="4"/>
  <c r="X535" i="4"/>
  <c r="X536" i="4"/>
  <c r="X537" i="4"/>
  <c r="X538" i="4"/>
  <c r="X539" i="4"/>
  <c r="X540" i="4"/>
  <c r="X541" i="4"/>
  <c r="X542" i="4"/>
  <c r="X543" i="4"/>
  <c r="X544" i="4"/>
  <c r="X545" i="4"/>
  <c r="X546"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47" i="4"/>
  <c r="X648" i="4"/>
  <c r="X649" i="4"/>
  <c r="X650" i="4"/>
  <c r="X651" i="4"/>
  <c r="X652" i="4"/>
  <c r="X653" i="4"/>
  <c r="X654" i="4"/>
  <c r="X655" i="4"/>
  <c r="X656" i="4"/>
  <c r="X657" i="4"/>
  <c r="X658" i="4"/>
  <c r="X659" i="4"/>
  <c r="X660" i="4"/>
  <c r="X661" i="4"/>
  <c r="X662" i="4"/>
  <c r="X663" i="4"/>
  <c r="X664" i="4"/>
  <c r="X665" i="4"/>
  <c r="X666" i="4"/>
  <c r="X667" i="4"/>
  <c r="X668" i="4"/>
  <c r="X707" i="4"/>
  <c r="X708" i="4"/>
  <c r="X709" i="4"/>
  <c r="X710" i="4"/>
  <c r="X711" i="4"/>
  <c r="X712" i="4"/>
  <c r="X713" i="4"/>
  <c r="X714" i="4"/>
  <c r="X715" i="4"/>
  <c r="X716" i="4"/>
  <c r="X717" i="4"/>
  <c r="X718" i="4"/>
  <c r="X719" i="4"/>
  <c r="X720" i="4"/>
  <c r="X721" i="4"/>
  <c r="X722" i="4"/>
  <c r="X723" i="4"/>
  <c r="X724" i="4"/>
  <c r="X725" i="4"/>
  <c r="X29" i="4"/>
  <c r="X30" i="4"/>
  <c r="X31" i="4"/>
  <c r="X32" i="4"/>
  <c r="X33" i="4"/>
  <c r="X34" i="4"/>
  <c r="X35" i="4"/>
  <c r="X36" i="4"/>
  <c r="X37" i="4"/>
  <c r="X38" i="4"/>
  <c r="X39" i="4"/>
  <c r="X73" i="4"/>
  <c r="X74" i="4"/>
  <c r="X75" i="4"/>
  <c r="X76" i="4"/>
  <c r="X77" i="4"/>
  <c r="X78" i="4"/>
  <c r="X79" i="4"/>
  <c r="X80" i="4"/>
  <c r="X81" i="4"/>
  <c r="X82" i="4"/>
  <c r="X83" i="4"/>
  <c r="X84" i="4"/>
  <c r="X85" i="4"/>
  <c r="X86" i="4"/>
  <c r="X87" i="4"/>
  <c r="X88" i="4"/>
  <c r="X89" i="4"/>
  <c r="X90" i="4"/>
  <c r="X91" i="4"/>
  <c r="X92" i="4"/>
  <c r="X93" i="4"/>
  <c r="X156" i="4"/>
  <c r="X157" i="4"/>
  <c r="X158" i="4"/>
  <c r="X159" i="4"/>
  <c r="X160" i="4"/>
  <c r="X161" i="4"/>
  <c r="X162" i="4"/>
  <c r="X163" i="4"/>
  <c r="X164" i="4"/>
  <c r="X165" i="4"/>
  <c r="X166" i="4"/>
  <c r="X167" i="4"/>
  <c r="X168" i="4"/>
  <c r="X169" i="4"/>
  <c r="X170" i="4"/>
  <c r="X171" i="4"/>
  <c r="X172" i="4"/>
  <c r="X173" i="4"/>
  <c r="X174" i="4"/>
  <c r="X175" i="4"/>
  <c r="X176" i="4"/>
  <c r="X177" i="4"/>
  <c r="X234" i="4"/>
  <c r="X235" i="4"/>
  <c r="X236" i="4"/>
  <c r="X237" i="4"/>
  <c r="X238" i="4"/>
  <c r="X239" i="4"/>
  <c r="X240" i="4"/>
  <c r="X241" i="4"/>
  <c r="X242" i="4"/>
  <c r="X243" i="4"/>
  <c r="X244" i="4"/>
  <c r="X245" i="4"/>
  <c r="X246" i="4"/>
  <c r="X283" i="4"/>
  <c r="X284" i="4"/>
  <c r="X285" i="4"/>
  <c r="X286" i="4"/>
  <c r="X287" i="4"/>
  <c r="X288" i="4"/>
  <c r="X289" i="4"/>
  <c r="X290" i="4"/>
  <c r="X291" i="4"/>
  <c r="X292" i="4"/>
  <c r="X293" i="4"/>
  <c r="X294" i="4"/>
  <c r="X295" i="4"/>
  <c r="X296" i="4"/>
  <c r="X297" i="4"/>
  <c r="X298" i="4"/>
  <c r="X347" i="4"/>
  <c r="X348" i="4"/>
  <c r="X349" i="4"/>
  <c r="X350" i="4"/>
  <c r="X351" i="4"/>
  <c r="X352" i="4"/>
  <c r="X353" i="4"/>
  <c r="X354" i="4"/>
  <c r="X355" i="4"/>
  <c r="X356" i="4"/>
  <c r="X357" i="4"/>
  <c r="X358" i="4"/>
  <c r="X359" i="4"/>
  <c r="X360" i="4"/>
  <c r="X361" i="4"/>
  <c r="X362" i="4"/>
  <c r="X363" i="4"/>
  <c r="X364" i="4"/>
  <c r="X365" i="4"/>
  <c r="X420" i="4"/>
  <c r="X421" i="4"/>
  <c r="X422" i="4"/>
  <c r="X423" i="4"/>
  <c r="X424" i="4"/>
  <c r="X425" i="4"/>
  <c r="X426" i="4"/>
  <c r="X427" i="4"/>
  <c r="X428" i="4"/>
  <c r="X429" i="4"/>
  <c r="X430" i="4"/>
  <c r="X431" i="4"/>
  <c r="X432" i="4"/>
  <c r="X433" i="4"/>
  <c r="X434" i="4"/>
  <c r="X435" i="4"/>
  <c r="X436" i="4"/>
  <c r="X437" i="4"/>
  <c r="X438" i="4"/>
  <c r="X439" i="4"/>
  <c r="X491" i="4"/>
  <c r="X492" i="4"/>
  <c r="X493" i="4"/>
  <c r="X494" i="4"/>
  <c r="X495" i="4"/>
  <c r="X496" i="4"/>
  <c r="X497" i="4"/>
  <c r="X498" i="4"/>
  <c r="X499" i="4"/>
  <c r="X500" i="4"/>
  <c r="X501" i="4"/>
  <c r="X502" i="4"/>
  <c r="X503" i="4"/>
  <c r="X504" i="4"/>
  <c r="X505" i="4"/>
  <c r="X547" i="4"/>
  <c r="X548" i="4"/>
  <c r="X549" i="4"/>
  <c r="X550" i="4"/>
  <c r="X551" i="4"/>
  <c r="X552" i="4"/>
  <c r="X553" i="4"/>
  <c r="X554" i="4"/>
  <c r="X555" i="4"/>
  <c r="X556" i="4"/>
  <c r="X557" i="4"/>
  <c r="X558"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69" i="4"/>
  <c r="X670" i="4"/>
  <c r="X671" i="4"/>
  <c r="X672" i="4"/>
  <c r="X673" i="4"/>
  <c r="X674" i="4"/>
  <c r="X675" i="4"/>
  <c r="X676" i="4"/>
  <c r="X677" i="4"/>
  <c r="X678" i="4"/>
  <c r="X679" i="4"/>
  <c r="X680" i="4"/>
  <c r="X681" i="4"/>
  <c r="X682" i="4"/>
  <c r="X683" i="4"/>
  <c r="X684" i="4"/>
  <c r="X685" i="4"/>
  <c r="X686" i="4"/>
  <c r="X687" i="4"/>
  <c r="X688" i="4"/>
  <c r="X689" i="4"/>
  <c r="X690" i="4"/>
  <c r="X691" i="4"/>
  <c r="X726" i="4"/>
  <c r="X727" i="4"/>
  <c r="X728" i="4"/>
  <c r="X729" i="4"/>
  <c r="X730" i="4"/>
  <c r="X731" i="4"/>
  <c r="X732" i="4"/>
  <c r="X733" i="4"/>
  <c r="X734" i="4"/>
  <c r="X735" i="4"/>
  <c r="X736" i="4"/>
  <c r="X737" i="4"/>
  <c r="X738" i="4"/>
  <c r="X739" i="4"/>
  <c r="X740" i="4"/>
  <c r="X40" i="4"/>
  <c r="X41" i="4"/>
  <c r="X42" i="4"/>
  <c r="X43" i="4"/>
  <c r="X44" i="4"/>
  <c r="X45" i="4"/>
  <c r="X46" i="4"/>
  <c r="X47" i="4"/>
  <c r="X48" i="4"/>
  <c r="X49" i="4"/>
  <c r="X50" i="4"/>
  <c r="X51" i="4"/>
  <c r="X52" i="4"/>
  <c r="X53" i="4"/>
  <c r="X54"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47" i="4"/>
  <c r="X248" i="4"/>
  <c r="X249" i="4"/>
  <c r="X250" i="4"/>
  <c r="X251" i="4"/>
  <c r="X252" i="4"/>
  <c r="X253" i="4"/>
  <c r="X254" i="4"/>
  <c r="X255" i="4"/>
  <c r="X256" i="4"/>
  <c r="X257" i="4"/>
  <c r="X258" i="4"/>
  <c r="X259" i="4"/>
  <c r="X260" i="4"/>
  <c r="X261" i="4"/>
  <c r="X262" i="4"/>
  <c r="X263" i="4"/>
  <c r="X264" i="4"/>
  <c r="X265" i="4"/>
  <c r="X266"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66" i="4"/>
  <c r="X367" i="4"/>
  <c r="X368" i="4"/>
  <c r="X369" i="4"/>
  <c r="X370" i="4"/>
  <c r="X371" i="4"/>
  <c r="X372" i="4"/>
  <c r="X373" i="4"/>
  <c r="X374" i="4"/>
  <c r="X375" i="4"/>
  <c r="X376" i="4"/>
  <c r="X377" i="4"/>
  <c r="X378" i="4"/>
  <c r="X379" i="4"/>
  <c r="X380" i="4"/>
  <c r="X381" i="4"/>
  <c r="X382" i="4"/>
  <c r="X383" i="4"/>
  <c r="X384" i="4"/>
  <c r="X440" i="4"/>
  <c r="X441" i="4"/>
  <c r="X442" i="4"/>
  <c r="X443" i="4"/>
  <c r="X444" i="4"/>
  <c r="X445" i="4"/>
  <c r="X446" i="4"/>
  <c r="X447" i="4"/>
  <c r="X448" i="4"/>
  <c r="X449" i="4"/>
  <c r="X450" i="4"/>
  <c r="X451" i="4"/>
  <c r="X2" i="4"/>
  <c r="X3" i="4"/>
  <c r="X4" i="4"/>
  <c r="W385" i="4"/>
  <c r="W386" i="4"/>
  <c r="W387" i="4"/>
  <c r="W388" i="4"/>
  <c r="W389" i="4"/>
  <c r="W390" i="4"/>
  <c r="W391" i="4"/>
  <c r="W392" i="4"/>
  <c r="W393" i="4"/>
  <c r="W394" i="4"/>
  <c r="W395" i="4"/>
  <c r="W396" i="4"/>
  <c r="W397" i="4"/>
  <c r="W398" i="4"/>
  <c r="W399" i="4"/>
  <c r="W400" i="4"/>
  <c r="W401" i="4"/>
  <c r="W402" i="4"/>
  <c r="W403" i="4"/>
  <c r="W452" i="4"/>
  <c r="W453" i="4"/>
  <c r="W454" i="4"/>
  <c r="W455" i="4"/>
  <c r="W456" i="4"/>
  <c r="W457" i="4"/>
  <c r="W458" i="4"/>
  <c r="W459" i="4"/>
  <c r="W460" i="4"/>
  <c r="W461" i="4"/>
  <c r="W462" i="4"/>
  <c r="W463" i="4"/>
  <c r="W464" i="4"/>
  <c r="W465" i="4"/>
  <c r="W466" i="4"/>
  <c r="W467" i="4"/>
  <c r="W468" i="4"/>
  <c r="W469" i="4"/>
  <c r="W470" i="4"/>
  <c r="W471" i="4"/>
  <c r="W472" i="4"/>
  <c r="W506" i="4"/>
  <c r="W507" i="4"/>
  <c r="W508" i="4"/>
  <c r="W509" i="4"/>
  <c r="W510" i="4"/>
  <c r="W511" i="4"/>
  <c r="W512" i="4"/>
  <c r="W513" i="4"/>
  <c r="W514" i="4"/>
  <c r="W515" i="4"/>
  <c r="W516" i="4"/>
  <c r="W517" i="4"/>
  <c r="W518" i="4"/>
  <c r="W519" i="4"/>
  <c r="W520" i="4"/>
  <c r="W521" i="4"/>
  <c r="W522" i="4"/>
  <c r="W523" i="4"/>
  <c r="W524" i="4"/>
  <c r="W525" i="4"/>
  <c r="W526" i="4"/>
  <c r="W527" i="4"/>
  <c r="W559" i="4"/>
  <c r="W560" i="4"/>
  <c r="W561" i="4"/>
  <c r="W562" i="4"/>
  <c r="W741" i="4"/>
  <c r="W563" i="4"/>
  <c r="W564" i="4"/>
  <c r="W565" i="4"/>
  <c r="W566" i="4"/>
  <c r="W567" i="4"/>
  <c r="W568" i="4"/>
  <c r="W569" i="4"/>
  <c r="W570" i="4"/>
  <c r="W571" i="4"/>
  <c r="W572" i="4"/>
  <c r="W573" i="4"/>
  <c r="W574" i="4"/>
  <c r="W575" i="4"/>
  <c r="W629" i="4"/>
  <c r="W630" i="4"/>
  <c r="W631" i="4"/>
  <c r="W632" i="4"/>
  <c r="W633" i="4"/>
  <c r="W634" i="4"/>
  <c r="W635" i="4"/>
  <c r="W636" i="4"/>
  <c r="W637" i="4"/>
  <c r="W638" i="4"/>
  <c r="W639" i="4"/>
  <c r="W640" i="4"/>
  <c r="W641" i="4"/>
  <c r="W642" i="4"/>
  <c r="W643" i="4"/>
  <c r="W644" i="4"/>
  <c r="W645" i="4"/>
  <c r="W646" i="4"/>
  <c r="W692" i="4"/>
  <c r="W693" i="4"/>
  <c r="W694" i="4"/>
  <c r="W695" i="4"/>
  <c r="W696" i="4"/>
  <c r="W697" i="4"/>
  <c r="W698" i="4"/>
  <c r="W699" i="4"/>
  <c r="W700" i="4"/>
  <c r="W701" i="4"/>
  <c r="W702" i="4"/>
  <c r="W703" i="4"/>
  <c r="W704" i="4"/>
  <c r="W705" i="4"/>
  <c r="W706" i="4"/>
  <c r="W5" i="4"/>
  <c r="W6" i="4"/>
  <c r="W7" i="4"/>
  <c r="W8" i="4"/>
  <c r="W9" i="4"/>
  <c r="W10" i="4"/>
  <c r="W11" i="4"/>
  <c r="W12" i="4"/>
  <c r="W13" i="4"/>
  <c r="W14" i="4"/>
  <c r="W15" i="4"/>
  <c r="W16" i="4"/>
  <c r="W17" i="4"/>
  <c r="W18" i="4"/>
  <c r="W19" i="4"/>
  <c r="W20" i="4"/>
  <c r="W21" i="4"/>
  <c r="W22" i="4"/>
  <c r="W23" i="4"/>
  <c r="W24" i="4"/>
  <c r="W25" i="4"/>
  <c r="W26" i="4"/>
  <c r="W27" i="4"/>
  <c r="W28" i="4"/>
  <c r="W55" i="4"/>
  <c r="W56" i="4"/>
  <c r="W57" i="4"/>
  <c r="W58" i="4"/>
  <c r="W59" i="4"/>
  <c r="W60" i="4"/>
  <c r="W61" i="4"/>
  <c r="W62" i="4"/>
  <c r="W63" i="4"/>
  <c r="W64" i="4"/>
  <c r="W65" i="4"/>
  <c r="W66" i="4"/>
  <c r="W67" i="4"/>
  <c r="W68" i="4"/>
  <c r="W69" i="4"/>
  <c r="W70" i="4"/>
  <c r="W71" i="4"/>
  <c r="W72"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214" i="4"/>
  <c r="W215" i="4"/>
  <c r="W216" i="4"/>
  <c r="W217" i="4"/>
  <c r="W218" i="4"/>
  <c r="W219" i="4"/>
  <c r="W220" i="4"/>
  <c r="W221" i="4"/>
  <c r="W222" i="4"/>
  <c r="W223" i="4"/>
  <c r="W224" i="4"/>
  <c r="W225" i="4"/>
  <c r="W226" i="4"/>
  <c r="W227" i="4"/>
  <c r="W228" i="4"/>
  <c r="W229" i="4"/>
  <c r="W230" i="4"/>
  <c r="W231" i="4"/>
  <c r="W232" i="4"/>
  <c r="W233" i="4"/>
  <c r="W267" i="4"/>
  <c r="W268" i="4"/>
  <c r="W269" i="4"/>
  <c r="W270" i="4"/>
  <c r="W271" i="4"/>
  <c r="W272" i="4"/>
  <c r="W273" i="4"/>
  <c r="W274" i="4"/>
  <c r="W275" i="4"/>
  <c r="W276" i="4"/>
  <c r="W277" i="4"/>
  <c r="W278" i="4"/>
  <c r="W279" i="4"/>
  <c r="W280" i="4"/>
  <c r="W281" i="4"/>
  <c r="W282" i="4"/>
  <c r="W331" i="4"/>
  <c r="W332" i="4"/>
  <c r="W333" i="4"/>
  <c r="W334" i="4"/>
  <c r="W335" i="4"/>
  <c r="W336" i="4"/>
  <c r="W337" i="4"/>
  <c r="W338" i="4"/>
  <c r="W339" i="4"/>
  <c r="W340" i="4"/>
  <c r="W341" i="4"/>
  <c r="W342" i="4"/>
  <c r="W343" i="4"/>
  <c r="W344" i="4"/>
  <c r="W345" i="4"/>
  <c r="W346" i="4"/>
  <c r="W404" i="4"/>
  <c r="W405" i="4"/>
  <c r="W406" i="4"/>
  <c r="W407" i="4"/>
  <c r="W408" i="4"/>
  <c r="W409" i="4"/>
  <c r="W410" i="4"/>
  <c r="W411" i="4"/>
  <c r="W412" i="4"/>
  <c r="W413" i="4"/>
  <c r="W414" i="4"/>
  <c r="W415" i="4"/>
  <c r="W416" i="4"/>
  <c r="W417" i="4"/>
  <c r="W418" i="4"/>
  <c r="W419" i="4"/>
  <c r="W473" i="4"/>
  <c r="W474" i="4"/>
  <c r="W475" i="4"/>
  <c r="W476" i="4"/>
  <c r="W477" i="4"/>
  <c r="W478" i="4"/>
  <c r="W479" i="4"/>
  <c r="W480" i="4"/>
  <c r="W481" i="4"/>
  <c r="W482" i="4"/>
  <c r="W483" i="4"/>
  <c r="W484" i="4"/>
  <c r="W485" i="4"/>
  <c r="W486" i="4"/>
  <c r="W487" i="4"/>
  <c r="W488" i="4"/>
  <c r="W489" i="4"/>
  <c r="W490" i="4"/>
  <c r="W528" i="4"/>
  <c r="W529" i="4"/>
  <c r="W530" i="4"/>
  <c r="W531" i="4"/>
  <c r="W532" i="4"/>
  <c r="W533" i="4"/>
  <c r="W534" i="4"/>
  <c r="W535" i="4"/>
  <c r="W536" i="4"/>
  <c r="W537" i="4"/>
  <c r="W538" i="4"/>
  <c r="W539" i="4"/>
  <c r="W540" i="4"/>
  <c r="W541" i="4"/>
  <c r="W542" i="4"/>
  <c r="W543" i="4"/>
  <c r="W544" i="4"/>
  <c r="W545" i="4"/>
  <c r="W546"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47" i="4"/>
  <c r="W648" i="4"/>
  <c r="W649" i="4"/>
  <c r="W650" i="4"/>
  <c r="W651" i="4"/>
  <c r="W652" i="4"/>
  <c r="W653" i="4"/>
  <c r="W654" i="4"/>
  <c r="W655" i="4"/>
  <c r="W656" i="4"/>
  <c r="W657" i="4"/>
  <c r="W658" i="4"/>
  <c r="W659" i="4"/>
  <c r="W660" i="4"/>
  <c r="W661" i="4"/>
  <c r="W662" i="4"/>
  <c r="W663" i="4"/>
  <c r="W664" i="4"/>
  <c r="W665" i="4"/>
  <c r="W666" i="4"/>
  <c r="W667" i="4"/>
  <c r="W668" i="4"/>
  <c r="W707" i="4"/>
  <c r="W708" i="4"/>
  <c r="W709" i="4"/>
  <c r="W710" i="4"/>
  <c r="W711" i="4"/>
  <c r="W712" i="4"/>
  <c r="W713" i="4"/>
  <c r="W714" i="4"/>
  <c r="W715" i="4"/>
  <c r="W716" i="4"/>
  <c r="W717" i="4"/>
  <c r="W718" i="4"/>
  <c r="W719" i="4"/>
  <c r="W720" i="4"/>
  <c r="W721" i="4"/>
  <c r="W722" i="4"/>
  <c r="W723" i="4"/>
  <c r="W724" i="4"/>
  <c r="W725" i="4"/>
  <c r="W29" i="4"/>
  <c r="W30" i="4"/>
  <c r="W31" i="4"/>
  <c r="W32" i="4"/>
  <c r="W33" i="4"/>
  <c r="W34" i="4"/>
  <c r="W35" i="4"/>
  <c r="W36" i="4"/>
  <c r="W37" i="4"/>
  <c r="W38" i="4"/>
  <c r="W39" i="4"/>
  <c r="W73" i="4"/>
  <c r="W74" i="4"/>
  <c r="W75" i="4"/>
  <c r="W76" i="4"/>
  <c r="W77" i="4"/>
  <c r="W78" i="4"/>
  <c r="W79" i="4"/>
  <c r="W80" i="4"/>
  <c r="W81" i="4"/>
  <c r="W82" i="4"/>
  <c r="W83" i="4"/>
  <c r="W84" i="4"/>
  <c r="W85" i="4"/>
  <c r="W86" i="4"/>
  <c r="W87" i="4"/>
  <c r="W88" i="4"/>
  <c r="W89" i="4"/>
  <c r="W90" i="4"/>
  <c r="W91" i="4"/>
  <c r="W92" i="4"/>
  <c r="W93" i="4"/>
  <c r="W156" i="4"/>
  <c r="W157" i="4"/>
  <c r="W158" i="4"/>
  <c r="W159" i="4"/>
  <c r="W160" i="4"/>
  <c r="W161" i="4"/>
  <c r="W162" i="4"/>
  <c r="W163" i="4"/>
  <c r="W164" i="4"/>
  <c r="W165" i="4"/>
  <c r="W166" i="4"/>
  <c r="W167" i="4"/>
  <c r="W168" i="4"/>
  <c r="W169" i="4"/>
  <c r="W170" i="4"/>
  <c r="W171" i="4"/>
  <c r="W172" i="4"/>
  <c r="W173" i="4"/>
  <c r="W174" i="4"/>
  <c r="W175" i="4"/>
  <c r="W176" i="4"/>
  <c r="W177" i="4"/>
  <c r="W234" i="4"/>
  <c r="W235" i="4"/>
  <c r="W236" i="4"/>
  <c r="W237" i="4"/>
  <c r="W238" i="4"/>
  <c r="W239" i="4"/>
  <c r="W240" i="4"/>
  <c r="W241" i="4"/>
  <c r="W242" i="4"/>
  <c r="W243" i="4"/>
  <c r="W244" i="4"/>
  <c r="W245" i="4"/>
  <c r="W246" i="4"/>
  <c r="W283" i="4"/>
  <c r="W284" i="4"/>
  <c r="W285" i="4"/>
  <c r="W286" i="4"/>
  <c r="W287" i="4"/>
  <c r="W288" i="4"/>
  <c r="W289" i="4"/>
  <c r="W290" i="4"/>
  <c r="W291" i="4"/>
  <c r="W292" i="4"/>
  <c r="W293" i="4"/>
  <c r="W294" i="4"/>
  <c r="W295" i="4"/>
  <c r="W296" i="4"/>
  <c r="W297" i="4"/>
  <c r="W298" i="4"/>
  <c r="W347" i="4"/>
  <c r="W348" i="4"/>
  <c r="W349" i="4"/>
  <c r="W350" i="4"/>
  <c r="W351" i="4"/>
  <c r="W352" i="4"/>
  <c r="W353" i="4"/>
  <c r="W354" i="4"/>
  <c r="W355" i="4"/>
  <c r="W356" i="4"/>
  <c r="W357" i="4"/>
  <c r="W358" i="4"/>
  <c r="W359" i="4"/>
  <c r="W360" i="4"/>
  <c r="W361" i="4"/>
  <c r="W362" i="4"/>
  <c r="W363" i="4"/>
  <c r="W364" i="4"/>
  <c r="W365" i="4"/>
  <c r="W420" i="4"/>
  <c r="W421" i="4"/>
  <c r="W422" i="4"/>
  <c r="W423" i="4"/>
  <c r="W424" i="4"/>
  <c r="W425" i="4"/>
  <c r="W426" i="4"/>
  <c r="W427" i="4"/>
  <c r="W428" i="4"/>
  <c r="W429" i="4"/>
  <c r="W430" i="4"/>
  <c r="W431" i="4"/>
  <c r="W432" i="4"/>
  <c r="W433" i="4"/>
  <c r="W434" i="4"/>
  <c r="W435" i="4"/>
  <c r="W436" i="4"/>
  <c r="W437" i="4"/>
  <c r="W438" i="4"/>
  <c r="W439" i="4"/>
  <c r="W491" i="4"/>
  <c r="W492" i="4"/>
  <c r="W493" i="4"/>
  <c r="W494" i="4"/>
  <c r="W495" i="4"/>
  <c r="W496" i="4"/>
  <c r="W497" i="4"/>
  <c r="W498" i="4"/>
  <c r="W499" i="4"/>
  <c r="W500" i="4"/>
  <c r="W501" i="4"/>
  <c r="W502" i="4"/>
  <c r="W503" i="4"/>
  <c r="W504" i="4"/>
  <c r="W505" i="4"/>
  <c r="W547" i="4"/>
  <c r="W548" i="4"/>
  <c r="W549" i="4"/>
  <c r="W550" i="4"/>
  <c r="W551" i="4"/>
  <c r="W552" i="4"/>
  <c r="W553" i="4"/>
  <c r="W554" i="4"/>
  <c r="W555" i="4"/>
  <c r="W556" i="4"/>
  <c r="W557" i="4"/>
  <c r="W558"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69" i="4"/>
  <c r="W670" i="4"/>
  <c r="W671" i="4"/>
  <c r="W672" i="4"/>
  <c r="W673" i="4"/>
  <c r="W674" i="4"/>
  <c r="W675" i="4"/>
  <c r="W676" i="4"/>
  <c r="W677" i="4"/>
  <c r="W678" i="4"/>
  <c r="W679" i="4"/>
  <c r="W680" i="4"/>
  <c r="W681" i="4"/>
  <c r="W682" i="4"/>
  <c r="W683" i="4"/>
  <c r="W684" i="4"/>
  <c r="W685" i="4"/>
  <c r="W686" i="4"/>
  <c r="W687" i="4"/>
  <c r="W688" i="4"/>
  <c r="W689" i="4"/>
  <c r="W690" i="4"/>
  <c r="W691" i="4"/>
  <c r="W726" i="4"/>
  <c r="W727" i="4"/>
  <c r="W728" i="4"/>
  <c r="W729" i="4"/>
  <c r="W730" i="4"/>
  <c r="W731" i="4"/>
  <c r="W732" i="4"/>
  <c r="W733" i="4"/>
  <c r="W734" i="4"/>
  <c r="W735" i="4"/>
  <c r="W736" i="4"/>
  <c r="W737" i="4"/>
  <c r="W738" i="4"/>
  <c r="W739" i="4"/>
  <c r="W740" i="4"/>
  <c r="W40" i="4"/>
  <c r="W41" i="4"/>
  <c r="W42" i="4"/>
  <c r="W43" i="4"/>
  <c r="W44" i="4"/>
  <c r="W45" i="4"/>
  <c r="W46" i="4"/>
  <c r="W47" i="4"/>
  <c r="W48" i="4"/>
  <c r="W49" i="4"/>
  <c r="W50" i="4"/>
  <c r="W51" i="4"/>
  <c r="W52" i="4"/>
  <c r="W53" i="4"/>
  <c r="W54"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47" i="4"/>
  <c r="W248" i="4"/>
  <c r="W249" i="4"/>
  <c r="W250" i="4"/>
  <c r="W251" i="4"/>
  <c r="W252" i="4"/>
  <c r="W253" i="4"/>
  <c r="W254" i="4"/>
  <c r="W255" i="4"/>
  <c r="W256" i="4"/>
  <c r="W257" i="4"/>
  <c r="W258" i="4"/>
  <c r="W259" i="4"/>
  <c r="W260" i="4"/>
  <c r="W261" i="4"/>
  <c r="W262" i="4"/>
  <c r="W263" i="4"/>
  <c r="W264" i="4"/>
  <c r="W265" i="4"/>
  <c r="W266"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66" i="4"/>
  <c r="W367" i="4"/>
  <c r="W368" i="4"/>
  <c r="W369" i="4"/>
  <c r="W370" i="4"/>
  <c r="W371" i="4"/>
  <c r="W372" i="4"/>
  <c r="W373" i="4"/>
  <c r="W374" i="4"/>
  <c r="W375" i="4"/>
  <c r="W376" i="4"/>
  <c r="W377" i="4"/>
  <c r="W378" i="4"/>
  <c r="W379" i="4"/>
  <c r="W380" i="4"/>
  <c r="W381" i="4"/>
  <c r="W382" i="4"/>
  <c r="W383" i="4"/>
  <c r="W384" i="4"/>
  <c r="W440" i="4"/>
  <c r="W441" i="4"/>
  <c r="W442" i="4"/>
  <c r="W443" i="4"/>
  <c r="W444" i="4"/>
  <c r="W445" i="4"/>
  <c r="W446" i="4"/>
  <c r="W447" i="4"/>
  <c r="W448" i="4"/>
  <c r="W449" i="4"/>
  <c r="W450" i="4"/>
  <c r="W451" i="4"/>
  <c r="W2" i="4"/>
  <c r="W3" i="4"/>
  <c r="W4" i="4"/>
  <c r="D57" i="2"/>
  <c r="D56" i="2"/>
  <c r="D55" i="2"/>
  <c r="D53" i="2"/>
  <c r="D52" i="2"/>
  <c r="D51" i="2"/>
  <c r="D35" i="2"/>
  <c r="D23" i="2"/>
  <c r="D50" i="2"/>
  <c r="D49" i="2"/>
  <c r="D48" i="2"/>
  <c r="D46" i="2"/>
  <c r="D45" i="2"/>
  <c r="D44" i="2"/>
  <c r="D43" i="2"/>
  <c r="D41" i="2"/>
  <c r="D42" i="2"/>
  <c r="D39" i="2"/>
  <c r="D38" i="2"/>
  <c r="D37" i="2"/>
  <c r="D36" i="2"/>
  <c r="D34" i="2"/>
  <c r="D32" i="2"/>
  <c r="D31" i="2"/>
  <c r="D30" i="2"/>
  <c r="D29" i="2"/>
  <c r="D28" i="2"/>
  <c r="D27" i="2"/>
  <c r="D25" i="2"/>
  <c r="D24" i="2"/>
  <c r="D22" i="2"/>
  <c r="D21" i="2"/>
  <c r="D20" i="2"/>
  <c r="D18" i="2"/>
  <c r="D17" i="2"/>
  <c r="D16" i="2"/>
  <c r="D9" i="2"/>
  <c r="D15" i="2"/>
  <c r="D14" i="2"/>
  <c r="D13" i="2"/>
  <c r="D11" i="2"/>
  <c r="D10" i="2"/>
  <c r="D8" i="2"/>
  <c r="D7" i="2"/>
  <c r="D6" i="2"/>
  <c r="D4" i="2"/>
  <c r="D3" i="2"/>
  <c r="D2" i="2"/>
  <c r="B7" i="7" l="1"/>
  <c r="J2" i="8"/>
</calcChain>
</file>

<file path=xl/sharedStrings.xml><?xml version="1.0" encoding="utf-8"?>
<sst xmlns="http://schemas.openxmlformats.org/spreadsheetml/2006/main" count="192" uniqueCount="157">
  <si>
    <t>ID</t>
  </si>
  <si>
    <t>Reason for absence</t>
  </si>
  <si>
    <t>Month of absence</t>
  </si>
  <si>
    <t>Day of the week</t>
  </si>
  <si>
    <t>Seasons</t>
  </si>
  <si>
    <t>Transportation expense</t>
  </si>
  <si>
    <t>Distance from Residence to Work</t>
  </si>
  <si>
    <t>Service time</t>
  </si>
  <si>
    <t>Age</t>
  </si>
  <si>
    <t xml:space="preserve">Work load Average/day </t>
  </si>
  <si>
    <t>Hit target</t>
  </si>
  <si>
    <t>Disciplinary failure</t>
  </si>
  <si>
    <t>Education</t>
  </si>
  <si>
    <t>Son</t>
  </si>
  <si>
    <t>Social drinker</t>
  </si>
  <si>
    <t>Social smoker</t>
  </si>
  <si>
    <t>Pet</t>
  </si>
  <si>
    <t>Weight</t>
  </si>
  <si>
    <t>Height</t>
  </si>
  <si>
    <t>Body mass index</t>
  </si>
  <si>
    <t>Absenteeism time in hours</t>
  </si>
  <si>
    <t>Exercise Number</t>
  </si>
  <si>
    <t>Formula Category</t>
  </si>
  <si>
    <t>Exercise Description</t>
  </si>
  <si>
    <t>Formula</t>
  </si>
  <si>
    <t>COUNTIF</t>
  </si>
  <si>
    <t>How many employees have taken an absence due to reason code 23?</t>
  </si>
  <si>
    <t>How many absences occurred in the month of January?</t>
  </si>
  <si>
    <t>COUNTIFS</t>
  </si>
  <si>
    <t>How many absences occurred in the month of January for employees older than 40?</t>
  </si>
  <si>
    <t>How many absences were due to reason code 23 and lasted for more than 2 months (column C)?</t>
  </si>
  <si>
    <t>SUM</t>
  </si>
  <si>
    <t>What is the total absenteeism time in hours?</t>
  </si>
  <si>
    <t>What is the total distance from residence to work for all employees?</t>
  </si>
  <si>
    <t>SUMIF</t>
  </si>
  <si>
    <t>What is the total absenteeism time in hours for employees who have a Body Mass Index (BMI) of 30?</t>
  </si>
  <si>
    <t>What is the total distance from residence to work for employees with ID 11?</t>
  </si>
  <si>
    <t>SUMIFS</t>
  </si>
  <si>
    <t>What is the total absenteeism time in hours for employees older than 40 and who are social drinkers?</t>
  </si>
  <si>
    <t>What is the total absenteeism time in hours for employees with a Body Mass Index (BMI) of 30, during the winter season?</t>
  </si>
  <si>
    <t>AVERAGE</t>
  </si>
  <si>
    <t>What is the average age of the employees?</t>
  </si>
  <si>
    <t>What is the average absenteeism time in hours?</t>
  </si>
  <si>
    <t>AVERAGEIF</t>
  </si>
  <si>
    <t>What is the average absenteeism time in hours for employees who are social smokers?</t>
  </si>
  <si>
    <t>What is the average distance from residence to work for employees who have taken an absence due to reason code 23?</t>
  </si>
  <si>
    <t>AVERAGEIFS</t>
  </si>
  <si>
    <t>What is the average absenteeism time in hours for employees older than 40 and who are social drinkers?</t>
  </si>
  <si>
    <t>What is the average absenteeism time in hours for employees with a Body Mass Index (BMI) of 30, during the winter season?</t>
  </si>
  <si>
    <t>How many employees are social drinkers?</t>
  </si>
  <si>
    <t>How many employees have more than one son?</t>
  </si>
  <si>
    <t>How many employees have a Body Mass Index (BMI) less than 25?</t>
  </si>
  <si>
    <t>How many employees older than 30 have taken an absence due to reason code 23?</t>
  </si>
  <si>
    <t>How many employees with a service time greater than 10 years have been absent for more than 4 hours?</t>
  </si>
  <si>
    <t>How many employees who are social drinkers have taken an absence due to reason code 23 and are older than 30?</t>
  </si>
  <si>
    <t>What is the total transportation expense for all employees?</t>
  </si>
  <si>
    <t>What is the total service time for all employees?</t>
  </si>
  <si>
    <t>What is the total weight of all employees?</t>
  </si>
  <si>
    <t>What is the total height of all employees?</t>
  </si>
  <si>
    <t>What is the total transportation expense for employees who are social smokers?</t>
  </si>
  <si>
    <t>What is the total service time for employees who have more than one son?</t>
  </si>
  <si>
    <t>What is the total weight of employees older than 40?</t>
  </si>
  <si>
    <t>What is the total absenteeism time in hours for employees who have taken an absence due to reason code 7?</t>
  </si>
  <si>
    <t>What is the total transportation expense for employees who are social drinkers and older than 30?</t>
  </si>
  <si>
    <t>What is the total service time for employees who have more than one son and are social drinkers?</t>
  </si>
  <si>
    <t>What is the total absenteeism time in hours for employees older than 40 and who have taken an absence due to reason code 23?</t>
  </si>
  <si>
    <t>What is the total weight of employees who have a Body Mass Index (BMI) less than 25 and are social drinkers?</t>
  </si>
  <si>
    <t>What is the average transportation expense for all employees?</t>
  </si>
  <si>
    <t>What is the average distance from residence to work for all employees?</t>
  </si>
  <si>
    <t>What is the average Body Mass Index (BMI) for all employees?</t>
  </si>
  <si>
    <t>What is the average transportation expense for employees who are social smokers?</t>
  </si>
  <si>
    <t>What is the average service time for employees who have more than one son?</t>
  </si>
  <si>
    <t>What is the average absenteeism time in hours for employees who have taken an absence due to reason code 7?</t>
  </si>
  <si>
    <t>What is the average age of employees who are social drinkers?</t>
  </si>
  <si>
    <t>What is the average transportation expense for employees who are social drinkers and older than 30?</t>
  </si>
  <si>
    <t>What is the average service time for employees who have more than one son and are social drinkers?</t>
  </si>
  <si>
    <t>What is the average absenteeism time in hours for employees older than 40 who have taken an absence due to reason code 23?</t>
  </si>
  <si>
    <t>What is the average weight of employees who have a Body Mass Index (BMI) less than 25 and are social drinkers?</t>
  </si>
  <si>
    <t>What is the average amount of disciplinary failures of all employees?</t>
  </si>
  <si>
    <t>How many absences have occurred on a Tuesday (Day of the week = 2)?</t>
  </si>
  <si>
    <t>How many absences have occurred during the season 2 for employees who are social smokers?</t>
  </si>
  <si>
    <t>Project Title</t>
  </si>
  <si>
    <t>Absenteeism &amp; Workforce Productivity Analysis (Excel)</t>
  </si>
  <si>
    <t>Business Problem</t>
  </si>
  <si>
    <t>Objective</t>
  </si>
  <si>
    <t>Deliverables</t>
  </si>
  <si>
    <t>Cleaned dataset, pivot analysis, KPI summary,
 dashboard, insights &amp; recommendations.</t>
  </si>
  <si>
    <t>Employee absenteeism increases costs and reduces productivity.
This project analyzes absenteeism patterns and drivers to support workforce decisions.</t>
  </si>
  <si>
    <t>Identify which factors relate to higher absence hours
and summarize insights in a dashboard for management.</t>
  </si>
  <si>
    <t>Age Group</t>
  </si>
  <si>
    <t>Distance Band</t>
  </si>
  <si>
    <t>BMI Category</t>
  </si>
  <si>
    <t>Absence Bucket</t>
  </si>
  <si>
    <t>Month Name</t>
  </si>
  <si>
    <t>Body Mass Index</t>
  </si>
  <si>
    <t>May</t>
  </si>
  <si>
    <t>11–20</t>
  </si>
  <si>
    <t>21+</t>
  </si>
  <si>
    <t>6–10</t>
  </si>
  <si>
    <t>0–5</t>
  </si>
  <si>
    <t>Normal</t>
  </si>
  <si>
    <t>Obese</t>
  </si>
  <si>
    <t>Overweight</t>
  </si>
  <si>
    <t>Underweight</t>
  </si>
  <si>
    <t>Sum Absenteeism time in hours</t>
  </si>
  <si>
    <t>Avg Absenteeism time in hours</t>
  </si>
  <si>
    <t>KPI</t>
  </si>
  <si>
    <t>Value</t>
  </si>
  <si>
    <t>unique ID</t>
  </si>
  <si>
    <t>&lt;30</t>
  </si>
  <si>
    <t>30–39</t>
  </si>
  <si>
    <t>40–49</t>
  </si>
  <si>
    <t>50–59</t>
  </si>
  <si>
    <t>Top Employees' Share of Absence (%)</t>
  </si>
  <si>
    <t>Average Absence Event per Employee</t>
  </si>
  <si>
    <t>Total Absence of Hours</t>
  </si>
  <si>
    <t>Avg Hours / Event</t>
  </si>
  <si>
    <t>Number of Employees</t>
  </si>
  <si>
    <t>Top Employees' Share (%)</t>
  </si>
  <si>
    <t xml:space="preserve">
</t>
  </si>
  <si>
    <t>Insights &amp; Recommendations – Absenteeism Analysis</t>
  </si>
  <si>
    <t>Key Insights</t>
  </si>
  <si>
    <t>Business Recommendations</t>
  </si>
  <si>
    <t>Unknown</t>
  </si>
  <si>
    <t>Jan</t>
  </si>
  <si>
    <t>Feb</t>
  </si>
  <si>
    <t>Mar</t>
  </si>
  <si>
    <t>Apr</t>
  </si>
  <si>
    <t>Jun</t>
  </si>
  <si>
    <t>Jul</t>
  </si>
  <si>
    <t>Aug</t>
  </si>
  <si>
    <t>Sep</t>
  </si>
  <si>
    <t>Oct</t>
  </si>
  <si>
    <t>Nov</t>
  </si>
  <si>
    <t>Dec</t>
  </si>
  <si>
    <t>Top 5 hours</t>
  </si>
  <si>
    <t>Total</t>
  </si>
  <si>
    <t>Total Hours by Month</t>
  </si>
  <si>
    <t>Avg Hours by Distance</t>
  </si>
  <si>
    <t>Avg Hours by BMI</t>
  </si>
  <si>
    <t>Avg Hours by Age Group</t>
  </si>
  <si>
    <t>Top 10 Absence Reasons</t>
  </si>
  <si>
    <t>Total Hours by Employee</t>
  </si>
  <si>
    <t>Total Absence Hours</t>
  </si>
  <si>
    <t>Total Absence Events</t>
  </si>
  <si>
    <t>Average Hours per Absence Event</t>
  </si>
  <si>
    <t>Unique Employees</t>
  </si>
  <si>
    <t>• Absenteeism shows clear monthly patterns, with noticeable peaks during specific months, indicating potential seasonality effects such as illness or holidays.</t>
  </si>
  <si>
    <t>• Employees with longer commuting distances record higher absenteeism hours, suggesting commute length may be a contributing factor to absence frequency.</t>
  </si>
  <si>
    <t>• Health-related factors matter: employees in higher BMI categories tend to have more absence hours compared to those in lower BMI ranges.</t>
  </si>
  <si>
    <t>• Absenteeism is highly concentrated: a relatively small group of employees contributes a disproportionate share of total absence hours.</t>
  </si>
  <si>
    <t>• A limited number of absence reasons account for most lost hours, indicating that absenteeism is driven by recurring and identifiable causes rather than random events.</t>
  </si>
  <si>
    <t>• Introduce flexible or hybrid work arrangements for employees with long commuting distances to reduce fatigue-related absenteeism.</t>
  </si>
  <si>
    <t>• Implement targeted health and wellness initiatives, such as fitness programs or preventive healthcare support, focusing on employee groups with higher BMI and absence levels.</t>
  </si>
  <si>
    <t>• Shift management focus from isolated absence incidents to high-impact employees, prioritizing interventions for individuals who account for the largest share of total absence hours.</t>
  </si>
  <si>
    <t>• Use the absenteeism dashboard for monthly monitoring, allowing HR and management to detect emerging trends early and take proactive action</t>
  </si>
  <si>
    <t>• Prioritize actions based on top absence reasons, addressing the most frequent and costly causes first to maximize reduction in total absenteeism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</si>
</sst>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rgb="FF000000"/>
      <name val="Calibri"/>
    </font>
    <font>
      <sz val="11"/>
      <color theme="1"/>
      <name val="Calibri"/>
      <family val="2"/>
      <charset val="161"/>
      <scheme val="minor"/>
    </font>
    <font>
      <b/>
      <sz val="14"/>
      <color theme="1"/>
      <name val="Calibri"/>
      <family val="2"/>
    </font>
    <font>
      <sz val="14"/>
      <color theme="1"/>
      <name val="Calibri"/>
      <family val="2"/>
    </font>
    <font>
      <b/>
      <sz val="14"/>
      <color theme="0"/>
      <name val="Calibri"/>
      <family val="2"/>
    </font>
    <font>
      <b/>
      <sz val="14"/>
      <color rgb="FF000000"/>
      <name val="Calibri"/>
      <family val="2"/>
    </font>
    <font>
      <sz val="14"/>
      <color rgb="FF000000"/>
      <name val="Calibri"/>
      <family val="2"/>
    </font>
    <font>
      <b/>
      <sz val="13"/>
      <color theme="1"/>
      <name val="Calibri"/>
      <family val="2"/>
    </font>
    <font>
      <sz val="11"/>
      <color rgb="FF000000"/>
      <name val="Calibri"/>
    </font>
    <font>
      <b/>
      <sz val="11"/>
      <color theme="1"/>
      <name val="Calibri"/>
      <family val="2"/>
      <charset val="161"/>
      <scheme val="minor"/>
    </font>
    <font>
      <sz val="11"/>
      <color theme="1"/>
      <name val="Calibri"/>
      <family val="2"/>
      <charset val="161"/>
    </font>
    <font>
      <b/>
      <sz val="11"/>
      <color rgb="FF000000"/>
      <name val="Calibri"/>
      <family val="2"/>
      <charset val="161"/>
    </font>
    <font>
      <sz val="11"/>
      <color rgb="FF000000"/>
      <name val="Calibri"/>
      <family val="2"/>
      <charset val="161"/>
    </font>
    <font>
      <b/>
      <sz val="11"/>
      <color theme="1"/>
      <name val="Calibri"/>
      <family val="2"/>
      <charset val="161"/>
    </font>
    <font>
      <b/>
      <sz val="14"/>
      <color rgb="FF000000"/>
      <name val="Calibri"/>
      <family val="2"/>
      <charset val="161"/>
    </font>
    <font>
      <b/>
      <sz val="16"/>
      <color rgb="FF000000"/>
      <name val="Calibri"/>
      <family val="2"/>
      <charset val="161"/>
    </font>
    <font>
      <sz val="14"/>
      <color rgb="FF000000"/>
      <name val="Calibri"/>
      <family val="2"/>
      <charset val="161"/>
    </font>
    <font>
      <sz val="16"/>
      <color rgb="FF000000"/>
      <name val="Calibri"/>
      <family val="2"/>
      <charset val="161"/>
    </font>
    <font>
      <sz val="18"/>
      <color rgb="FF000000"/>
      <name val="Calibri"/>
      <family val="2"/>
      <charset val="161"/>
    </font>
  </fonts>
  <fills count="9">
    <fill>
      <patternFill patternType="none"/>
    </fill>
    <fill>
      <patternFill patternType="gray125"/>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14996795556505021"/>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right style="thin">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thin">
        <color theme="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right/>
      <top/>
      <bottom style="thin">
        <color auto="1"/>
      </bottom>
      <diagonal/>
    </border>
    <border>
      <left/>
      <right/>
      <top/>
      <bottom style="double">
        <color theme="1"/>
      </bottom>
      <diagonal/>
    </border>
  </borders>
  <cellStyleXfs count="3">
    <xf numFmtId="0" fontId="0" fillId="0" borderId="0"/>
    <xf numFmtId="9" fontId="8" fillId="0" borderId="0" applyFont="0" applyFill="0" applyBorder="0" applyAlignment="0" applyProtection="0"/>
    <xf numFmtId="0" fontId="1" fillId="0" borderId="29" applyNumberFormat="0" applyFill="0" applyAlignment="0" applyProtection="0"/>
  </cellStyleXfs>
  <cellXfs count="86">
    <xf numFmtId="0" fontId="0" fillId="0" borderId="0" xfId="0"/>
    <xf numFmtId="1" fontId="0" fillId="0" borderId="0" xfId="0" applyNumberFormat="1"/>
    <xf numFmtId="3" fontId="0" fillId="0" borderId="0" xfId="0" applyNumberFormat="1"/>
    <xf numFmtId="0" fontId="0" fillId="0" borderId="0" xfId="0" applyAlignment="1">
      <alignment wrapText="1"/>
    </xf>
    <xf numFmtId="0" fontId="2" fillId="2" borderId="10" xfId="0" applyFont="1" applyFill="1" applyBorder="1" applyAlignment="1">
      <alignment vertical="center"/>
    </xf>
    <xf numFmtId="0" fontId="0" fillId="5" borderId="9" xfId="0" applyFill="1" applyBorder="1"/>
    <xf numFmtId="0" fontId="0" fillId="4" borderId="14" xfId="0" applyFill="1" applyBorder="1"/>
    <xf numFmtId="0" fontId="2" fillId="2" borderId="13" xfId="0" applyFont="1" applyFill="1" applyBorder="1" applyAlignment="1">
      <alignment horizontal="center"/>
    </xf>
    <xf numFmtId="0" fontId="2" fillId="3" borderId="13" xfId="0" applyFont="1" applyFill="1" applyBorder="1" applyAlignment="1">
      <alignment horizontal="center"/>
    </xf>
    <xf numFmtId="0" fontId="0" fillId="5" borderId="2" xfId="0" applyFill="1" applyBorder="1"/>
    <xf numFmtId="0" fontId="2" fillId="3" borderId="2" xfId="0" applyFont="1" applyFill="1" applyBorder="1" applyAlignment="1">
      <alignment horizontal="center"/>
    </xf>
    <xf numFmtId="0" fontId="0" fillId="5" borderId="10" xfId="0" applyFill="1" applyBorder="1"/>
    <xf numFmtId="0" fontId="0" fillId="5" borderId="14" xfId="0" applyFill="1" applyBorder="1"/>
    <xf numFmtId="0" fontId="0" fillId="5" borderId="13" xfId="0" applyFill="1" applyBorder="1"/>
    <xf numFmtId="0" fontId="0" fillId="5" borderId="16" xfId="0" applyFill="1" applyBorder="1"/>
    <xf numFmtId="0" fontId="7" fillId="2" borderId="8" xfId="0" applyFont="1" applyFill="1" applyBorder="1" applyAlignment="1">
      <alignment horizontal="center" vertical="center"/>
    </xf>
    <xf numFmtId="0" fontId="7" fillId="2" borderId="13" xfId="0" applyFont="1" applyFill="1" applyBorder="1" applyAlignment="1">
      <alignment horizontal="center" vertical="center"/>
    </xf>
    <xf numFmtId="0" fontId="7" fillId="4" borderId="4"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8" xfId="0" applyFont="1" applyFill="1" applyBorder="1" applyAlignment="1">
      <alignment horizontal="center" vertical="center"/>
    </xf>
    <xf numFmtId="0" fontId="3" fillId="3" borderId="3" xfId="0" applyFont="1" applyFill="1" applyBorder="1" applyAlignment="1">
      <alignment vertical="center"/>
    </xf>
    <xf numFmtId="0" fontId="3" fillId="5" borderId="15" xfId="0" applyFont="1" applyFill="1" applyBorder="1" applyAlignment="1">
      <alignment vertical="center"/>
    </xf>
    <xf numFmtId="0" fontId="3" fillId="2" borderId="3" xfId="0" applyFont="1" applyFill="1" applyBorder="1" applyAlignment="1">
      <alignment vertical="center"/>
    </xf>
    <xf numFmtId="0" fontId="3" fillId="4" borderId="11" xfId="0" applyFont="1" applyFill="1" applyBorder="1" applyAlignment="1">
      <alignment vertical="center"/>
    </xf>
    <xf numFmtId="0" fontId="6" fillId="5" borderId="0" xfId="0" applyFont="1" applyFill="1" applyAlignment="1">
      <alignment vertical="center"/>
    </xf>
    <xf numFmtId="0" fontId="3" fillId="2" borderId="0" xfId="0" applyFont="1" applyFill="1" applyAlignment="1">
      <alignment horizontal="left" vertical="center"/>
    </xf>
    <xf numFmtId="0" fontId="4" fillId="6" borderId="12" xfId="0" applyFont="1" applyFill="1" applyBorder="1" applyAlignment="1">
      <alignment horizontal="center" vertical="center"/>
    </xf>
    <xf numFmtId="0" fontId="0" fillId="0" borderId="0" xfId="0" applyAlignment="1">
      <alignment vertical="center"/>
    </xf>
    <xf numFmtId="4" fontId="4" fillId="6" borderId="1" xfId="0" applyNumberFormat="1" applyFont="1" applyFill="1" applyBorder="1" applyAlignment="1">
      <alignment horizontal="center" vertical="top"/>
    </xf>
    <xf numFmtId="4" fontId="2" fillId="2" borderId="5" xfId="0" applyNumberFormat="1" applyFont="1" applyFill="1" applyBorder="1" applyAlignment="1">
      <alignment horizontal="center"/>
    </xf>
    <xf numFmtId="4" fontId="5" fillId="4" borderId="7" xfId="0" applyNumberFormat="1" applyFont="1" applyFill="1" applyBorder="1" applyAlignment="1">
      <alignment horizontal="center" vertical="center"/>
    </xf>
    <xf numFmtId="4" fontId="2" fillId="4" borderId="6" xfId="0" applyNumberFormat="1" applyFont="1" applyFill="1" applyBorder="1" applyAlignment="1">
      <alignment horizontal="center"/>
    </xf>
    <xf numFmtId="4" fontId="5" fillId="5" borderId="7" xfId="0" applyNumberFormat="1" applyFont="1" applyFill="1" applyBorder="1" applyAlignment="1">
      <alignment horizontal="center"/>
    </xf>
    <xf numFmtId="4" fontId="5" fillId="5" borderId="5" xfId="0" applyNumberFormat="1" applyFont="1" applyFill="1" applyBorder="1" applyAlignment="1">
      <alignment horizontal="center"/>
    </xf>
    <xf numFmtId="4" fontId="5" fillId="5" borderId="6" xfId="0" applyNumberFormat="1" applyFont="1" applyFill="1" applyBorder="1" applyAlignment="1">
      <alignment horizontal="center"/>
    </xf>
    <xf numFmtId="4" fontId="0" fillId="0" borderId="0" xfId="0" applyNumberFormat="1"/>
    <xf numFmtId="3" fontId="2" fillId="2" borderId="5" xfId="0" applyNumberFormat="1" applyFont="1" applyFill="1" applyBorder="1" applyAlignment="1">
      <alignment horizontal="center"/>
    </xf>
    <xf numFmtId="3" fontId="5" fillId="4" borderId="7" xfId="0" applyNumberFormat="1" applyFont="1" applyFill="1" applyBorder="1" applyAlignment="1">
      <alignment horizontal="center" vertical="center"/>
    </xf>
    <xf numFmtId="3" fontId="2" fillId="4" borderId="6" xfId="0" applyNumberFormat="1" applyFont="1" applyFill="1" applyBorder="1" applyAlignment="1">
      <alignment horizontal="center"/>
    </xf>
    <xf numFmtId="3" fontId="5" fillId="5" borderId="7" xfId="0" applyNumberFormat="1" applyFont="1" applyFill="1" applyBorder="1" applyAlignment="1">
      <alignment horizontal="center"/>
    </xf>
    <xf numFmtId="0" fontId="4" fillId="6" borderId="1" xfId="0" applyFont="1" applyFill="1" applyBorder="1" applyAlignment="1">
      <alignment horizontal="center" vertical="top"/>
    </xf>
    <xf numFmtId="0" fontId="11" fillId="0" borderId="0" xfId="0" applyFont="1"/>
    <xf numFmtId="0" fontId="11" fillId="0" borderId="0" xfId="0" applyFont="1" applyAlignment="1">
      <alignment vertical="center"/>
    </xf>
    <xf numFmtId="0" fontId="12" fillId="0" borderId="0" xfId="0" applyFont="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10" fillId="2" borderId="0" xfId="0" applyFont="1" applyFill="1"/>
    <xf numFmtId="0" fontId="10" fillId="0" borderId="0" xfId="0" applyFont="1"/>
    <xf numFmtId="0" fontId="12" fillId="0" borderId="0" xfId="0" applyFont="1" applyAlignment="1">
      <alignment horizontal="center" vertical="center"/>
    </xf>
    <xf numFmtId="0" fontId="12" fillId="0" borderId="0" xfId="0" applyFont="1" applyAlignment="1">
      <alignment horizontal="right" vertical="center"/>
    </xf>
    <xf numFmtId="0" fontId="0" fillId="0" borderId="0" xfId="0" applyAlignment="1">
      <alignment horizontal="right" vertical="center"/>
    </xf>
    <xf numFmtId="1" fontId="0" fillId="0" borderId="0" xfId="0" applyNumberFormat="1" applyAlignment="1">
      <alignment horizontal="center" vertical="center"/>
    </xf>
    <xf numFmtId="1" fontId="12"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13" fillId="0" borderId="19" xfId="0" applyFont="1" applyBorder="1" applyAlignment="1">
      <alignment horizontal="center" vertical="center"/>
    </xf>
    <xf numFmtId="0" fontId="14" fillId="0" borderId="0" xfId="0" applyFont="1"/>
    <xf numFmtId="0" fontId="15" fillId="0" borderId="0" xfId="0" applyFont="1"/>
    <xf numFmtId="0" fontId="16" fillId="0" borderId="0" xfId="0" applyFont="1"/>
    <xf numFmtId="0" fontId="15" fillId="7" borderId="20" xfId="0" applyFont="1" applyFill="1" applyBorder="1"/>
    <xf numFmtId="165" fontId="15" fillId="7" borderId="20" xfId="1" applyNumberFormat="1" applyFont="1" applyFill="1" applyBorder="1"/>
    <xf numFmtId="0" fontId="15" fillId="7" borderId="25" xfId="0" applyFont="1" applyFill="1" applyBorder="1"/>
    <xf numFmtId="0" fontId="15" fillId="7" borderId="27" xfId="0" applyFont="1" applyFill="1" applyBorder="1" applyAlignment="1">
      <alignment horizontal="center" vertical="center"/>
    </xf>
    <xf numFmtId="164" fontId="15" fillId="7" borderId="20" xfId="1" applyNumberFormat="1" applyFont="1" applyFill="1" applyBorder="1"/>
    <xf numFmtId="0" fontId="15" fillId="7" borderId="26" xfId="0" applyFont="1" applyFill="1" applyBorder="1" applyAlignment="1">
      <alignment horizontal="center" vertical="center"/>
    </xf>
    <xf numFmtId="0" fontId="17" fillId="7" borderId="25" xfId="0" applyFont="1" applyFill="1" applyBorder="1"/>
    <xf numFmtId="0" fontId="17" fillId="7" borderId="20" xfId="0" applyFont="1" applyFill="1" applyBorder="1"/>
    <xf numFmtId="0" fontId="1" fillId="0" borderId="29" xfId="2" applyAlignment="1">
      <alignment horizontal="left" vertical="center"/>
    </xf>
    <xf numFmtId="0" fontId="1" fillId="0" borderId="29" xfId="2" applyAlignment="1">
      <alignment horizontal="left" vertical="center" wrapText="1"/>
    </xf>
    <xf numFmtId="0" fontId="9" fillId="0" borderId="29" xfId="2" applyFont="1" applyAlignment="1">
      <alignment vertical="center"/>
    </xf>
    <xf numFmtId="0" fontId="9" fillId="0" borderId="29" xfId="2" applyFont="1" applyAlignment="1">
      <alignment horizontal="left" vertical="center"/>
    </xf>
    <xf numFmtId="0" fontId="14" fillId="0" borderId="0" xfId="0" applyFont="1" applyAlignment="1">
      <alignment horizontal="left" vertical="center"/>
    </xf>
    <xf numFmtId="0" fontId="12" fillId="8" borderId="20" xfId="0" applyFont="1" applyFill="1" applyBorder="1" applyAlignment="1">
      <alignment horizontal="center"/>
    </xf>
    <xf numFmtId="165" fontId="18" fillId="7" borderId="24" xfId="1" applyNumberFormat="1" applyFont="1" applyFill="1" applyBorder="1" applyAlignment="1">
      <alignment horizontal="center"/>
    </xf>
    <xf numFmtId="165" fontId="18" fillId="7" borderId="25" xfId="1" applyNumberFormat="1" applyFont="1" applyFill="1" applyBorder="1" applyAlignment="1">
      <alignment horizontal="center"/>
    </xf>
    <xf numFmtId="0" fontId="18" fillId="7" borderId="21" xfId="0" applyFont="1" applyFill="1" applyBorder="1" applyAlignment="1">
      <alignment horizontal="center"/>
    </xf>
    <xf numFmtId="0" fontId="18" fillId="7" borderId="0" xfId="0" applyFont="1" applyFill="1" applyAlignment="1">
      <alignment horizontal="center"/>
    </xf>
    <xf numFmtId="0" fontId="18" fillId="7" borderId="13" xfId="0" applyFont="1" applyFill="1" applyBorder="1" applyAlignment="1">
      <alignment horizontal="center"/>
    </xf>
    <xf numFmtId="0" fontId="18" fillId="7" borderId="22" xfId="0" applyFont="1" applyFill="1" applyBorder="1" applyAlignment="1">
      <alignment horizontal="center"/>
    </xf>
    <xf numFmtId="0" fontId="18" fillId="7" borderId="28" xfId="0" applyFont="1" applyFill="1" applyBorder="1" applyAlignment="1">
      <alignment horizontal="center"/>
    </xf>
    <xf numFmtId="0" fontId="18" fillId="7" borderId="23" xfId="0" applyFont="1" applyFill="1" applyBorder="1" applyAlignment="1">
      <alignment horizontal="center"/>
    </xf>
    <xf numFmtId="0" fontId="18" fillId="7" borderId="24" xfId="0" applyFont="1" applyFill="1" applyBorder="1" applyAlignment="1">
      <alignment horizontal="center"/>
    </xf>
    <xf numFmtId="0" fontId="18" fillId="7" borderId="25" xfId="0" applyFont="1" applyFill="1" applyBorder="1" applyAlignment="1">
      <alignment horizontal="center"/>
    </xf>
  </cellXfs>
  <cellStyles count="3">
    <cellStyle name="Linked Cell" xfId="2" builtinId="24" customBuiltin="1"/>
    <cellStyle name="Normal" xfId="0" builtinId="0"/>
    <cellStyle name="Percent" xfId="1" builtinId="5"/>
  </cellStyles>
  <dxfs count="1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charset val="161"/>
        <scheme val="none"/>
      </font>
      <alignment horizontal="center"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3" formatCode="#,##0"/>
    </dxf>
    <dxf>
      <numFmt numFmtId="1" formatCode="0"/>
    </dxf>
    <dxf>
      <numFmt numFmtId="1" formatCode="0"/>
    </dxf>
    <dxf>
      <numFmt numFmtId="1" formatCode="0"/>
    </dxf>
    <dxf>
      <alignment horizontal="center"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[Project_1_Absenteeism_Portfolio.xlsx]Pivot_Analysis!Συγκεντρωτικός Πίνακας1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Absence Hours by Month</a:t>
            </a:r>
            <a:endParaRPr lang="el-G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Pivot_Analysis!$A$4:$A$17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Unknown</c:v>
                </c:pt>
              </c:strCache>
            </c:strRef>
          </c:cat>
          <c:val>
            <c:numRef>
              <c:f>Pivot_Analysis!$B$4:$B$17</c:f>
              <c:numCache>
                <c:formatCode>General</c:formatCode>
                <c:ptCount val="13"/>
                <c:pt idx="0">
                  <c:v>222</c:v>
                </c:pt>
                <c:pt idx="1">
                  <c:v>294</c:v>
                </c:pt>
                <c:pt idx="2">
                  <c:v>749</c:v>
                </c:pt>
                <c:pt idx="3">
                  <c:v>482</c:v>
                </c:pt>
                <c:pt idx="4">
                  <c:v>392</c:v>
                </c:pt>
                <c:pt idx="5">
                  <c:v>403</c:v>
                </c:pt>
                <c:pt idx="6">
                  <c:v>724</c:v>
                </c:pt>
                <c:pt idx="7">
                  <c:v>272</c:v>
                </c:pt>
                <c:pt idx="8">
                  <c:v>284</c:v>
                </c:pt>
                <c:pt idx="9">
                  <c:v>340</c:v>
                </c:pt>
                <c:pt idx="10">
                  <c:v>463</c:v>
                </c:pt>
                <c:pt idx="11">
                  <c:v>382</c:v>
                </c:pt>
                <c:pt idx="12">
                  <c:v>3</c:v>
                </c:pt>
              </c:numCache>
            </c:numRef>
          </c:val>
          <c:smooth val="0"/>
          <c:extLst>
            <c:ext xmlns:c16="http://schemas.microsoft.com/office/drawing/2014/chart" uri="{C3380CC4-5D6E-409C-BE32-E72D297353CC}">
              <c16:uniqueId val="{00000000-F5A0-492F-AD75-B6E72C878E96}"/>
            </c:ext>
          </c:extLst>
        </c:ser>
        <c:dLbls>
          <c:showLegendKey val="0"/>
          <c:showVal val="0"/>
          <c:showCatName val="0"/>
          <c:showSerName val="0"/>
          <c:showPercent val="0"/>
          <c:showBubbleSize val="0"/>
        </c:dLbls>
        <c:marker val="1"/>
        <c:smooth val="0"/>
        <c:axId val="127070632"/>
        <c:axId val="127071352"/>
      </c:lineChart>
      <c:dateAx>
        <c:axId val="127070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7071352"/>
        <c:crosses val="autoZero"/>
        <c:auto val="0"/>
        <c:lblOffset val="100"/>
        <c:baseTimeUnit val="days"/>
      </c:dateAx>
      <c:valAx>
        <c:axId val="12707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707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[Project_1_Absenteeism_Portfolio.xlsx]Pivot_Analysis!Συγκεντρωτικός Πίνακας3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Absence Hours by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Pivot_Analysis!$F$3</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Pivot_Analysis!$E$4:$E$8</c:f>
              <c:strCache>
                <c:ptCount val="4"/>
                <c:pt idx="0">
                  <c:v>21+</c:v>
                </c:pt>
                <c:pt idx="1">
                  <c:v>6–10</c:v>
                </c:pt>
                <c:pt idx="2">
                  <c:v>11–20</c:v>
                </c:pt>
                <c:pt idx="3">
                  <c:v>0–5</c:v>
                </c:pt>
              </c:strCache>
            </c:strRef>
          </c:cat>
          <c:val>
            <c:numRef>
              <c:f>Pivot_Analysis!$F$4:$F$8</c:f>
              <c:numCache>
                <c:formatCode>General</c:formatCode>
                <c:ptCount val="4"/>
                <c:pt idx="0">
                  <c:v>5.981854838709677</c:v>
                </c:pt>
                <c:pt idx="1">
                  <c:v>6.3773584905660377</c:v>
                </c:pt>
                <c:pt idx="2">
                  <c:v>9.6875</c:v>
                </c:pt>
                <c:pt idx="3">
                  <c:v>17.222222222222221</c:v>
                </c:pt>
              </c:numCache>
            </c:numRef>
          </c:val>
          <c:extLst>
            <c:ext xmlns:c16="http://schemas.microsoft.com/office/drawing/2014/chart" uri="{C3380CC4-5D6E-409C-BE32-E72D297353CC}">
              <c16:uniqueId val="{00000000-BF13-46C2-80E5-4E5A8B0B7A2E}"/>
            </c:ext>
          </c:extLst>
        </c:ser>
        <c:dLbls>
          <c:showLegendKey val="0"/>
          <c:showVal val="0"/>
          <c:showCatName val="0"/>
          <c:showSerName val="0"/>
          <c:showPercent val="0"/>
          <c:showBubbleSize val="0"/>
        </c:dLbls>
        <c:gapWidth val="100"/>
        <c:overlap val="-24"/>
        <c:axId val="677480584"/>
        <c:axId val="677478784"/>
      </c:barChart>
      <c:catAx>
        <c:axId val="677480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478784"/>
        <c:crosses val="autoZero"/>
        <c:auto val="1"/>
        <c:lblAlgn val="ctr"/>
        <c:lblOffset val="100"/>
        <c:noMultiLvlLbl val="0"/>
      </c:catAx>
      <c:valAx>
        <c:axId val="67747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480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Absence Hours by BMI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Σειρά1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Underweight</c:v>
              </c:pt>
              <c:pt idx="1">
                <c:v>Normal</c:v>
              </c:pt>
              <c:pt idx="2">
                <c:v>Overweight</c:v>
              </c:pt>
              <c:pt idx="3">
                <c:v>Obese</c:v>
              </c:pt>
            </c:strLit>
          </c:cat>
          <c:val>
            <c:numLit>
              <c:formatCode>General</c:formatCode>
              <c:ptCount val="4"/>
              <c:pt idx="0">
                <c:v>7.0344827586206895</c:v>
              </c:pt>
              <c:pt idx="1">
                <c:v>7.2655601659751037</c:v>
              </c:pt>
              <c:pt idx="2">
                <c:v>7.7477064220183482</c:v>
              </c:pt>
              <c:pt idx="3">
                <c:v>5.9391304347826086</c:v>
              </c:pt>
            </c:numLit>
          </c:val>
          <c:extLst>
            <c:ext xmlns:c16="http://schemas.microsoft.com/office/drawing/2014/chart" uri="{C3380CC4-5D6E-409C-BE32-E72D297353CC}">
              <c16:uniqueId val="{00000000-D71F-4EAC-A309-9769EB2BE0F2}"/>
            </c:ext>
          </c:extLst>
        </c:ser>
        <c:dLbls>
          <c:showLegendKey val="0"/>
          <c:showVal val="0"/>
          <c:showCatName val="0"/>
          <c:showSerName val="0"/>
          <c:showPercent val="0"/>
          <c:showBubbleSize val="0"/>
        </c:dLbls>
        <c:gapWidth val="100"/>
        <c:overlap val="-24"/>
        <c:axId val="677479864"/>
        <c:axId val="677480944"/>
      </c:barChart>
      <c:catAx>
        <c:axId val="677479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480944"/>
        <c:crosses val="autoZero"/>
        <c:auto val="1"/>
        <c:lblAlgn val="ctr"/>
        <c:lblOffset val="100"/>
        <c:noMultiLvlLbl val="0"/>
      </c:catAx>
      <c:valAx>
        <c:axId val="67748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479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[Project_1_Absenteeism_Portfolio.xlsx]Pivot_Analysis!Συγκεντρωτικός Πίνακας6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Absence Reasons (by Total Hours)</a:t>
            </a:r>
            <a:endParaRPr lang="el-G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Pivot_Analysis!$J$3</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Pivot_Analysis!$I$4:$I$14</c:f>
              <c:strCache>
                <c:ptCount val="10"/>
                <c:pt idx="0">
                  <c:v>1</c:v>
                </c:pt>
                <c:pt idx="1">
                  <c:v>12</c:v>
                </c:pt>
                <c:pt idx="2">
                  <c:v>18</c:v>
                </c:pt>
                <c:pt idx="3">
                  <c:v>26</c:v>
                </c:pt>
                <c:pt idx="4">
                  <c:v>22</c:v>
                </c:pt>
                <c:pt idx="5">
                  <c:v>10</c:v>
                </c:pt>
                <c:pt idx="6">
                  <c:v>28</c:v>
                </c:pt>
                <c:pt idx="7">
                  <c:v>23</c:v>
                </c:pt>
                <c:pt idx="8">
                  <c:v>19</c:v>
                </c:pt>
                <c:pt idx="9">
                  <c:v>13</c:v>
                </c:pt>
              </c:strCache>
            </c:strRef>
          </c:cat>
          <c:val>
            <c:numRef>
              <c:f>Pivot_Analysis!$J$4:$J$14</c:f>
              <c:numCache>
                <c:formatCode>General</c:formatCode>
                <c:ptCount val="10"/>
                <c:pt idx="0">
                  <c:v>182</c:v>
                </c:pt>
                <c:pt idx="1">
                  <c:v>187</c:v>
                </c:pt>
                <c:pt idx="2">
                  <c:v>217</c:v>
                </c:pt>
                <c:pt idx="3">
                  <c:v>232</c:v>
                </c:pt>
                <c:pt idx="4">
                  <c:v>253</c:v>
                </c:pt>
                <c:pt idx="5">
                  <c:v>260</c:v>
                </c:pt>
                <c:pt idx="6">
                  <c:v>328</c:v>
                </c:pt>
                <c:pt idx="7">
                  <c:v>417</c:v>
                </c:pt>
                <c:pt idx="8">
                  <c:v>729</c:v>
                </c:pt>
                <c:pt idx="9">
                  <c:v>810</c:v>
                </c:pt>
              </c:numCache>
            </c:numRef>
          </c:val>
          <c:extLst>
            <c:ext xmlns:c16="http://schemas.microsoft.com/office/drawing/2014/chart" uri="{C3380CC4-5D6E-409C-BE32-E72D297353CC}">
              <c16:uniqueId val="{00000000-B4AE-45FB-BFD7-284CC60A368D}"/>
            </c:ext>
          </c:extLst>
        </c:ser>
        <c:dLbls>
          <c:showLegendKey val="0"/>
          <c:showVal val="0"/>
          <c:showCatName val="0"/>
          <c:showSerName val="0"/>
          <c:showPercent val="0"/>
          <c:showBubbleSize val="0"/>
        </c:dLbls>
        <c:gapWidth val="115"/>
        <c:overlap val="-20"/>
        <c:axId val="770764376"/>
        <c:axId val="770763656"/>
      </c:barChart>
      <c:catAx>
        <c:axId val="770764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70763656"/>
        <c:crosses val="autoZero"/>
        <c:auto val="1"/>
        <c:lblAlgn val="ctr"/>
        <c:lblOffset val="100"/>
        <c:noMultiLvlLbl val="0"/>
      </c:catAx>
      <c:valAx>
        <c:axId val="770763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70764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16933</xdr:rowOff>
    </xdr:from>
    <xdr:to>
      <xdr:col>6</xdr:col>
      <xdr:colOff>635000</xdr:colOff>
      <xdr:row>17</xdr:row>
      <xdr:rowOff>15240</xdr:rowOff>
    </xdr:to>
    <xdr:graphicFrame macro="">
      <xdr:nvGraphicFramePr>
        <xdr:cNvPr id="2" name="Γράφημα 1">
          <a:extLst>
            <a:ext uri="{FF2B5EF4-FFF2-40B4-BE49-F238E27FC236}">
              <a16:creationId xmlns:a16="http://schemas.microsoft.com/office/drawing/2014/main" id="{43F98691-9458-4841-B341-CA3B0257C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84667</xdr:colOff>
      <xdr:row>17</xdr:row>
      <xdr:rowOff>103294</xdr:rowOff>
    </xdr:from>
    <xdr:to>
      <xdr:col>6</xdr:col>
      <xdr:colOff>643467</xdr:colOff>
      <xdr:row>30</xdr:row>
      <xdr:rowOff>106680</xdr:rowOff>
    </xdr:to>
    <xdr:graphicFrame macro="">
      <xdr:nvGraphicFramePr>
        <xdr:cNvPr id="3" name="Γράφημα 2">
          <a:extLst>
            <a:ext uri="{FF2B5EF4-FFF2-40B4-BE49-F238E27FC236}">
              <a16:creationId xmlns:a16="http://schemas.microsoft.com/office/drawing/2014/main" id="{B51ADA13-7BB5-4AFE-8F03-BAD4E1472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13547</xdr:colOff>
      <xdr:row>4</xdr:row>
      <xdr:rowOff>11854</xdr:rowOff>
    </xdr:from>
    <xdr:to>
      <xdr:col>14</xdr:col>
      <xdr:colOff>20320</xdr:colOff>
      <xdr:row>17</xdr:row>
      <xdr:rowOff>22860</xdr:rowOff>
    </xdr:to>
    <xdr:graphicFrame macro="">
      <xdr:nvGraphicFramePr>
        <xdr:cNvPr id="4" name="Γράφημα 3">
          <a:extLst>
            <a:ext uri="{FF2B5EF4-FFF2-40B4-BE49-F238E27FC236}">
              <a16:creationId xmlns:a16="http://schemas.microsoft.com/office/drawing/2014/main" id="{699CF31E-8D59-497F-B0A8-E758181BF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17230</xdr:colOff>
      <xdr:row>17</xdr:row>
      <xdr:rowOff>88401</xdr:rowOff>
    </xdr:from>
    <xdr:to>
      <xdr:col>13</xdr:col>
      <xdr:colOff>606212</xdr:colOff>
      <xdr:row>30</xdr:row>
      <xdr:rowOff>99060</xdr:rowOff>
    </xdr:to>
    <xdr:graphicFrame macro="">
      <xdr:nvGraphicFramePr>
        <xdr:cNvPr id="5" name="Γράφημα 4">
          <a:extLst>
            <a:ext uri="{FF2B5EF4-FFF2-40B4-BE49-F238E27FC236}">
              <a16:creationId xmlns:a16="http://schemas.microsoft.com/office/drawing/2014/main" id="{E8E105B4-6D0C-4C9B-923A-076523EF1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499534</xdr:colOff>
      <xdr:row>4</xdr:row>
      <xdr:rowOff>7016</xdr:rowOff>
    </xdr:from>
    <xdr:to>
      <xdr:col>17</xdr:col>
      <xdr:colOff>522756</xdr:colOff>
      <xdr:row>12</xdr:row>
      <xdr:rowOff>16935</xdr:rowOff>
    </xdr:to>
    <mc:AlternateContent xmlns:mc="http://schemas.openxmlformats.org/markup-compatibility/2006">
      <mc:Choice xmlns:a14="http://schemas.microsoft.com/office/drawing/2010/main" Requires="a14">
        <xdr:graphicFrame macro="">
          <xdr:nvGraphicFramePr>
            <xdr:cNvPr id="6" name="Age Group">
              <a:extLst>
                <a:ext uri="{FF2B5EF4-FFF2-40B4-BE49-F238E27FC236}">
                  <a16:creationId xmlns:a16="http://schemas.microsoft.com/office/drawing/2014/main" id="{D04A8431-A6B9-4367-97CD-067D7186C01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557934" y="794416"/>
              <a:ext cx="1852022" cy="1500052"/>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527472</xdr:colOff>
      <xdr:row>13</xdr:row>
      <xdr:rowOff>92771</xdr:rowOff>
    </xdr:from>
    <xdr:to>
      <xdr:col>17</xdr:col>
      <xdr:colOff>496993</xdr:colOff>
      <xdr:row>21</xdr:row>
      <xdr:rowOff>76202</xdr:rowOff>
    </xdr:to>
    <mc:AlternateContent xmlns:mc="http://schemas.openxmlformats.org/markup-compatibility/2006">
      <mc:Choice xmlns:a14="http://schemas.microsoft.com/office/drawing/2010/main" Requires="a14">
        <xdr:graphicFrame macro="">
          <xdr:nvGraphicFramePr>
            <xdr:cNvPr id="7" name="Distance Band">
              <a:extLst>
                <a:ext uri="{FF2B5EF4-FFF2-40B4-BE49-F238E27FC236}">
                  <a16:creationId xmlns:a16="http://schemas.microsoft.com/office/drawing/2014/main" id="{D7E754C3-2F58-40C6-AEBC-C29A003A6689}"/>
                </a:ext>
              </a:extLst>
            </xdr:cNvPr>
            <xdr:cNvGraphicFramePr/>
          </xdr:nvGraphicFramePr>
          <xdr:xfrm>
            <a:off x="0" y="0"/>
            <a:ext cx="0" cy="0"/>
          </xdr:xfrm>
          <a:graphic>
            <a:graphicData uri="http://schemas.microsoft.com/office/drawing/2010/slicer">
              <sle:slicer xmlns:sle="http://schemas.microsoft.com/office/drawing/2010/slicer" name="Distance Band"/>
            </a:graphicData>
          </a:graphic>
        </xdr:graphicFrame>
      </mc:Choice>
      <mc:Fallback>
        <xdr:sp macro="" textlink="">
          <xdr:nvSpPr>
            <xdr:cNvPr id="0" name=""/>
            <xdr:cNvSpPr>
              <a:spLocks noTextEdit="1"/>
            </xdr:cNvSpPr>
          </xdr:nvSpPr>
          <xdr:spPr>
            <a:xfrm>
              <a:off x="10585872" y="2556571"/>
              <a:ext cx="1798321" cy="1473564"/>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534368</xdr:colOff>
      <xdr:row>22</xdr:row>
      <xdr:rowOff>108373</xdr:rowOff>
    </xdr:from>
    <xdr:to>
      <xdr:col>17</xdr:col>
      <xdr:colOff>514048</xdr:colOff>
      <xdr:row>30</xdr:row>
      <xdr:rowOff>101600</xdr:rowOff>
    </xdr:to>
    <mc:AlternateContent xmlns:mc="http://schemas.openxmlformats.org/markup-compatibility/2006">
      <mc:Choice xmlns:a14="http://schemas.microsoft.com/office/drawing/2010/main" Requires="a14">
        <xdr:graphicFrame macro="">
          <xdr:nvGraphicFramePr>
            <xdr:cNvPr id="8" name="BMI Category">
              <a:extLst>
                <a:ext uri="{FF2B5EF4-FFF2-40B4-BE49-F238E27FC236}">
                  <a16:creationId xmlns:a16="http://schemas.microsoft.com/office/drawing/2014/main" id="{864FFA08-FE55-4F74-821F-CD2C287292A1}"/>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10592768" y="4248573"/>
              <a:ext cx="1808480" cy="148336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wteini Nikolaidou" refreshedDate="46029.840387615739" createdVersion="8" refreshedVersion="8" minRefreshableVersion="3" recordCount="740" xr:uid="{AFFC2B83-0601-483E-8E75-822DD13D0506}">
  <cacheSource type="worksheet">
    <worksheetSource name="tbl_abs"/>
  </cacheSource>
  <cacheFields count="26">
    <cacheField name="ID" numFmtId="0">
      <sharedItems containsSemiMixedTypes="0" containsString="0" containsNumber="1" containsInteger="1" minValue="1" maxValue="36" count="36">
        <n v="4"/>
        <n v="8"/>
        <n v="35"/>
        <n v="28"/>
        <n v="34"/>
        <n v="14"/>
        <n v="27"/>
        <n v="22"/>
        <n v="11"/>
        <n v="1"/>
        <n v="15"/>
        <n v="5"/>
        <n v="36"/>
        <n v="3"/>
        <n v="17"/>
        <n v="32"/>
        <n v="24"/>
        <n v="6"/>
        <n v="20"/>
        <n v="31"/>
        <n v="18"/>
        <n v="30"/>
        <n v="33"/>
        <n v="29"/>
        <n v="12"/>
        <n v="25"/>
        <n v="19"/>
        <n v="7"/>
        <n v="23"/>
        <n v="10"/>
        <n v="13"/>
        <n v="9"/>
        <n v="16"/>
        <n v="2"/>
        <n v="26"/>
        <n v="21"/>
      </sharedItems>
    </cacheField>
    <cacheField name="Reason for absence" numFmtId="0">
      <sharedItems containsString="0" containsBlank="1" containsNumber="1" containsInteger="1" minValue="0" maxValue="28" count="29">
        <n v="0"/>
        <n v="23"/>
        <n v="19"/>
        <n v="27"/>
        <n v="18"/>
        <n v="28"/>
        <n v="22"/>
        <n v="13"/>
        <n v="26"/>
        <n v="3"/>
        <m/>
        <n v="12"/>
        <n v="25"/>
        <n v="10"/>
        <n v="1"/>
        <n v="11"/>
        <n v="7"/>
        <n v="17"/>
        <n v="14"/>
        <n v="6"/>
        <n v="8"/>
        <n v="21"/>
        <n v="16"/>
        <n v="5"/>
        <n v="15"/>
        <n v="9"/>
        <n v="24"/>
        <n v="4"/>
        <n v="2"/>
      </sharedItems>
    </cacheField>
    <cacheField name="Month of absence" numFmtId="1">
      <sharedItems containsString="0" containsBlank="1" containsNumber="1" containsInteger="1" minValue="0" maxValue="12"/>
    </cacheField>
    <cacheField name="Day of the week" numFmtId="0">
      <sharedItems containsSemiMixedTypes="0" containsString="0" containsNumber="1" containsInteger="1" minValue="2" maxValue="6"/>
    </cacheField>
    <cacheField name="Seasons" numFmtId="0">
      <sharedItems containsSemiMixedTypes="0" containsString="0" containsNumber="1" containsInteger="1" minValue="1" maxValue="4"/>
    </cacheField>
    <cacheField name="Transportation expense" numFmtId="0">
      <sharedItems containsString="0" containsBlank="1" containsNumber="1" containsInteger="1" minValue="118" maxValue="388"/>
    </cacheField>
    <cacheField name="Distance from Residence to Work" numFmtId="1">
      <sharedItems containsString="0" containsBlank="1" containsNumber="1" containsInteger="1" minValue="5" maxValue="52"/>
    </cacheField>
    <cacheField name="Service time" numFmtId="0">
      <sharedItems containsString="0" containsBlank="1" containsNumber="1" containsInteger="1" minValue="1" maxValue="29"/>
    </cacheField>
    <cacheField name="Age" numFmtId="1">
      <sharedItems containsString="0" containsBlank="1" containsNumber="1" containsInteger="1" minValue="27" maxValue="58"/>
    </cacheField>
    <cacheField name="Work load Average/day " numFmtId="3">
      <sharedItems containsString="0" containsBlank="1" containsNumber="1" containsInteger="1" minValue="205917" maxValue="378884"/>
    </cacheField>
    <cacheField name="Hit target" numFmtId="0">
      <sharedItems containsString="0" containsBlank="1" containsNumber="1" containsInteger="1" minValue="81" maxValue="100"/>
    </cacheField>
    <cacheField name="Disciplinary failure" numFmtId="0">
      <sharedItems containsString="0" containsBlank="1" containsNumber="1" containsInteger="1" minValue="0" maxValue="1"/>
    </cacheField>
    <cacheField name="Education" numFmtId="0">
      <sharedItems containsString="0" containsBlank="1" containsNumber="1" containsInteger="1" minValue="1" maxValue="4"/>
    </cacheField>
    <cacheField name="Son" numFmtId="0">
      <sharedItems containsString="0" containsBlank="1" containsNumber="1" containsInteger="1" minValue="0" maxValue="4"/>
    </cacheField>
    <cacheField name="Social drinker" numFmtId="0">
      <sharedItems containsString="0" containsBlank="1" containsNumber="1" containsInteger="1" minValue="0" maxValue="1"/>
    </cacheField>
    <cacheField name="Social smoker" numFmtId="0">
      <sharedItems containsString="0" containsBlank="1" containsNumber="1" containsInteger="1" minValue="0" maxValue="1"/>
    </cacheField>
    <cacheField name="Pet" numFmtId="0">
      <sharedItems containsString="0" containsBlank="1" containsNumber="1" containsInteger="1" minValue="0" maxValue="8"/>
    </cacheField>
    <cacheField name="Weight" numFmtId="0">
      <sharedItems containsString="0" containsBlank="1" containsNumber="1" containsInteger="1" minValue="56" maxValue="108"/>
    </cacheField>
    <cacheField name="Height" numFmtId="0">
      <sharedItems containsString="0" containsBlank="1" containsNumber="1" containsInteger="1" minValue="163" maxValue="196"/>
    </cacheField>
    <cacheField name="Body Mass Index" numFmtId="0">
      <sharedItems containsString="0" containsBlank="1" containsNumber="1" containsInteger="1" minValue="19" maxValue="38"/>
    </cacheField>
    <cacheField name="Absenteeism time in hours" numFmtId="0">
      <sharedItems containsString="0" containsBlank="1" containsNumber="1" containsInteger="1" minValue="0" maxValue="120"/>
    </cacheField>
    <cacheField name="Month Name" numFmtId="0">
      <sharedItems count="25">
        <s v="Unknown"/>
        <s v="Jan"/>
        <s v="Feb"/>
        <s v="Mar"/>
        <s v="Apr"/>
        <s v="May"/>
        <s v="Jun"/>
        <s v="Jul"/>
        <s v="Aug"/>
        <s v="Sep"/>
        <s v="Oct"/>
        <s v="Nov"/>
        <s v="Dec"/>
        <s v="July" u="1"/>
        <s v="August" u="1"/>
        <s v="September" u="1"/>
        <s v="October" u="1"/>
        <e v="#VALUE!" u="1"/>
        <s v="November" u="1"/>
        <s v="December" u="1"/>
        <s v="January" u="1"/>
        <s v="February" u="1"/>
        <s v="March" u="1"/>
        <s v="April" u="1"/>
        <s v="June" u="1"/>
      </sharedItems>
    </cacheField>
    <cacheField name="Age Group" numFmtId="0">
      <sharedItems count="4">
        <s v="40–49"/>
        <s v="30–39"/>
        <s v="50–59"/>
        <s v="&lt;30"/>
      </sharedItems>
    </cacheField>
    <cacheField name="Distance Band" numFmtId="0">
      <sharedItems count="4">
        <s v="11–20"/>
        <s v="21+"/>
        <s v="6–10"/>
        <s v="0–5"/>
      </sharedItems>
    </cacheField>
    <cacheField name="BMI Category" numFmtId="0">
      <sharedItems count="4">
        <s v="Obese"/>
        <s v="Overweight"/>
        <s v="Normal"/>
        <s v="Underweight"/>
      </sharedItems>
    </cacheField>
    <cacheField name="Absence Bucket" numFmtId="0">
      <sharedItems/>
    </cacheField>
  </cacheFields>
  <extLst>
    <ext xmlns:x14="http://schemas.microsoft.com/office/spreadsheetml/2009/9/main" uri="{725AE2AE-9491-48be-B2B4-4EB974FC3084}">
      <x14:pivotCacheDefinition pivotCacheId="1716107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0">
  <r>
    <x v="0"/>
    <x v="0"/>
    <n v="0"/>
    <n v="3"/>
    <n v="1"/>
    <n v="118"/>
    <n v="14"/>
    <n v="13"/>
    <n v="40"/>
    <n v="271219"/>
    <n v="95"/>
    <n v="0"/>
    <n v="1"/>
    <n v="1"/>
    <n v="1"/>
    <n v="0"/>
    <n v="8"/>
    <n v="98"/>
    <n v="170"/>
    <n v="34"/>
    <n v="0"/>
    <x v="0"/>
    <x v="0"/>
    <x v="0"/>
    <x v="0"/>
    <s v="0–2"/>
  </r>
  <r>
    <x v="1"/>
    <x v="0"/>
    <n v="0"/>
    <n v="4"/>
    <n v="2"/>
    <n v="231"/>
    <n v="35"/>
    <n v="14"/>
    <n v="39"/>
    <n v="271219"/>
    <n v="95"/>
    <n v="0"/>
    <n v="1"/>
    <n v="2"/>
    <n v="1"/>
    <n v="0"/>
    <n v="2"/>
    <n v="100"/>
    <n v="170"/>
    <n v="35"/>
    <n v="0"/>
    <x v="0"/>
    <x v="1"/>
    <x v="1"/>
    <x v="0"/>
    <s v="0–2"/>
  </r>
  <r>
    <x v="2"/>
    <x v="0"/>
    <n v="0"/>
    <n v="6"/>
    <n v="3"/>
    <n v="179"/>
    <n v="45"/>
    <n v="14"/>
    <n v="53"/>
    <n v="271219"/>
    <n v="95"/>
    <n v="0"/>
    <n v="1"/>
    <n v="1"/>
    <n v="0"/>
    <n v="0"/>
    <n v="1"/>
    <n v="77"/>
    <n v="175"/>
    <n v="25"/>
    <n v="0"/>
    <x v="0"/>
    <x v="2"/>
    <x v="1"/>
    <x v="1"/>
    <s v="0–2"/>
  </r>
  <r>
    <x v="3"/>
    <x v="1"/>
    <n v="1"/>
    <n v="4"/>
    <n v="2"/>
    <n v="225"/>
    <n v="26"/>
    <n v="9"/>
    <n v="28"/>
    <m/>
    <n v="95"/>
    <n v="0"/>
    <n v="1"/>
    <n v="1"/>
    <n v="0"/>
    <n v="0"/>
    <n v="2"/>
    <n v="69"/>
    <m/>
    <n v="24"/>
    <n v="1"/>
    <x v="1"/>
    <x v="3"/>
    <x v="1"/>
    <x v="2"/>
    <s v="0–2"/>
  </r>
  <r>
    <x v="4"/>
    <x v="2"/>
    <n v="1"/>
    <n v="2"/>
    <n v="2"/>
    <n v="118"/>
    <n v="10"/>
    <n v="10"/>
    <n v="37"/>
    <m/>
    <n v="95"/>
    <n v="0"/>
    <n v="1"/>
    <n v="0"/>
    <n v="0"/>
    <m/>
    <n v="0"/>
    <n v="83"/>
    <m/>
    <n v="28"/>
    <n v="1"/>
    <x v="1"/>
    <x v="1"/>
    <x v="2"/>
    <x v="1"/>
    <s v="0–2"/>
  </r>
  <r>
    <x v="4"/>
    <x v="3"/>
    <n v="1"/>
    <n v="3"/>
    <n v="2"/>
    <n v="118"/>
    <n v="10"/>
    <m/>
    <n v="37"/>
    <n v="308593"/>
    <n v="95"/>
    <n v="0"/>
    <m/>
    <n v="0"/>
    <n v="0"/>
    <n v="0"/>
    <n v="0"/>
    <n v="83"/>
    <n v="172"/>
    <n v="28"/>
    <n v="1"/>
    <x v="1"/>
    <x v="1"/>
    <x v="2"/>
    <x v="1"/>
    <s v="0–2"/>
  </r>
  <r>
    <x v="5"/>
    <x v="4"/>
    <n v="1"/>
    <n v="3"/>
    <n v="2"/>
    <n v="155"/>
    <n v="12"/>
    <n v="14"/>
    <n v="34"/>
    <n v="308593"/>
    <m/>
    <n v="0"/>
    <m/>
    <n v="2"/>
    <n v="1"/>
    <n v="0"/>
    <n v="0"/>
    <n v="95"/>
    <n v="196"/>
    <n v="25"/>
    <n v="8"/>
    <x v="1"/>
    <x v="1"/>
    <x v="0"/>
    <x v="1"/>
    <s v="3–8"/>
  </r>
  <r>
    <x v="3"/>
    <x v="3"/>
    <n v="1"/>
    <n v="4"/>
    <n v="2"/>
    <n v="225"/>
    <n v="26"/>
    <n v="9"/>
    <n v="28"/>
    <n v="308593"/>
    <n v="95"/>
    <n v="0"/>
    <n v="1"/>
    <n v="1"/>
    <n v="0"/>
    <n v="0"/>
    <n v="2"/>
    <n v="69"/>
    <n v="169"/>
    <n v="24"/>
    <n v="2"/>
    <x v="1"/>
    <x v="3"/>
    <x v="1"/>
    <x v="2"/>
    <s v="0–2"/>
  </r>
  <r>
    <x v="6"/>
    <x v="1"/>
    <n v="1"/>
    <n v="5"/>
    <n v="2"/>
    <n v="184"/>
    <n v="42"/>
    <n v="7"/>
    <n v="27"/>
    <n v="308593"/>
    <n v="95"/>
    <n v="0"/>
    <n v="1"/>
    <n v="0"/>
    <n v="0"/>
    <n v="0"/>
    <n v="0"/>
    <m/>
    <n v="167"/>
    <n v="21"/>
    <n v="2"/>
    <x v="1"/>
    <x v="3"/>
    <x v="1"/>
    <x v="2"/>
    <s v="0–2"/>
  </r>
  <r>
    <x v="3"/>
    <x v="5"/>
    <n v="1"/>
    <n v="5"/>
    <n v="2"/>
    <n v="225"/>
    <n v="26"/>
    <n v="9"/>
    <n v="28"/>
    <n v="308593"/>
    <n v="95"/>
    <n v="0"/>
    <n v="1"/>
    <n v="1"/>
    <n v="0"/>
    <n v="0"/>
    <n v="2"/>
    <n v="69"/>
    <n v="169"/>
    <n v="24"/>
    <n v="2"/>
    <x v="1"/>
    <x v="3"/>
    <x v="1"/>
    <x v="2"/>
    <s v="0–2"/>
  </r>
  <r>
    <x v="3"/>
    <x v="3"/>
    <n v="1"/>
    <n v="6"/>
    <n v="2"/>
    <n v="225"/>
    <n v="26"/>
    <n v="9"/>
    <n v="28"/>
    <n v="308593"/>
    <n v="95"/>
    <n v="0"/>
    <n v="1"/>
    <n v="1"/>
    <n v="0"/>
    <n v="0"/>
    <n v="2"/>
    <n v="69"/>
    <n v="169"/>
    <n v="24"/>
    <n v="1"/>
    <x v="1"/>
    <x v="3"/>
    <x v="1"/>
    <x v="2"/>
    <s v="0–2"/>
  </r>
  <r>
    <x v="4"/>
    <x v="3"/>
    <n v="1"/>
    <n v="2"/>
    <n v="2"/>
    <n v="118"/>
    <n v="10"/>
    <n v="10"/>
    <n v="37"/>
    <n v="308593"/>
    <n v="95"/>
    <n v="0"/>
    <n v="1"/>
    <n v="0"/>
    <n v="0"/>
    <n v="0"/>
    <n v="0"/>
    <n v="83"/>
    <n v="172"/>
    <n v="28"/>
    <n v="2"/>
    <x v="1"/>
    <x v="1"/>
    <x v="2"/>
    <x v="1"/>
    <s v="0–2"/>
  </r>
  <r>
    <x v="3"/>
    <x v="3"/>
    <n v="1"/>
    <n v="3"/>
    <n v="2"/>
    <n v="225"/>
    <n v="26"/>
    <n v="9"/>
    <n v="28"/>
    <n v="308593"/>
    <n v="95"/>
    <n v="0"/>
    <n v="1"/>
    <n v="1"/>
    <n v="0"/>
    <n v="0"/>
    <n v="2"/>
    <n v="69"/>
    <n v="169"/>
    <n v="24"/>
    <n v="2"/>
    <x v="1"/>
    <x v="3"/>
    <x v="1"/>
    <x v="2"/>
    <s v="0–2"/>
  </r>
  <r>
    <x v="4"/>
    <x v="3"/>
    <n v="1"/>
    <n v="3"/>
    <n v="2"/>
    <n v="118"/>
    <n v="10"/>
    <n v="10"/>
    <n v="37"/>
    <n v="308593"/>
    <m/>
    <n v="0"/>
    <n v="1"/>
    <n v="0"/>
    <n v="0"/>
    <n v="0"/>
    <n v="0"/>
    <n v="83"/>
    <n v="172"/>
    <n v="28"/>
    <n v="2"/>
    <x v="1"/>
    <x v="1"/>
    <x v="2"/>
    <x v="1"/>
    <s v="0–2"/>
  </r>
  <r>
    <x v="4"/>
    <x v="3"/>
    <n v="1"/>
    <n v="4"/>
    <n v="2"/>
    <n v="118"/>
    <n v="10"/>
    <n v="10"/>
    <n v="37"/>
    <n v="308593"/>
    <m/>
    <n v="0"/>
    <n v="1"/>
    <n v="0"/>
    <n v="0"/>
    <n v="0"/>
    <n v="0"/>
    <n v="83"/>
    <n v="172"/>
    <n v="28"/>
    <n v="2"/>
    <x v="1"/>
    <x v="1"/>
    <x v="2"/>
    <x v="1"/>
    <s v="0–2"/>
  </r>
  <r>
    <x v="4"/>
    <x v="3"/>
    <n v="1"/>
    <n v="5"/>
    <n v="2"/>
    <n v="118"/>
    <n v="10"/>
    <n v="10"/>
    <n v="37"/>
    <n v="308593"/>
    <n v="95"/>
    <n v="0"/>
    <n v="1"/>
    <m/>
    <n v="0"/>
    <n v="0"/>
    <n v="0"/>
    <n v="83"/>
    <n v="172"/>
    <n v="28"/>
    <n v="2"/>
    <x v="1"/>
    <x v="1"/>
    <x v="2"/>
    <x v="1"/>
    <s v="0–2"/>
  </r>
  <r>
    <x v="4"/>
    <x v="3"/>
    <n v="1"/>
    <n v="6"/>
    <n v="2"/>
    <n v="118"/>
    <n v="10"/>
    <n v="10"/>
    <n v="37"/>
    <n v="308593"/>
    <n v="95"/>
    <n v="0"/>
    <n v="1"/>
    <n v="0"/>
    <n v="0"/>
    <n v="0"/>
    <n v="0"/>
    <n v="83"/>
    <n v="172"/>
    <n v="28"/>
    <n v="2"/>
    <x v="1"/>
    <x v="1"/>
    <x v="2"/>
    <x v="1"/>
    <s v="0–2"/>
  </r>
  <r>
    <x v="4"/>
    <x v="3"/>
    <n v="1"/>
    <n v="2"/>
    <n v="2"/>
    <n v="118"/>
    <n v="10"/>
    <n v="10"/>
    <n v="37"/>
    <n v="308593"/>
    <n v="95"/>
    <n v="0"/>
    <m/>
    <n v="0"/>
    <n v="0"/>
    <n v="0"/>
    <n v="0"/>
    <n v="83"/>
    <n v="172"/>
    <n v="28"/>
    <n v="2"/>
    <x v="1"/>
    <x v="1"/>
    <x v="2"/>
    <x v="1"/>
    <s v="0–2"/>
  </r>
  <r>
    <x v="4"/>
    <x v="3"/>
    <n v="1"/>
    <n v="3"/>
    <n v="2"/>
    <n v="118"/>
    <n v="10"/>
    <n v="10"/>
    <n v="37"/>
    <n v="308593"/>
    <n v="95"/>
    <n v="0"/>
    <m/>
    <n v="0"/>
    <n v="0"/>
    <n v="0"/>
    <n v="0"/>
    <n v="83"/>
    <n v="172"/>
    <n v="28"/>
    <n v="2"/>
    <x v="1"/>
    <x v="1"/>
    <x v="2"/>
    <x v="1"/>
    <s v="0–2"/>
  </r>
  <r>
    <x v="7"/>
    <x v="4"/>
    <n v="1"/>
    <n v="3"/>
    <n v="2"/>
    <n v="179"/>
    <n v="26"/>
    <n v="9"/>
    <n v="30"/>
    <n v="308593"/>
    <n v="95"/>
    <m/>
    <n v="3"/>
    <n v="0"/>
    <n v="0"/>
    <n v="0"/>
    <n v="0"/>
    <n v="56"/>
    <n v="171"/>
    <n v="19"/>
    <n v="8"/>
    <x v="1"/>
    <x v="1"/>
    <x v="1"/>
    <x v="2"/>
    <s v="3–8"/>
  </r>
  <r>
    <x v="8"/>
    <x v="4"/>
    <n v="1"/>
    <n v="3"/>
    <n v="2"/>
    <n v="289"/>
    <n v="36"/>
    <n v="13"/>
    <n v="33"/>
    <n v="308593"/>
    <n v="95"/>
    <n v="0"/>
    <n v="1"/>
    <n v="2"/>
    <n v="1"/>
    <n v="0"/>
    <n v="1"/>
    <n v="90"/>
    <n v="172"/>
    <n v="30"/>
    <n v="8"/>
    <x v="1"/>
    <x v="1"/>
    <x v="1"/>
    <x v="0"/>
    <s v="3–8"/>
  </r>
  <r>
    <x v="4"/>
    <x v="3"/>
    <n v="1"/>
    <n v="4"/>
    <n v="2"/>
    <n v="118"/>
    <n v="10"/>
    <m/>
    <n v="37"/>
    <n v="308593"/>
    <n v="95"/>
    <n v="0"/>
    <m/>
    <m/>
    <n v="0"/>
    <n v="0"/>
    <n v="0"/>
    <n v="83"/>
    <m/>
    <n v="28"/>
    <n v="2"/>
    <x v="1"/>
    <x v="1"/>
    <x v="2"/>
    <x v="1"/>
    <s v="0–2"/>
  </r>
  <r>
    <x v="6"/>
    <x v="1"/>
    <n v="1"/>
    <n v="5"/>
    <n v="2"/>
    <n v="184"/>
    <n v="42"/>
    <n v="7"/>
    <n v="27"/>
    <m/>
    <n v="95"/>
    <n v="0"/>
    <n v="1"/>
    <n v="0"/>
    <n v="0"/>
    <n v="0"/>
    <n v="0"/>
    <n v="58"/>
    <m/>
    <n v="21"/>
    <n v="2"/>
    <x v="1"/>
    <x v="3"/>
    <x v="1"/>
    <x v="2"/>
    <s v="0–2"/>
  </r>
  <r>
    <x v="4"/>
    <x v="3"/>
    <n v="1"/>
    <n v="5"/>
    <n v="2"/>
    <n v="118"/>
    <n v="10"/>
    <n v="10"/>
    <n v="37"/>
    <n v="308593"/>
    <n v="95"/>
    <m/>
    <n v="1"/>
    <n v="0"/>
    <n v="0"/>
    <n v="0"/>
    <n v="0"/>
    <n v="83"/>
    <n v="172"/>
    <n v="28"/>
    <n v="2"/>
    <x v="1"/>
    <x v="1"/>
    <x v="2"/>
    <x v="1"/>
    <s v="0–2"/>
  </r>
  <r>
    <x v="4"/>
    <x v="3"/>
    <n v="1"/>
    <n v="2"/>
    <n v="2"/>
    <n v="118"/>
    <n v="10"/>
    <n v="10"/>
    <n v="37"/>
    <n v="308593"/>
    <n v="95"/>
    <n v="0"/>
    <n v="1"/>
    <n v="0"/>
    <n v="0"/>
    <n v="0"/>
    <n v="0"/>
    <n v="83"/>
    <n v="172"/>
    <n v="28"/>
    <n v="0"/>
    <x v="1"/>
    <x v="1"/>
    <x v="2"/>
    <x v="1"/>
    <s v="0–2"/>
  </r>
  <r>
    <x v="3"/>
    <x v="1"/>
    <n v="1"/>
    <n v="3"/>
    <n v="2"/>
    <n v="225"/>
    <n v="26"/>
    <n v="9"/>
    <n v="28"/>
    <n v="308593"/>
    <n v="95"/>
    <n v="0"/>
    <n v="1"/>
    <n v="1"/>
    <n v="0"/>
    <n v="0"/>
    <n v="2"/>
    <n v="69"/>
    <n v="169"/>
    <n v="24"/>
    <n v="1"/>
    <x v="1"/>
    <x v="3"/>
    <x v="1"/>
    <x v="2"/>
    <s v="0–2"/>
  </r>
  <r>
    <x v="8"/>
    <x v="6"/>
    <n v="1"/>
    <n v="5"/>
    <n v="2"/>
    <n v="289"/>
    <n v="36"/>
    <n v="13"/>
    <n v="33"/>
    <n v="308593"/>
    <n v="95"/>
    <n v="0"/>
    <n v="1"/>
    <n v="2"/>
    <n v="1"/>
    <n v="0"/>
    <n v="1"/>
    <n v="90"/>
    <n v="172"/>
    <n v="30"/>
    <n v="3"/>
    <x v="1"/>
    <x v="1"/>
    <x v="1"/>
    <x v="0"/>
    <s v="3–8"/>
  </r>
  <r>
    <x v="3"/>
    <x v="1"/>
    <n v="1"/>
    <n v="4"/>
    <n v="2"/>
    <n v="225"/>
    <n v="26"/>
    <n v="9"/>
    <n v="28"/>
    <n v="330061"/>
    <n v="100"/>
    <n v="0"/>
    <n v="1"/>
    <n v="1"/>
    <n v="0"/>
    <n v="0"/>
    <n v="2"/>
    <n v="69"/>
    <n v="169"/>
    <n v="24"/>
    <n v="5"/>
    <x v="1"/>
    <x v="3"/>
    <x v="1"/>
    <x v="2"/>
    <s v="3–8"/>
  </r>
  <r>
    <x v="4"/>
    <x v="2"/>
    <n v="1"/>
    <n v="2"/>
    <n v="2"/>
    <n v="118"/>
    <n v="10"/>
    <n v="10"/>
    <n v="37"/>
    <n v="330061"/>
    <n v="100"/>
    <n v="0"/>
    <n v="1"/>
    <n v="0"/>
    <n v="0"/>
    <n v="0"/>
    <n v="0"/>
    <n v="83"/>
    <n v="172"/>
    <n v="28"/>
    <n v="32"/>
    <x v="1"/>
    <x v="1"/>
    <x v="2"/>
    <x v="1"/>
    <s v="17+"/>
  </r>
  <r>
    <x v="5"/>
    <x v="1"/>
    <n v="1"/>
    <n v="2"/>
    <n v="2"/>
    <n v="155"/>
    <n v="12"/>
    <n v="14"/>
    <n v="34"/>
    <n v="330061"/>
    <n v="100"/>
    <n v="0"/>
    <n v="1"/>
    <n v="2"/>
    <n v="1"/>
    <n v="0"/>
    <n v="0"/>
    <n v="95"/>
    <n v="196"/>
    <n v="25"/>
    <n v="2"/>
    <x v="1"/>
    <x v="1"/>
    <x v="0"/>
    <x v="1"/>
    <s v="0–2"/>
  </r>
  <r>
    <x v="9"/>
    <x v="7"/>
    <n v="1"/>
    <n v="3"/>
    <n v="2"/>
    <n v="235"/>
    <n v="11"/>
    <n v="14"/>
    <n v="37"/>
    <n v="330061"/>
    <n v="100"/>
    <n v="0"/>
    <n v="3"/>
    <n v="1"/>
    <n v="0"/>
    <n v="0"/>
    <n v="1"/>
    <n v="88"/>
    <n v="172"/>
    <n v="29"/>
    <n v="1"/>
    <x v="1"/>
    <x v="1"/>
    <x v="0"/>
    <x v="1"/>
    <s v="0–2"/>
  </r>
  <r>
    <x v="5"/>
    <x v="1"/>
    <n v="1"/>
    <n v="3"/>
    <n v="2"/>
    <n v="155"/>
    <n v="12"/>
    <n v="14"/>
    <n v="34"/>
    <n v="330061"/>
    <n v="100"/>
    <n v="0"/>
    <n v="1"/>
    <n v="2"/>
    <n v="1"/>
    <n v="0"/>
    <n v="0"/>
    <n v="95"/>
    <n v="196"/>
    <n v="25"/>
    <n v="4"/>
    <x v="1"/>
    <x v="1"/>
    <x v="0"/>
    <x v="1"/>
    <s v="3–8"/>
  </r>
  <r>
    <x v="8"/>
    <x v="8"/>
    <n v="1"/>
    <n v="2"/>
    <n v="2"/>
    <n v="289"/>
    <n v="36"/>
    <n v="13"/>
    <n v="33"/>
    <n v="330061"/>
    <n v="100"/>
    <n v="0"/>
    <n v="1"/>
    <n v="2"/>
    <n v="1"/>
    <n v="0"/>
    <n v="1"/>
    <n v="90"/>
    <n v="172"/>
    <n v="30"/>
    <n v="8"/>
    <x v="1"/>
    <x v="1"/>
    <x v="1"/>
    <x v="0"/>
    <s v="3–8"/>
  </r>
  <r>
    <x v="10"/>
    <x v="9"/>
    <n v="1"/>
    <n v="4"/>
    <n v="2"/>
    <n v="291"/>
    <n v="31"/>
    <n v="12"/>
    <n v="40"/>
    <n v="330061"/>
    <n v="100"/>
    <n v="0"/>
    <n v="1"/>
    <n v="1"/>
    <n v="1"/>
    <n v="0"/>
    <n v="1"/>
    <n v="73"/>
    <n v="171"/>
    <n v="25"/>
    <n v="8"/>
    <x v="1"/>
    <x v="0"/>
    <x v="1"/>
    <x v="1"/>
    <s v="3–8"/>
  </r>
  <r>
    <x v="11"/>
    <x v="8"/>
    <n v="1"/>
    <n v="2"/>
    <n v="2"/>
    <n v="235"/>
    <n v="20"/>
    <n v="13"/>
    <n v="43"/>
    <n v="330061"/>
    <n v="100"/>
    <n v="0"/>
    <n v="1"/>
    <n v="1"/>
    <n v="1"/>
    <n v="0"/>
    <n v="0"/>
    <n v="106"/>
    <n v="167"/>
    <n v="38"/>
    <n v="8"/>
    <x v="1"/>
    <x v="0"/>
    <x v="0"/>
    <x v="0"/>
    <s v="3–8"/>
  </r>
  <r>
    <x v="12"/>
    <x v="8"/>
    <n v="1"/>
    <n v="2"/>
    <n v="2"/>
    <n v="118"/>
    <n v="13"/>
    <n v="18"/>
    <n v="50"/>
    <n v="330061"/>
    <n v="100"/>
    <n v="0"/>
    <n v="1"/>
    <n v="1"/>
    <n v="1"/>
    <n v="0"/>
    <n v="0"/>
    <n v="98"/>
    <n v="178"/>
    <n v="31"/>
    <n v="4"/>
    <x v="1"/>
    <x v="2"/>
    <x v="0"/>
    <x v="0"/>
    <s v="3–8"/>
  </r>
  <r>
    <x v="13"/>
    <x v="10"/>
    <n v="1"/>
    <n v="4"/>
    <n v="2"/>
    <n v="179"/>
    <n v="51"/>
    <n v="18"/>
    <n v="38"/>
    <n v="330061"/>
    <n v="100"/>
    <n v="0"/>
    <n v="1"/>
    <n v="0"/>
    <n v="1"/>
    <n v="0"/>
    <n v="0"/>
    <n v="89"/>
    <n v="170"/>
    <n v="31"/>
    <n v="1"/>
    <x v="1"/>
    <x v="1"/>
    <x v="1"/>
    <x v="0"/>
    <s v="0–2"/>
  </r>
  <r>
    <x v="13"/>
    <x v="5"/>
    <n v="1"/>
    <n v="6"/>
    <n v="2"/>
    <n v="179"/>
    <n v="51"/>
    <n v="18"/>
    <n v="38"/>
    <n v="330061"/>
    <n v="100"/>
    <n v="0"/>
    <n v="1"/>
    <n v="0"/>
    <n v="1"/>
    <n v="0"/>
    <n v="0"/>
    <n v="89"/>
    <n v="170"/>
    <n v="31"/>
    <n v="1"/>
    <x v="1"/>
    <x v="1"/>
    <x v="1"/>
    <x v="0"/>
    <s v="0–2"/>
  </r>
  <r>
    <x v="7"/>
    <x v="11"/>
    <n v="1"/>
    <n v="2"/>
    <n v="2"/>
    <n v="179"/>
    <n v="26"/>
    <n v="9"/>
    <n v="30"/>
    <n v="313532"/>
    <n v="96"/>
    <n v="0"/>
    <n v="3"/>
    <n v="0"/>
    <n v="0"/>
    <n v="0"/>
    <n v="0"/>
    <n v="56"/>
    <n v="171"/>
    <n v="19"/>
    <n v="24"/>
    <x v="1"/>
    <x v="1"/>
    <x v="1"/>
    <x v="2"/>
    <s v="17+"/>
  </r>
  <r>
    <x v="7"/>
    <x v="11"/>
    <n v="1"/>
    <n v="5"/>
    <n v="2"/>
    <n v="179"/>
    <n v="26"/>
    <n v="9"/>
    <n v="30"/>
    <n v="313532"/>
    <n v="96"/>
    <n v="0"/>
    <n v="3"/>
    <n v="0"/>
    <n v="0"/>
    <n v="0"/>
    <n v="0"/>
    <n v="56"/>
    <n v="171"/>
    <n v="19"/>
    <n v="16"/>
    <x v="1"/>
    <x v="1"/>
    <x v="1"/>
    <x v="2"/>
    <s v="9–16"/>
  </r>
  <r>
    <x v="14"/>
    <x v="12"/>
    <n v="1"/>
    <n v="5"/>
    <n v="2"/>
    <n v="179"/>
    <n v="22"/>
    <n v="17"/>
    <n v="40"/>
    <n v="313532"/>
    <n v="96"/>
    <n v="0"/>
    <n v="2"/>
    <n v="2"/>
    <n v="0"/>
    <n v="1"/>
    <n v="0"/>
    <n v="63"/>
    <n v="170"/>
    <n v="22"/>
    <n v="2"/>
    <x v="1"/>
    <x v="0"/>
    <x v="1"/>
    <x v="2"/>
    <s v="0–2"/>
  </r>
  <r>
    <x v="14"/>
    <x v="12"/>
    <n v="1"/>
    <n v="6"/>
    <n v="2"/>
    <n v="179"/>
    <n v="22"/>
    <n v="17"/>
    <n v="40"/>
    <n v="313532"/>
    <n v="96"/>
    <n v="0"/>
    <n v="2"/>
    <n v="2"/>
    <n v="0"/>
    <n v="1"/>
    <n v="0"/>
    <n v="63"/>
    <n v="170"/>
    <n v="22"/>
    <n v="2"/>
    <x v="1"/>
    <x v="0"/>
    <x v="1"/>
    <x v="2"/>
    <s v="0–2"/>
  </r>
  <r>
    <x v="7"/>
    <x v="7"/>
    <n v="1"/>
    <n v="2"/>
    <n v="2"/>
    <n v="179"/>
    <n v="26"/>
    <n v="9"/>
    <n v="30"/>
    <n v="313532"/>
    <n v="96"/>
    <n v="0"/>
    <n v="3"/>
    <n v="0"/>
    <n v="0"/>
    <n v="0"/>
    <n v="0"/>
    <n v="56"/>
    <n v="171"/>
    <n v="19"/>
    <n v="3"/>
    <x v="1"/>
    <x v="1"/>
    <x v="1"/>
    <x v="2"/>
    <s v="3–8"/>
  </r>
  <r>
    <x v="14"/>
    <x v="12"/>
    <n v="1"/>
    <n v="4"/>
    <n v="2"/>
    <n v="179"/>
    <n v="22"/>
    <n v="17"/>
    <n v="40"/>
    <n v="313532"/>
    <n v="96"/>
    <n v="0"/>
    <n v="2"/>
    <n v="2"/>
    <n v="0"/>
    <n v="1"/>
    <n v="0"/>
    <n v="63"/>
    <n v="170"/>
    <n v="22"/>
    <n v="2"/>
    <x v="1"/>
    <x v="0"/>
    <x v="1"/>
    <x v="2"/>
    <s v="0–2"/>
  </r>
  <r>
    <x v="15"/>
    <x v="13"/>
    <n v="1"/>
    <n v="5"/>
    <n v="2"/>
    <n v="289"/>
    <n v="48"/>
    <n v="29"/>
    <n v="49"/>
    <n v="313532"/>
    <n v="96"/>
    <n v="0"/>
    <n v="1"/>
    <n v="0"/>
    <n v="0"/>
    <n v="0"/>
    <n v="2"/>
    <n v="108"/>
    <n v="172"/>
    <n v="36"/>
    <n v="8"/>
    <x v="1"/>
    <x v="0"/>
    <x v="1"/>
    <x v="0"/>
    <s v="3–8"/>
  </r>
  <r>
    <x v="14"/>
    <x v="4"/>
    <n v="1"/>
    <n v="6"/>
    <n v="2"/>
    <n v="179"/>
    <n v="22"/>
    <n v="17"/>
    <n v="40"/>
    <n v="313532"/>
    <n v="96"/>
    <n v="0"/>
    <n v="2"/>
    <n v="2"/>
    <n v="0"/>
    <n v="1"/>
    <n v="0"/>
    <n v="63"/>
    <n v="170"/>
    <n v="22"/>
    <n v="3"/>
    <x v="1"/>
    <x v="0"/>
    <x v="1"/>
    <x v="2"/>
    <s v="3–8"/>
  </r>
  <r>
    <x v="7"/>
    <x v="3"/>
    <n v="1"/>
    <n v="2"/>
    <n v="2"/>
    <n v="179"/>
    <n v="26"/>
    <n v="9"/>
    <n v="30"/>
    <n v="313532"/>
    <n v="96"/>
    <n v="0"/>
    <n v="3"/>
    <n v="0"/>
    <n v="0"/>
    <n v="0"/>
    <n v="0"/>
    <n v="56"/>
    <n v="171"/>
    <n v="19"/>
    <n v="2"/>
    <x v="1"/>
    <x v="1"/>
    <x v="1"/>
    <x v="2"/>
    <s v="0–2"/>
  </r>
  <r>
    <x v="5"/>
    <x v="4"/>
    <n v="1"/>
    <n v="3"/>
    <n v="2"/>
    <n v="155"/>
    <n v="12"/>
    <n v="14"/>
    <n v="34"/>
    <n v="313532"/>
    <n v="96"/>
    <n v="0"/>
    <n v="1"/>
    <n v="2"/>
    <n v="1"/>
    <n v="0"/>
    <n v="0"/>
    <n v="95"/>
    <n v="196"/>
    <n v="25"/>
    <n v="8"/>
    <x v="1"/>
    <x v="1"/>
    <x v="0"/>
    <x v="1"/>
    <s v="3–8"/>
  </r>
  <r>
    <x v="7"/>
    <x v="3"/>
    <n v="1"/>
    <n v="4"/>
    <n v="2"/>
    <n v="179"/>
    <n v="26"/>
    <n v="9"/>
    <n v="30"/>
    <n v="313532"/>
    <n v="96"/>
    <n v="0"/>
    <n v="3"/>
    <n v="0"/>
    <n v="0"/>
    <n v="0"/>
    <n v="0"/>
    <n v="56"/>
    <n v="171"/>
    <n v="19"/>
    <n v="2"/>
    <x v="1"/>
    <x v="1"/>
    <x v="1"/>
    <x v="2"/>
    <s v="0–2"/>
  </r>
  <r>
    <x v="13"/>
    <x v="3"/>
    <n v="1"/>
    <n v="4"/>
    <n v="2"/>
    <n v="179"/>
    <n v="51"/>
    <n v="18"/>
    <n v="38"/>
    <n v="313532"/>
    <n v="96"/>
    <n v="0"/>
    <n v="1"/>
    <n v="0"/>
    <n v="1"/>
    <n v="0"/>
    <n v="0"/>
    <n v="89"/>
    <n v="170"/>
    <n v="31"/>
    <n v="3"/>
    <x v="1"/>
    <x v="1"/>
    <x v="1"/>
    <x v="0"/>
    <s v="3–8"/>
  </r>
  <r>
    <x v="8"/>
    <x v="7"/>
    <n v="1"/>
    <n v="4"/>
    <n v="2"/>
    <n v="289"/>
    <n v="36"/>
    <n v="13"/>
    <n v="33"/>
    <n v="313532"/>
    <n v="96"/>
    <n v="0"/>
    <n v="1"/>
    <n v="2"/>
    <n v="1"/>
    <n v="0"/>
    <n v="1"/>
    <n v="90"/>
    <n v="172"/>
    <n v="30"/>
    <n v="8"/>
    <x v="1"/>
    <x v="1"/>
    <x v="1"/>
    <x v="0"/>
    <s v="3–8"/>
  </r>
  <r>
    <x v="13"/>
    <x v="3"/>
    <n v="1"/>
    <n v="5"/>
    <n v="2"/>
    <n v="179"/>
    <n v="51"/>
    <n v="18"/>
    <n v="38"/>
    <n v="313532"/>
    <n v="96"/>
    <n v="0"/>
    <n v="1"/>
    <n v="0"/>
    <n v="1"/>
    <n v="0"/>
    <n v="0"/>
    <n v="89"/>
    <n v="170"/>
    <n v="31"/>
    <n v="3"/>
    <x v="1"/>
    <x v="1"/>
    <x v="1"/>
    <x v="0"/>
    <s v="3–8"/>
  </r>
  <r>
    <x v="13"/>
    <x v="3"/>
    <n v="1"/>
    <n v="6"/>
    <n v="2"/>
    <n v="179"/>
    <n v="51"/>
    <n v="18"/>
    <n v="38"/>
    <n v="313532"/>
    <n v="96"/>
    <n v="0"/>
    <n v="1"/>
    <n v="0"/>
    <n v="1"/>
    <n v="0"/>
    <n v="0"/>
    <n v="89"/>
    <n v="170"/>
    <n v="31"/>
    <n v="2"/>
    <x v="1"/>
    <x v="1"/>
    <x v="1"/>
    <x v="0"/>
    <s v="0–2"/>
  </r>
  <r>
    <x v="6"/>
    <x v="1"/>
    <n v="2"/>
    <n v="6"/>
    <n v="2"/>
    <n v="184"/>
    <n v="42"/>
    <n v="7"/>
    <n v="27"/>
    <n v="302585"/>
    <n v="99"/>
    <n v="0"/>
    <n v="1"/>
    <m/>
    <n v="0"/>
    <n v="0"/>
    <n v="0"/>
    <n v="58"/>
    <n v="167"/>
    <n v="21"/>
    <n v="1"/>
    <x v="2"/>
    <x v="3"/>
    <x v="1"/>
    <x v="2"/>
    <s v="0–2"/>
  </r>
  <r>
    <x v="16"/>
    <x v="14"/>
    <n v="2"/>
    <n v="4"/>
    <n v="2"/>
    <n v="246"/>
    <n v="25"/>
    <n v="16"/>
    <n v="41"/>
    <n v="302585"/>
    <n v="99"/>
    <n v="0"/>
    <n v="1"/>
    <n v="0"/>
    <n v="1"/>
    <n v="0"/>
    <n v="0"/>
    <n v="67"/>
    <n v="170"/>
    <n v="23"/>
    <n v="8"/>
    <x v="2"/>
    <x v="0"/>
    <x v="1"/>
    <x v="2"/>
    <s v="3–8"/>
  </r>
  <r>
    <x v="13"/>
    <x v="15"/>
    <n v="2"/>
    <n v="4"/>
    <n v="2"/>
    <n v="179"/>
    <n v="51"/>
    <n v="18"/>
    <n v="38"/>
    <n v="302585"/>
    <n v="99"/>
    <n v="0"/>
    <n v="1"/>
    <n v="0"/>
    <n v="1"/>
    <n v="0"/>
    <n v="0"/>
    <n v="89"/>
    <n v="170"/>
    <n v="31"/>
    <n v="8"/>
    <x v="2"/>
    <x v="1"/>
    <x v="1"/>
    <x v="0"/>
    <s v="3–8"/>
  </r>
  <r>
    <x v="5"/>
    <x v="5"/>
    <n v="2"/>
    <n v="5"/>
    <n v="2"/>
    <n v="155"/>
    <n v="12"/>
    <n v="14"/>
    <n v="34"/>
    <n v="302585"/>
    <n v="99"/>
    <n v="0"/>
    <n v="1"/>
    <n v="2"/>
    <n v="1"/>
    <n v="0"/>
    <n v="0"/>
    <n v="95"/>
    <n v="196"/>
    <n v="25"/>
    <n v="2"/>
    <x v="2"/>
    <x v="1"/>
    <x v="0"/>
    <x v="1"/>
    <s v="0–2"/>
  </r>
  <r>
    <x v="17"/>
    <x v="1"/>
    <n v="2"/>
    <n v="5"/>
    <n v="2"/>
    <n v="189"/>
    <n v="29"/>
    <n v="13"/>
    <n v="33"/>
    <n v="302585"/>
    <n v="99"/>
    <n v="0"/>
    <n v="1"/>
    <n v="2"/>
    <n v="0"/>
    <n v="0"/>
    <n v="2"/>
    <n v="69"/>
    <n v="167"/>
    <n v="25"/>
    <n v="8"/>
    <x v="2"/>
    <x v="1"/>
    <x v="1"/>
    <x v="1"/>
    <s v="3–8"/>
  </r>
  <r>
    <x v="18"/>
    <x v="5"/>
    <n v="2"/>
    <n v="6"/>
    <n v="2"/>
    <n v="260"/>
    <n v="50"/>
    <n v="11"/>
    <n v="36"/>
    <n v="302585"/>
    <n v="99"/>
    <n v="0"/>
    <n v="1"/>
    <n v="4"/>
    <n v="1"/>
    <n v="0"/>
    <n v="0"/>
    <n v="65"/>
    <n v="168"/>
    <n v="23"/>
    <n v="2"/>
    <x v="2"/>
    <x v="1"/>
    <x v="1"/>
    <x v="2"/>
    <s v="0–2"/>
  </r>
  <r>
    <x v="8"/>
    <x v="6"/>
    <n v="2"/>
    <n v="6"/>
    <n v="2"/>
    <n v="289"/>
    <n v="36"/>
    <n v="13"/>
    <n v="33"/>
    <n v="302585"/>
    <n v="99"/>
    <n v="0"/>
    <n v="1"/>
    <n v="2"/>
    <n v="1"/>
    <n v="0"/>
    <n v="1"/>
    <n v="90"/>
    <n v="172"/>
    <n v="30"/>
    <n v="8"/>
    <x v="2"/>
    <x v="1"/>
    <x v="1"/>
    <x v="0"/>
    <s v="3–8"/>
  </r>
  <r>
    <x v="19"/>
    <x v="15"/>
    <n v="2"/>
    <n v="2"/>
    <n v="2"/>
    <n v="388"/>
    <n v="15"/>
    <n v="9"/>
    <n v="50"/>
    <n v="302585"/>
    <n v="99"/>
    <n v="0"/>
    <n v="1"/>
    <n v="0"/>
    <n v="0"/>
    <n v="0"/>
    <n v="0"/>
    <n v="76"/>
    <n v="178"/>
    <n v="24"/>
    <n v="8"/>
    <x v="2"/>
    <x v="2"/>
    <x v="0"/>
    <x v="2"/>
    <s v="3–8"/>
  </r>
  <r>
    <x v="19"/>
    <x v="14"/>
    <n v="2"/>
    <n v="3"/>
    <n v="2"/>
    <n v="388"/>
    <n v="15"/>
    <n v="9"/>
    <n v="50"/>
    <n v="302585"/>
    <n v="99"/>
    <n v="0"/>
    <n v="1"/>
    <n v="0"/>
    <n v="0"/>
    <n v="0"/>
    <n v="0"/>
    <n v="76"/>
    <n v="178"/>
    <n v="24"/>
    <n v="8"/>
    <x v="2"/>
    <x v="2"/>
    <x v="0"/>
    <x v="2"/>
    <s v="3–8"/>
  </r>
  <r>
    <x v="3"/>
    <x v="5"/>
    <n v="2"/>
    <n v="2"/>
    <n v="2"/>
    <n v="225"/>
    <n v="26"/>
    <n v="9"/>
    <n v="28"/>
    <n v="302585"/>
    <n v="99"/>
    <n v="0"/>
    <n v="1"/>
    <n v="1"/>
    <n v="0"/>
    <n v="0"/>
    <n v="2"/>
    <n v="69"/>
    <n v="169"/>
    <m/>
    <n v="2"/>
    <x v="2"/>
    <x v="3"/>
    <x v="1"/>
    <x v="3"/>
    <s v="0–2"/>
  </r>
  <r>
    <x v="3"/>
    <x v="1"/>
    <n v="2"/>
    <n v="3"/>
    <n v="2"/>
    <n v="225"/>
    <n v="26"/>
    <n v="9"/>
    <n v="28"/>
    <n v="302585"/>
    <n v="99"/>
    <n v="0"/>
    <n v="1"/>
    <n v="1"/>
    <n v="0"/>
    <n v="0"/>
    <n v="2"/>
    <n v="69"/>
    <n v="169"/>
    <n v="24"/>
    <n v="2"/>
    <x v="2"/>
    <x v="3"/>
    <x v="1"/>
    <x v="2"/>
    <s v="0–2"/>
  </r>
  <r>
    <x v="7"/>
    <x v="1"/>
    <n v="2"/>
    <n v="3"/>
    <n v="2"/>
    <n v="179"/>
    <n v="26"/>
    <n v="9"/>
    <n v="30"/>
    <n v="302585"/>
    <n v="99"/>
    <n v="0"/>
    <n v="3"/>
    <n v="0"/>
    <n v="0"/>
    <n v="0"/>
    <n v="0"/>
    <n v="56"/>
    <n v="171"/>
    <n v="19"/>
    <n v="1"/>
    <x v="2"/>
    <x v="1"/>
    <x v="1"/>
    <x v="2"/>
    <s v="0–2"/>
  </r>
  <r>
    <x v="6"/>
    <x v="1"/>
    <n v="2"/>
    <n v="3"/>
    <n v="2"/>
    <n v="184"/>
    <n v="42"/>
    <n v="7"/>
    <n v="27"/>
    <n v="302585"/>
    <n v="99"/>
    <n v="0"/>
    <n v="1"/>
    <n v="0"/>
    <n v="0"/>
    <n v="0"/>
    <n v="0"/>
    <n v="58"/>
    <n v="167"/>
    <n v="21"/>
    <n v="8"/>
    <x v="2"/>
    <x v="3"/>
    <x v="1"/>
    <x v="2"/>
    <s v="3–8"/>
  </r>
  <r>
    <x v="3"/>
    <x v="12"/>
    <n v="2"/>
    <n v="5"/>
    <n v="2"/>
    <n v="225"/>
    <n v="26"/>
    <n v="9"/>
    <n v="28"/>
    <n v="302585"/>
    <n v="99"/>
    <n v="0"/>
    <n v="1"/>
    <n v="1"/>
    <n v="0"/>
    <n v="0"/>
    <n v="2"/>
    <n v="69"/>
    <n v="169"/>
    <n v="24"/>
    <n v="3"/>
    <x v="2"/>
    <x v="3"/>
    <x v="1"/>
    <x v="2"/>
    <s v="3–8"/>
  </r>
  <r>
    <x v="20"/>
    <x v="4"/>
    <n v="2"/>
    <n v="2"/>
    <n v="2"/>
    <n v="330"/>
    <n v="16"/>
    <n v="4"/>
    <n v="28"/>
    <n v="302585"/>
    <n v="99"/>
    <n v="0"/>
    <n v="2"/>
    <n v="0"/>
    <n v="0"/>
    <n v="0"/>
    <n v="0"/>
    <n v="84"/>
    <n v="182"/>
    <n v="25"/>
    <n v="8"/>
    <x v="2"/>
    <x v="3"/>
    <x v="0"/>
    <x v="1"/>
    <s v="3–8"/>
  </r>
  <r>
    <x v="20"/>
    <x v="1"/>
    <n v="2"/>
    <n v="3"/>
    <n v="2"/>
    <n v="330"/>
    <n v="16"/>
    <n v="4"/>
    <n v="28"/>
    <n v="302585"/>
    <n v="99"/>
    <n v="0"/>
    <n v="2"/>
    <n v="0"/>
    <n v="0"/>
    <n v="0"/>
    <n v="0"/>
    <n v="84"/>
    <n v="182"/>
    <m/>
    <n v="1"/>
    <x v="2"/>
    <x v="3"/>
    <x v="0"/>
    <x v="3"/>
    <s v="0–2"/>
  </r>
  <r>
    <x v="3"/>
    <x v="1"/>
    <n v="2"/>
    <n v="4"/>
    <n v="2"/>
    <n v="225"/>
    <n v="26"/>
    <n v="9"/>
    <n v="28"/>
    <n v="302585"/>
    <n v="99"/>
    <n v="0"/>
    <n v="1"/>
    <n v="1"/>
    <n v="0"/>
    <n v="0"/>
    <n v="2"/>
    <n v="69"/>
    <n v="169"/>
    <m/>
    <n v="1"/>
    <x v="2"/>
    <x v="3"/>
    <x v="1"/>
    <x v="3"/>
    <s v="0–2"/>
  </r>
  <r>
    <x v="17"/>
    <x v="2"/>
    <n v="2"/>
    <n v="5"/>
    <n v="2"/>
    <n v="189"/>
    <n v="29"/>
    <n v="13"/>
    <n v="33"/>
    <n v="302585"/>
    <n v="99"/>
    <n v="0"/>
    <n v="1"/>
    <n v="2"/>
    <n v="0"/>
    <n v="0"/>
    <n v="2"/>
    <n v="69"/>
    <n v="167"/>
    <n v="25"/>
    <n v="8"/>
    <x v="2"/>
    <x v="1"/>
    <x v="1"/>
    <x v="1"/>
    <s v="3–8"/>
  </r>
  <r>
    <x v="4"/>
    <x v="5"/>
    <n v="2"/>
    <n v="3"/>
    <n v="2"/>
    <n v="118"/>
    <n v="10"/>
    <n v="10"/>
    <n v="37"/>
    <n v="251818"/>
    <n v="96"/>
    <n v="0"/>
    <n v="1"/>
    <n v="0"/>
    <n v="0"/>
    <n v="0"/>
    <n v="0"/>
    <n v="83"/>
    <n v="172"/>
    <n v="28"/>
    <n v="2"/>
    <x v="2"/>
    <x v="1"/>
    <x v="2"/>
    <x v="1"/>
    <s v="0–2"/>
  </r>
  <r>
    <x v="13"/>
    <x v="3"/>
    <n v="2"/>
    <n v="4"/>
    <n v="2"/>
    <n v="179"/>
    <n v="51"/>
    <n v="18"/>
    <n v="38"/>
    <n v="251818"/>
    <n v="96"/>
    <n v="0"/>
    <n v="1"/>
    <n v="0"/>
    <n v="1"/>
    <n v="0"/>
    <n v="0"/>
    <n v="89"/>
    <n v="170"/>
    <n v="31"/>
    <n v="3"/>
    <x v="2"/>
    <x v="1"/>
    <x v="1"/>
    <x v="0"/>
    <s v="3–8"/>
  </r>
  <r>
    <x v="3"/>
    <x v="16"/>
    <n v="2"/>
    <n v="4"/>
    <n v="2"/>
    <n v="225"/>
    <n v="26"/>
    <n v="9"/>
    <n v="28"/>
    <n v="251818"/>
    <n v="96"/>
    <n v="0"/>
    <n v="1"/>
    <n v="1"/>
    <n v="0"/>
    <n v="0"/>
    <n v="2"/>
    <n v="69"/>
    <n v="169"/>
    <n v="24"/>
    <n v="1"/>
    <x v="2"/>
    <x v="3"/>
    <x v="1"/>
    <x v="2"/>
    <s v="0–2"/>
  </r>
  <r>
    <x v="8"/>
    <x v="6"/>
    <n v="2"/>
    <n v="6"/>
    <n v="2"/>
    <n v="289"/>
    <n v="36"/>
    <n v="13"/>
    <n v="33"/>
    <n v="251818"/>
    <n v="96"/>
    <n v="0"/>
    <n v="1"/>
    <n v="2"/>
    <n v="1"/>
    <n v="0"/>
    <n v="1"/>
    <n v="90"/>
    <n v="172"/>
    <n v="30"/>
    <n v="3"/>
    <x v="2"/>
    <x v="1"/>
    <x v="1"/>
    <x v="0"/>
    <s v="3–8"/>
  </r>
  <r>
    <x v="18"/>
    <x v="10"/>
    <n v="2"/>
    <n v="6"/>
    <n v="2"/>
    <n v="260"/>
    <n v="50"/>
    <n v="11"/>
    <n v="36"/>
    <n v="251818"/>
    <n v="96"/>
    <n v="0"/>
    <n v="1"/>
    <n v="4"/>
    <n v="1"/>
    <n v="0"/>
    <n v="0"/>
    <n v="65"/>
    <n v="168"/>
    <n v="23"/>
    <n v="3"/>
    <x v="2"/>
    <x v="1"/>
    <x v="1"/>
    <x v="2"/>
    <s v="3–8"/>
  </r>
  <r>
    <x v="13"/>
    <x v="1"/>
    <n v="2"/>
    <n v="6"/>
    <n v="2"/>
    <n v="179"/>
    <n v="51"/>
    <n v="18"/>
    <n v="38"/>
    <n v="251818"/>
    <n v="96"/>
    <n v="0"/>
    <n v="1"/>
    <n v="0"/>
    <n v="1"/>
    <n v="0"/>
    <n v="0"/>
    <n v="89"/>
    <n v="170"/>
    <n v="31"/>
    <n v="3"/>
    <x v="2"/>
    <x v="1"/>
    <x v="1"/>
    <x v="0"/>
    <s v="3–8"/>
  </r>
  <r>
    <x v="13"/>
    <x v="3"/>
    <n v="2"/>
    <n v="2"/>
    <n v="2"/>
    <n v="179"/>
    <n v="51"/>
    <n v="18"/>
    <n v="38"/>
    <n v="251818"/>
    <n v="96"/>
    <n v="0"/>
    <n v="1"/>
    <n v="0"/>
    <n v="1"/>
    <n v="0"/>
    <n v="0"/>
    <n v="89"/>
    <n v="170"/>
    <n v="31"/>
    <n v="2"/>
    <x v="2"/>
    <x v="1"/>
    <x v="1"/>
    <x v="0"/>
    <s v="0–2"/>
  </r>
  <r>
    <x v="13"/>
    <x v="3"/>
    <n v="2"/>
    <n v="4"/>
    <n v="2"/>
    <n v="179"/>
    <n v="51"/>
    <n v="18"/>
    <n v="38"/>
    <n v="251818"/>
    <n v="96"/>
    <n v="0"/>
    <n v="1"/>
    <n v="0"/>
    <n v="1"/>
    <n v="0"/>
    <n v="0"/>
    <n v="89"/>
    <n v="170"/>
    <n v="31"/>
    <n v="3"/>
    <x v="2"/>
    <x v="1"/>
    <x v="1"/>
    <x v="0"/>
    <s v="3–8"/>
  </r>
  <r>
    <x v="13"/>
    <x v="13"/>
    <n v="2"/>
    <n v="5"/>
    <n v="2"/>
    <n v="179"/>
    <n v="51"/>
    <n v="18"/>
    <n v="38"/>
    <n v="251818"/>
    <n v="96"/>
    <n v="0"/>
    <n v="1"/>
    <n v="0"/>
    <n v="1"/>
    <n v="0"/>
    <n v="0"/>
    <n v="89"/>
    <n v="170"/>
    <n v="31"/>
    <n v="8"/>
    <x v="2"/>
    <x v="1"/>
    <x v="1"/>
    <x v="0"/>
    <s v="3–8"/>
  </r>
  <r>
    <x v="16"/>
    <x v="8"/>
    <n v="2"/>
    <n v="5"/>
    <n v="2"/>
    <n v="246"/>
    <n v="25"/>
    <n v="16"/>
    <n v="41"/>
    <n v="251818"/>
    <n v="96"/>
    <n v="0"/>
    <n v="1"/>
    <n v="0"/>
    <n v="1"/>
    <n v="0"/>
    <n v="0"/>
    <n v="67"/>
    <n v="170"/>
    <n v="23"/>
    <n v="8"/>
    <x v="2"/>
    <x v="0"/>
    <x v="1"/>
    <x v="2"/>
    <s v="3–8"/>
  </r>
  <r>
    <x v="13"/>
    <x v="3"/>
    <n v="2"/>
    <n v="6"/>
    <n v="2"/>
    <n v="179"/>
    <n v="51"/>
    <n v="18"/>
    <n v="38"/>
    <n v="251818"/>
    <n v="96"/>
    <n v="0"/>
    <n v="1"/>
    <n v="0"/>
    <n v="1"/>
    <n v="0"/>
    <n v="0"/>
    <n v="89"/>
    <n v="170"/>
    <n v="31"/>
    <n v="3"/>
    <x v="2"/>
    <x v="1"/>
    <x v="1"/>
    <x v="0"/>
    <s v="3–8"/>
  </r>
  <r>
    <x v="17"/>
    <x v="10"/>
    <n v="2"/>
    <n v="2"/>
    <n v="2"/>
    <n v="189"/>
    <n v="29"/>
    <n v="13"/>
    <n v="33"/>
    <n v="251818"/>
    <n v="96"/>
    <n v="0"/>
    <n v="1"/>
    <n v="2"/>
    <n v="0"/>
    <n v="0"/>
    <n v="2"/>
    <n v="69"/>
    <n v="167"/>
    <n v="25"/>
    <n v="8"/>
    <x v="2"/>
    <x v="1"/>
    <x v="1"/>
    <x v="1"/>
    <s v="3–8"/>
  </r>
  <r>
    <x v="13"/>
    <x v="3"/>
    <n v="2"/>
    <n v="2"/>
    <n v="2"/>
    <n v="179"/>
    <n v="51"/>
    <n v="18"/>
    <n v="38"/>
    <n v="251818"/>
    <n v="96"/>
    <n v="0"/>
    <n v="1"/>
    <n v="0"/>
    <n v="1"/>
    <n v="0"/>
    <n v="0"/>
    <n v="89"/>
    <n v="170"/>
    <n v="31"/>
    <n v="3"/>
    <x v="2"/>
    <x v="1"/>
    <x v="1"/>
    <x v="0"/>
    <s v="3–8"/>
  </r>
  <r>
    <x v="16"/>
    <x v="1"/>
    <n v="2"/>
    <n v="3"/>
    <n v="2"/>
    <n v="246"/>
    <n v="25"/>
    <n v="16"/>
    <n v="41"/>
    <n v="251818"/>
    <n v="96"/>
    <n v="0"/>
    <n v="1"/>
    <n v="0"/>
    <n v="1"/>
    <n v="0"/>
    <n v="0"/>
    <n v="67"/>
    <n v="170"/>
    <n v="23"/>
    <n v="2"/>
    <x v="2"/>
    <x v="0"/>
    <x v="1"/>
    <x v="2"/>
    <s v="0–2"/>
  </r>
  <r>
    <x v="10"/>
    <x v="1"/>
    <n v="2"/>
    <n v="3"/>
    <n v="2"/>
    <n v="291"/>
    <n v="31"/>
    <n v="12"/>
    <n v="40"/>
    <n v="251818"/>
    <n v="96"/>
    <n v="0"/>
    <n v="1"/>
    <n v="1"/>
    <n v="1"/>
    <n v="0"/>
    <n v="1"/>
    <n v="73"/>
    <n v="171"/>
    <n v="25"/>
    <n v="2"/>
    <x v="2"/>
    <x v="0"/>
    <x v="1"/>
    <x v="1"/>
    <s v="0–2"/>
  </r>
  <r>
    <x v="21"/>
    <x v="15"/>
    <n v="2"/>
    <n v="4"/>
    <n v="2"/>
    <n v="157"/>
    <n v="27"/>
    <n v="6"/>
    <n v="29"/>
    <n v="251818"/>
    <n v="96"/>
    <n v="0"/>
    <n v="1"/>
    <n v="0"/>
    <n v="1"/>
    <n v="1"/>
    <n v="0"/>
    <n v="75"/>
    <n v="185"/>
    <n v="22"/>
    <n v="16"/>
    <x v="2"/>
    <x v="3"/>
    <x v="1"/>
    <x v="2"/>
    <s v="9–16"/>
  </r>
  <r>
    <x v="13"/>
    <x v="3"/>
    <n v="2"/>
    <n v="4"/>
    <n v="2"/>
    <n v="179"/>
    <n v="51"/>
    <n v="18"/>
    <n v="38"/>
    <n v="251818"/>
    <n v="96"/>
    <n v="0"/>
    <n v="1"/>
    <n v="0"/>
    <n v="1"/>
    <n v="0"/>
    <n v="0"/>
    <n v="89"/>
    <n v="170"/>
    <n v="31"/>
    <n v="3"/>
    <x v="2"/>
    <x v="1"/>
    <x v="1"/>
    <x v="0"/>
    <s v="3–8"/>
  </r>
  <r>
    <x v="13"/>
    <x v="3"/>
    <n v="2"/>
    <n v="6"/>
    <n v="2"/>
    <n v="179"/>
    <n v="51"/>
    <n v="18"/>
    <n v="38"/>
    <n v="251818"/>
    <n v="96"/>
    <n v="0"/>
    <n v="1"/>
    <n v="0"/>
    <n v="1"/>
    <n v="0"/>
    <n v="0"/>
    <n v="89"/>
    <n v="170"/>
    <n v="31"/>
    <n v="3"/>
    <x v="2"/>
    <x v="1"/>
    <x v="1"/>
    <x v="0"/>
    <s v="3–8"/>
  </r>
  <r>
    <x v="16"/>
    <x v="13"/>
    <n v="2"/>
    <n v="6"/>
    <n v="2"/>
    <n v="246"/>
    <n v="25"/>
    <n v="16"/>
    <n v="41"/>
    <n v="251818"/>
    <n v="96"/>
    <n v="0"/>
    <n v="1"/>
    <n v="0"/>
    <n v="1"/>
    <n v="0"/>
    <n v="0"/>
    <n v="67"/>
    <n v="170"/>
    <n v="23"/>
    <n v="24"/>
    <x v="2"/>
    <x v="0"/>
    <x v="1"/>
    <x v="2"/>
    <s v="17+"/>
  </r>
  <r>
    <x v="13"/>
    <x v="3"/>
    <n v="2"/>
    <n v="4"/>
    <n v="2"/>
    <n v="179"/>
    <n v="51"/>
    <n v="18"/>
    <n v="38"/>
    <n v="251818"/>
    <n v="96"/>
    <n v="0"/>
    <n v="1"/>
    <n v="0"/>
    <n v="1"/>
    <n v="0"/>
    <n v="0"/>
    <n v="89"/>
    <n v="170"/>
    <n v="31"/>
    <n v="3"/>
    <x v="2"/>
    <x v="1"/>
    <x v="1"/>
    <x v="0"/>
    <s v="3–8"/>
  </r>
  <r>
    <x v="13"/>
    <x v="3"/>
    <n v="2"/>
    <n v="6"/>
    <n v="2"/>
    <n v="179"/>
    <n v="51"/>
    <n v="18"/>
    <n v="38"/>
    <n v="251818"/>
    <n v="96"/>
    <n v="0"/>
    <n v="1"/>
    <n v="0"/>
    <n v="1"/>
    <n v="0"/>
    <n v="0"/>
    <n v="89"/>
    <n v="170"/>
    <n v="31"/>
    <n v="3"/>
    <x v="2"/>
    <x v="1"/>
    <x v="1"/>
    <x v="0"/>
    <s v="3–8"/>
  </r>
  <r>
    <x v="13"/>
    <x v="7"/>
    <n v="2"/>
    <n v="3"/>
    <n v="2"/>
    <n v="179"/>
    <n v="51"/>
    <n v="18"/>
    <n v="38"/>
    <n v="264249"/>
    <n v="97"/>
    <n v="0"/>
    <n v="1"/>
    <n v="0"/>
    <n v="1"/>
    <n v="0"/>
    <n v="0"/>
    <n v="89"/>
    <n v="170"/>
    <n v="31"/>
    <n v="8"/>
    <x v="2"/>
    <x v="1"/>
    <x v="1"/>
    <x v="0"/>
    <s v="3–8"/>
  </r>
  <r>
    <x v="3"/>
    <x v="1"/>
    <n v="2"/>
    <n v="3"/>
    <n v="2"/>
    <n v="225"/>
    <n v="26"/>
    <n v="9"/>
    <n v="28"/>
    <n v="264249"/>
    <n v="97"/>
    <n v="0"/>
    <n v="1"/>
    <n v="1"/>
    <n v="0"/>
    <n v="0"/>
    <n v="2"/>
    <n v="69"/>
    <n v="169"/>
    <n v="24"/>
    <n v="3"/>
    <x v="2"/>
    <x v="3"/>
    <x v="1"/>
    <x v="2"/>
    <s v="3–8"/>
  </r>
  <r>
    <x v="22"/>
    <x v="14"/>
    <n v="2"/>
    <n v="4"/>
    <n v="2"/>
    <n v="248"/>
    <n v="25"/>
    <n v="14"/>
    <n v="47"/>
    <n v="264249"/>
    <n v="97"/>
    <n v="0"/>
    <n v="1"/>
    <n v="2"/>
    <n v="0"/>
    <n v="0"/>
    <n v="1"/>
    <n v="86"/>
    <n v="165"/>
    <n v="32"/>
    <n v="8"/>
    <x v="2"/>
    <x v="0"/>
    <x v="1"/>
    <x v="0"/>
    <s v="3–8"/>
  </r>
  <r>
    <x v="13"/>
    <x v="3"/>
    <n v="2"/>
    <n v="4"/>
    <n v="2"/>
    <n v="179"/>
    <n v="51"/>
    <n v="18"/>
    <n v="38"/>
    <n v="264249"/>
    <n v="97"/>
    <n v="0"/>
    <n v="1"/>
    <n v="0"/>
    <n v="1"/>
    <n v="0"/>
    <n v="0"/>
    <n v="89"/>
    <n v="170"/>
    <n v="31"/>
    <n v="2"/>
    <x v="2"/>
    <x v="1"/>
    <x v="1"/>
    <x v="0"/>
    <s v="0–2"/>
  </r>
  <r>
    <x v="3"/>
    <x v="5"/>
    <n v="2"/>
    <n v="5"/>
    <n v="2"/>
    <n v="225"/>
    <n v="26"/>
    <n v="9"/>
    <n v="28"/>
    <n v="264249"/>
    <n v="97"/>
    <n v="0"/>
    <n v="1"/>
    <n v="1"/>
    <n v="0"/>
    <n v="0"/>
    <n v="2"/>
    <n v="69"/>
    <n v="169"/>
    <n v="24"/>
    <n v="3"/>
    <x v="2"/>
    <x v="3"/>
    <x v="1"/>
    <x v="2"/>
    <s v="3–8"/>
  </r>
  <r>
    <x v="13"/>
    <x v="3"/>
    <n v="2"/>
    <n v="5"/>
    <n v="2"/>
    <n v="179"/>
    <n v="51"/>
    <n v="18"/>
    <n v="38"/>
    <n v="264249"/>
    <n v="97"/>
    <n v="0"/>
    <n v="1"/>
    <n v="0"/>
    <n v="1"/>
    <n v="0"/>
    <n v="0"/>
    <n v="89"/>
    <n v="170"/>
    <n v="31"/>
    <n v="2"/>
    <x v="2"/>
    <x v="1"/>
    <x v="1"/>
    <x v="0"/>
    <s v="0–2"/>
  </r>
  <r>
    <x v="7"/>
    <x v="3"/>
    <n v="2"/>
    <n v="5"/>
    <n v="2"/>
    <n v="179"/>
    <n v="26"/>
    <n v="9"/>
    <n v="30"/>
    <n v="264249"/>
    <n v="97"/>
    <n v="0"/>
    <n v="3"/>
    <n v="0"/>
    <n v="0"/>
    <n v="0"/>
    <n v="0"/>
    <n v="56"/>
    <n v="171"/>
    <n v="19"/>
    <n v="2"/>
    <x v="2"/>
    <x v="1"/>
    <x v="1"/>
    <x v="2"/>
    <s v="0–2"/>
  </r>
  <r>
    <x v="23"/>
    <x v="5"/>
    <n v="2"/>
    <n v="6"/>
    <n v="2"/>
    <n v="225"/>
    <n v="15"/>
    <n v="15"/>
    <n v="41"/>
    <n v="264249"/>
    <n v="97"/>
    <n v="0"/>
    <n v="4"/>
    <n v="2"/>
    <n v="1"/>
    <n v="0"/>
    <n v="2"/>
    <n v="94"/>
    <n v="182"/>
    <n v="28"/>
    <n v="2"/>
    <x v="2"/>
    <x v="0"/>
    <x v="0"/>
    <x v="1"/>
    <s v="0–2"/>
  </r>
  <r>
    <x v="13"/>
    <x v="3"/>
    <n v="2"/>
    <n v="6"/>
    <n v="2"/>
    <n v="179"/>
    <n v="51"/>
    <n v="18"/>
    <n v="38"/>
    <n v="264249"/>
    <n v="97"/>
    <n v="0"/>
    <n v="1"/>
    <n v="0"/>
    <n v="1"/>
    <n v="0"/>
    <n v="0"/>
    <n v="89"/>
    <n v="170"/>
    <n v="31"/>
    <n v="2"/>
    <x v="2"/>
    <x v="1"/>
    <x v="1"/>
    <x v="0"/>
    <s v="0–2"/>
  </r>
  <r>
    <x v="24"/>
    <x v="2"/>
    <n v="2"/>
    <n v="2"/>
    <n v="2"/>
    <n v="233"/>
    <n v="51"/>
    <n v="1"/>
    <n v="31"/>
    <n v="264249"/>
    <n v="97"/>
    <n v="0"/>
    <n v="2"/>
    <n v="1"/>
    <n v="1"/>
    <n v="0"/>
    <n v="8"/>
    <n v="68"/>
    <n v="178"/>
    <n v="21"/>
    <n v="2"/>
    <x v="2"/>
    <x v="1"/>
    <x v="1"/>
    <x v="2"/>
    <s v="0–2"/>
  </r>
  <r>
    <x v="13"/>
    <x v="3"/>
    <n v="2"/>
    <n v="2"/>
    <n v="2"/>
    <n v="179"/>
    <n v="51"/>
    <n v="18"/>
    <n v="38"/>
    <n v="264249"/>
    <n v="97"/>
    <n v="0"/>
    <n v="1"/>
    <n v="0"/>
    <n v="1"/>
    <n v="0"/>
    <n v="0"/>
    <n v="89"/>
    <n v="170"/>
    <n v="31"/>
    <n v="2"/>
    <x v="2"/>
    <x v="1"/>
    <x v="1"/>
    <x v="0"/>
    <s v="0–2"/>
  </r>
  <r>
    <x v="3"/>
    <x v="16"/>
    <n v="2"/>
    <n v="3"/>
    <n v="2"/>
    <n v="225"/>
    <n v="26"/>
    <n v="9"/>
    <n v="28"/>
    <n v="264249"/>
    <n v="97"/>
    <n v="0"/>
    <n v="1"/>
    <n v="1"/>
    <n v="0"/>
    <n v="0"/>
    <n v="2"/>
    <n v="69"/>
    <n v="169"/>
    <n v="24"/>
    <n v="8"/>
    <x v="2"/>
    <x v="3"/>
    <x v="1"/>
    <x v="2"/>
    <s v="3–8"/>
  </r>
  <r>
    <x v="13"/>
    <x v="3"/>
    <n v="2"/>
    <n v="4"/>
    <n v="2"/>
    <n v="179"/>
    <n v="51"/>
    <n v="18"/>
    <n v="38"/>
    <n v="264249"/>
    <n v="97"/>
    <n v="0"/>
    <n v="1"/>
    <n v="0"/>
    <n v="1"/>
    <n v="0"/>
    <n v="0"/>
    <n v="89"/>
    <n v="170"/>
    <n v="31"/>
    <n v="3"/>
    <x v="2"/>
    <x v="1"/>
    <x v="1"/>
    <x v="0"/>
    <s v="3–8"/>
  </r>
  <r>
    <x v="13"/>
    <x v="3"/>
    <n v="2"/>
    <n v="5"/>
    <n v="2"/>
    <n v="179"/>
    <n v="51"/>
    <n v="18"/>
    <n v="38"/>
    <n v="264249"/>
    <n v="97"/>
    <n v="0"/>
    <n v="1"/>
    <n v="0"/>
    <n v="1"/>
    <n v="0"/>
    <n v="0"/>
    <n v="89"/>
    <n v="170"/>
    <n v="31"/>
    <n v="3"/>
    <x v="2"/>
    <x v="1"/>
    <x v="1"/>
    <x v="0"/>
    <s v="3–8"/>
  </r>
  <r>
    <x v="3"/>
    <x v="12"/>
    <n v="2"/>
    <n v="5"/>
    <n v="2"/>
    <n v="225"/>
    <n v="26"/>
    <n v="9"/>
    <n v="28"/>
    <n v="264249"/>
    <n v="97"/>
    <n v="0"/>
    <n v="1"/>
    <n v="1"/>
    <n v="0"/>
    <n v="0"/>
    <n v="2"/>
    <n v="69"/>
    <n v="169"/>
    <n v="24"/>
    <n v="3"/>
    <x v="2"/>
    <x v="3"/>
    <x v="1"/>
    <x v="2"/>
    <s v="3–8"/>
  </r>
  <r>
    <x v="7"/>
    <x v="7"/>
    <n v="2"/>
    <n v="5"/>
    <n v="2"/>
    <n v="179"/>
    <n v="26"/>
    <n v="9"/>
    <n v="30"/>
    <n v="264249"/>
    <n v="97"/>
    <n v="0"/>
    <n v="3"/>
    <n v="0"/>
    <n v="0"/>
    <n v="0"/>
    <n v="0"/>
    <n v="56"/>
    <n v="171"/>
    <n v="19"/>
    <n v="2"/>
    <x v="2"/>
    <x v="1"/>
    <x v="1"/>
    <x v="2"/>
    <s v="0–2"/>
  </r>
  <r>
    <x v="14"/>
    <x v="1"/>
    <n v="2"/>
    <n v="6"/>
    <n v="2"/>
    <n v="179"/>
    <n v="22"/>
    <n v="17"/>
    <n v="40"/>
    <n v="264249"/>
    <n v="97"/>
    <n v="0"/>
    <n v="2"/>
    <n v="2"/>
    <n v="0"/>
    <n v="1"/>
    <n v="0"/>
    <n v="63"/>
    <n v="170"/>
    <n v="22"/>
    <n v="2"/>
    <x v="2"/>
    <x v="0"/>
    <x v="1"/>
    <x v="2"/>
    <s v="0–2"/>
  </r>
  <r>
    <x v="13"/>
    <x v="3"/>
    <n v="2"/>
    <n v="6"/>
    <n v="2"/>
    <n v="179"/>
    <n v="51"/>
    <n v="18"/>
    <n v="38"/>
    <n v="264249"/>
    <n v="97"/>
    <n v="0"/>
    <n v="1"/>
    <n v="0"/>
    <n v="1"/>
    <n v="0"/>
    <n v="0"/>
    <n v="89"/>
    <n v="170"/>
    <n v="31"/>
    <n v="3"/>
    <x v="2"/>
    <x v="1"/>
    <x v="1"/>
    <x v="0"/>
    <s v="3–8"/>
  </r>
  <r>
    <x v="24"/>
    <x v="11"/>
    <n v="2"/>
    <n v="4"/>
    <n v="2"/>
    <n v="233"/>
    <n v="51"/>
    <n v="1"/>
    <n v="31"/>
    <n v="264249"/>
    <n v="97"/>
    <n v="0"/>
    <n v="2"/>
    <n v="1"/>
    <n v="1"/>
    <n v="0"/>
    <n v="8"/>
    <n v="68"/>
    <n v="178"/>
    <n v="21"/>
    <n v="3"/>
    <x v="2"/>
    <x v="1"/>
    <x v="1"/>
    <x v="2"/>
    <s v="3–8"/>
  </r>
  <r>
    <x v="7"/>
    <x v="3"/>
    <n v="2"/>
    <n v="4"/>
    <n v="2"/>
    <n v="179"/>
    <n v="26"/>
    <n v="9"/>
    <n v="30"/>
    <n v="264249"/>
    <n v="97"/>
    <n v="0"/>
    <n v="3"/>
    <n v="0"/>
    <n v="0"/>
    <n v="0"/>
    <n v="0"/>
    <n v="56"/>
    <n v="171"/>
    <n v="19"/>
    <n v="2"/>
    <x v="2"/>
    <x v="1"/>
    <x v="1"/>
    <x v="2"/>
    <s v="0–2"/>
  </r>
  <r>
    <x v="13"/>
    <x v="3"/>
    <n v="2"/>
    <n v="4"/>
    <n v="2"/>
    <n v="179"/>
    <n v="51"/>
    <n v="18"/>
    <n v="38"/>
    <n v="264249"/>
    <n v="97"/>
    <n v="0"/>
    <n v="1"/>
    <n v="0"/>
    <n v="1"/>
    <n v="0"/>
    <n v="0"/>
    <n v="89"/>
    <n v="170"/>
    <n v="31"/>
    <n v="2"/>
    <x v="2"/>
    <x v="1"/>
    <x v="1"/>
    <x v="0"/>
    <s v="0–2"/>
  </r>
  <r>
    <x v="13"/>
    <x v="7"/>
    <n v="2"/>
    <n v="5"/>
    <n v="2"/>
    <n v="179"/>
    <n v="51"/>
    <n v="18"/>
    <n v="38"/>
    <n v="264249"/>
    <n v="97"/>
    <n v="0"/>
    <n v="1"/>
    <n v="0"/>
    <n v="1"/>
    <n v="0"/>
    <n v="0"/>
    <n v="89"/>
    <n v="170"/>
    <n v="31"/>
    <n v="8"/>
    <x v="2"/>
    <x v="1"/>
    <x v="1"/>
    <x v="0"/>
    <s v="3–8"/>
  </r>
  <r>
    <x v="13"/>
    <x v="3"/>
    <n v="2"/>
    <n v="6"/>
    <n v="2"/>
    <n v="179"/>
    <n v="51"/>
    <n v="18"/>
    <n v="38"/>
    <n v="264249"/>
    <n v="97"/>
    <n v="0"/>
    <n v="1"/>
    <n v="0"/>
    <n v="1"/>
    <n v="0"/>
    <n v="0"/>
    <n v="89"/>
    <n v="170"/>
    <n v="31"/>
    <n v="2"/>
    <x v="2"/>
    <x v="1"/>
    <x v="1"/>
    <x v="0"/>
    <s v="0–2"/>
  </r>
  <r>
    <x v="5"/>
    <x v="12"/>
    <n v="2"/>
    <n v="2"/>
    <n v="2"/>
    <n v="155"/>
    <n v="12"/>
    <n v="14"/>
    <n v="34"/>
    <n v="264249"/>
    <n v="97"/>
    <n v="0"/>
    <n v="1"/>
    <n v="2"/>
    <n v="1"/>
    <n v="0"/>
    <n v="0"/>
    <n v="95"/>
    <n v="196"/>
    <n v="25"/>
    <n v="5"/>
    <x v="2"/>
    <x v="1"/>
    <x v="0"/>
    <x v="1"/>
    <s v="3–8"/>
  </r>
  <r>
    <x v="25"/>
    <x v="12"/>
    <n v="2"/>
    <n v="2"/>
    <n v="2"/>
    <n v="235"/>
    <n v="16"/>
    <n v="8"/>
    <n v="32"/>
    <n v="264249"/>
    <n v="97"/>
    <n v="0"/>
    <n v="3"/>
    <n v="0"/>
    <n v="0"/>
    <n v="0"/>
    <n v="0"/>
    <n v="75"/>
    <n v="178"/>
    <n v="25"/>
    <n v="3"/>
    <x v="2"/>
    <x v="1"/>
    <x v="0"/>
    <x v="1"/>
    <s v="3–8"/>
  </r>
  <r>
    <x v="13"/>
    <x v="3"/>
    <n v="2"/>
    <n v="2"/>
    <n v="2"/>
    <n v="179"/>
    <n v="51"/>
    <n v="18"/>
    <n v="38"/>
    <n v="264249"/>
    <n v="97"/>
    <n v="0"/>
    <n v="1"/>
    <n v="0"/>
    <n v="1"/>
    <n v="0"/>
    <n v="0"/>
    <n v="89"/>
    <n v="170"/>
    <n v="31"/>
    <n v="2"/>
    <x v="2"/>
    <x v="1"/>
    <x v="1"/>
    <x v="0"/>
    <s v="0–2"/>
  </r>
  <r>
    <x v="3"/>
    <x v="16"/>
    <n v="2"/>
    <n v="2"/>
    <n v="2"/>
    <n v="225"/>
    <n v="26"/>
    <n v="9"/>
    <n v="28"/>
    <n v="264249"/>
    <n v="97"/>
    <n v="0"/>
    <n v="1"/>
    <n v="1"/>
    <n v="0"/>
    <n v="0"/>
    <n v="2"/>
    <n v="69"/>
    <n v="169"/>
    <n v="24"/>
    <n v="2"/>
    <x v="2"/>
    <x v="3"/>
    <x v="1"/>
    <x v="2"/>
    <s v="0–2"/>
  </r>
  <r>
    <x v="13"/>
    <x v="3"/>
    <n v="2"/>
    <n v="3"/>
    <n v="2"/>
    <n v="179"/>
    <n v="51"/>
    <n v="18"/>
    <n v="38"/>
    <n v="264249"/>
    <n v="97"/>
    <n v="0"/>
    <n v="1"/>
    <n v="0"/>
    <n v="1"/>
    <n v="0"/>
    <n v="0"/>
    <n v="89"/>
    <n v="170"/>
    <n v="31"/>
    <n v="2"/>
    <x v="2"/>
    <x v="1"/>
    <x v="1"/>
    <x v="0"/>
    <s v="0–2"/>
  </r>
  <r>
    <x v="22"/>
    <x v="1"/>
    <n v="2"/>
    <n v="3"/>
    <n v="2"/>
    <n v="248"/>
    <n v="25"/>
    <n v="14"/>
    <n v="47"/>
    <n v="264249"/>
    <n v="97"/>
    <n v="0"/>
    <n v="1"/>
    <n v="2"/>
    <n v="0"/>
    <n v="0"/>
    <n v="1"/>
    <n v="86"/>
    <n v="165"/>
    <n v="32"/>
    <n v="2"/>
    <x v="2"/>
    <x v="0"/>
    <x v="1"/>
    <x v="0"/>
    <s v="0–2"/>
  </r>
  <r>
    <x v="3"/>
    <x v="12"/>
    <n v="2"/>
    <n v="3"/>
    <n v="2"/>
    <n v="225"/>
    <n v="26"/>
    <n v="9"/>
    <n v="28"/>
    <n v="264249"/>
    <n v="97"/>
    <n v="0"/>
    <n v="1"/>
    <n v="1"/>
    <n v="0"/>
    <n v="0"/>
    <n v="2"/>
    <n v="69"/>
    <n v="169"/>
    <n v="24"/>
    <n v="2"/>
    <x v="2"/>
    <x v="3"/>
    <x v="1"/>
    <x v="2"/>
    <s v="0–2"/>
  </r>
  <r>
    <x v="13"/>
    <x v="3"/>
    <n v="2"/>
    <n v="4"/>
    <n v="2"/>
    <n v="179"/>
    <n v="51"/>
    <n v="18"/>
    <n v="38"/>
    <n v="264249"/>
    <n v="97"/>
    <n v="0"/>
    <n v="1"/>
    <n v="0"/>
    <n v="1"/>
    <n v="0"/>
    <n v="0"/>
    <n v="89"/>
    <n v="170"/>
    <n v="31"/>
    <n v="2"/>
    <x v="2"/>
    <x v="1"/>
    <x v="1"/>
    <x v="0"/>
    <s v="0–2"/>
  </r>
  <r>
    <x v="13"/>
    <x v="3"/>
    <n v="2"/>
    <n v="5"/>
    <n v="2"/>
    <n v="179"/>
    <n v="51"/>
    <n v="18"/>
    <n v="38"/>
    <n v="264249"/>
    <n v="97"/>
    <n v="0"/>
    <n v="1"/>
    <n v="0"/>
    <n v="1"/>
    <n v="0"/>
    <n v="0"/>
    <n v="89"/>
    <n v="170"/>
    <n v="31"/>
    <n v="2"/>
    <x v="2"/>
    <x v="1"/>
    <x v="1"/>
    <x v="0"/>
    <s v="0–2"/>
  </r>
  <r>
    <x v="25"/>
    <x v="12"/>
    <n v="2"/>
    <n v="6"/>
    <n v="2"/>
    <n v="235"/>
    <n v="16"/>
    <n v="8"/>
    <n v="32"/>
    <n v="264249"/>
    <n v="97"/>
    <n v="0"/>
    <n v="3"/>
    <n v="0"/>
    <n v="0"/>
    <n v="0"/>
    <n v="0"/>
    <n v="75"/>
    <n v="178"/>
    <n v="25"/>
    <n v="2"/>
    <x v="2"/>
    <x v="1"/>
    <x v="0"/>
    <x v="1"/>
    <s v="0–2"/>
  </r>
  <r>
    <x v="26"/>
    <x v="5"/>
    <n v="3"/>
    <n v="3"/>
    <n v="2"/>
    <n v="291"/>
    <n v="50"/>
    <n v="12"/>
    <n v="32"/>
    <n v="343253"/>
    <n v="95"/>
    <n v="0"/>
    <n v="1"/>
    <n v="0"/>
    <n v="1"/>
    <n v="0"/>
    <n v="0"/>
    <n v="65"/>
    <n v="169"/>
    <n v="23"/>
    <n v="2"/>
    <x v="3"/>
    <x v="1"/>
    <x v="1"/>
    <x v="2"/>
    <s v="0–2"/>
  </r>
  <r>
    <x v="18"/>
    <x v="2"/>
    <n v="3"/>
    <n v="3"/>
    <n v="2"/>
    <n v="260"/>
    <n v="50"/>
    <n v="11"/>
    <n v="36"/>
    <n v="343253"/>
    <n v="95"/>
    <n v="0"/>
    <n v="1"/>
    <n v="4"/>
    <n v="1"/>
    <n v="0"/>
    <n v="0"/>
    <n v="65"/>
    <n v="168"/>
    <n v="23"/>
    <n v="8"/>
    <x v="3"/>
    <x v="1"/>
    <x v="1"/>
    <x v="2"/>
    <s v="3–8"/>
  </r>
  <r>
    <x v="21"/>
    <x v="2"/>
    <n v="3"/>
    <n v="3"/>
    <n v="2"/>
    <n v="157"/>
    <n v="27"/>
    <n v="6"/>
    <n v="29"/>
    <n v="343253"/>
    <n v="95"/>
    <n v="0"/>
    <n v="1"/>
    <n v="0"/>
    <n v="1"/>
    <n v="1"/>
    <n v="0"/>
    <n v="75"/>
    <n v="185"/>
    <n v="22"/>
    <n v="3"/>
    <x v="3"/>
    <x v="3"/>
    <x v="1"/>
    <x v="2"/>
    <s v="3–8"/>
  </r>
  <r>
    <x v="14"/>
    <x v="17"/>
    <n v="3"/>
    <n v="3"/>
    <n v="2"/>
    <n v="179"/>
    <n v="22"/>
    <n v="17"/>
    <n v="40"/>
    <n v="343253"/>
    <n v="95"/>
    <n v="0"/>
    <n v="2"/>
    <n v="2"/>
    <n v="0"/>
    <n v="1"/>
    <n v="0"/>
    <n v="63"/>
    <n v="170"/>
    <m/>
    <n v="8"/>
    <x v="3"/>
    <x v="0"/>
    <x v="1"/>
    <x v="3"/>
    <s v="3–8"/>
  </r>
  <r>
    <x v="10"/>
    <x v="6"/>
    <n v="3"/>
    <n v="4"/>
    <n v="2"/>
    <n v="291"/>
    <n v="31"/>
    <n v="12"/>
    <n v="40"/>
    <n v="343253"/>
    <n v="95"/>
    <n v="0"/>
    <n v="1"/>
    <n v="1"/>
    <n v="1"/>
    <n v="0"/>
    <n v="1"/>
    <n v="73"/>
    <n v="171"/>
    <m/>
    <n v="8"/>
    <x v="3"/>
    <x v="0"/>
    <x v="1"/>
    <x v="3"/>
    <s v="3–8"/>
  </r>
  <r>
    <x v="18"/>
    <x v="7"/>
    <n v="3"/>
    <n v="4"/>
    <n v="2"/>
    <n v="260"/>
    <n v="50"/>
    <n v="11"/>
    <n v="36"/>
    <n v="343253"/>
    <n v="95"/>
    <n v="0"/>
    <n v="1"/>
    <n v="4"/>
    <n v="1"/>
    <n v="0"/>
    <n v="0"/>
    <n v="65"/>
    <n v="168"/>
    <m/>
    <n v="8"/>
    <x v="3"/>
    <x v="1"/>
    <x v="1"/>
    <x v="3"/>
    <s v="3–8"/>
  </r>
  <r>
    <x v="7"/>
    <x v="7"/>
    <n v="3"/>
    <n v="5"/>
    <n v="2"/>
    <n v="179"/>
    <n v="26"/>
    <n v="9"/>
    <n v="30"/>
    <n v="343253"/>
    <n v="95"/>
    <n v="0"/>
    <n v="3"/>
    <n v="0"/>
    <n v="0"/>
    <n v="0"/>
    <n v="0"/>
    <n v="56"/>
    <n v="171"/>
    <m/>
    <n v="8"/>
    <x v="3"/>
    <x v="1"/>
    <x v="1"/>
    <x v="3"/>
    <s v="3–8"/>
  </r>
  <r>
    <x v="22"/>
    <x v="18"/>
    <n v="3"/>
    <n v="6"/>
    <n v="2"/>
    <n v="248"/>
    <n v="25"/>
    <n v="14"/>
    <n v="47"/>
    <n v="343253"/>
    <n v="95"/>
    <n v="0"/>
    <n v="1"/>
    <n v="2"/>
    <n v="0"/>
    <n v="0"/>
    <n v="1"/>
    <n v="86"/>
    <n v="165"/>
    <n v="32"/>
    <n v="3"/>
    <x v="3"/>
    <x v="0"/>
    <x v="1"/>
    <x v="0"/>
    <s v="3–8"/>
  </r>
  <r>
    <x v="18"/>
    <x v="7"/>
    <n v="3"/>
    <n v="6"/>
    <n v="2"/>
    <n v="260"/>
    <n v="50"/>
    <n v="11"/>
    <n v="36"/>
    <n v="343253"/>
    <n v="95"/>
    <n v="0"/>
    <n v="1"/>
    <n v="4"/>
    <n v="1"/>
    <n v="0"/>
    <n v="0"/>
    <n v="65"/>
    <n v="168"/>
    <n v="23"/>
    <n v="40"/>
    <x v="3"/>
    <x v="1"/>
    <x v="1"/>
    <x v="2"/>
    <s v="17+"/>
  </r>
  <r>
    <x v="14"/>
    <x v="15"/>
    <n v="3"/>
    <n v="2"/>
    <n v="2"/>
    <n v="179"/>
    <n v="22"/>
    <n v="17"/>
    <n v="40"/>
    <n v="343253"/>
    <n v="95"/>
    <n v="0"/>
    <n v="2"/>
    <n v="2"/>
    <n v="0"/>
    <n v="1"/>
    <n v="0"/>
    <n v="63"/>
    <n v="170"/>
    <n v="22"/>
    <n v="40"/>
    <x v="3"/>
    <x v="0"/>
    <x v="1"/>
    <x v="2"/>
    <s v="17+"/>
  </r>
  <r>
    <x v="5"/>
    <x v="14"/>
    <n v="3"/>
    <n v="2"/>
    <n v="2"/>
    <n v="155"/>
    <n v="12"/>
    <n v="14"/>
    <n v="34"/>
    <n v="343253"/>
    <n v="95"/>
    <n v="0"/>
    <n v="1"/>
    <n v="2"/>
    <n v="1"/>
    <n v="0"/>
    <n v="0"/>
    <n v="95"/>
    <n v="196"/>
    <n v="25"/>
    <n v="16"/>
    <x v="3"/>
    <x v="1"/>
    <x v="0"/>
    <x v="1"/>
    <s v="9–16"/>
  </r>
  <r>
    <x v="18"/>
    <x v="8"/>
    <n v="3"/>
    <n v="2"/>
    <n v="2"/>
    <n v="260"/>
    <n v="50"/>
    <n v="11"/>
    <n v="36"/>
    <n v="343253"/>
    <n v="95"/>
    <n v="0"/>
    <n v="1"/>
    <n v="4"/>
    <n v="1"/>
    <n v="0"/>
    <n v="0"/>
    <n v="65"/>
    <n v="168"/>
    <n v="23"/>
    <n v="16"/>
    <x v="3"/>
    <x v="1"/>
    <x v="1"/>
    <x v="2"/>
    <s v="9–16"/>
  </r>
  <r>
    <x v="5"/>
    <x v="7"/>
    <n v="3"/>
    <n v="3"/>
    <n v="2"/>
    <n v="155"/>
    <n v="12"/>
    <n v="14"/>
    <n v="34"/>
    <n v="343253"/>
    <n v="95"/>
    <n v="0"/>
    <n v="1"/>
    <n v="2"/>
    <n v="1"/>
    <n v="0"/>
    <n v="0"/>
    <n v="95"/>
    <n v="196"/>
    <n v="25"/>
    <n v="8"/>
    <x v="3"/>
    <x v="1"/>
    <x v="0"/>
    <x v="1"/>
    <s v="3–8"/>
  </r>
  <r>
    <x v="8"/>
    <x v="19"/>
    <n v="3"/>
    <n v="5"/>
    <n v="2"/>
    <n v="289"/>
    <n v="36"/>
    <n v="13"/>
    <n v="33"/>
    <n v="343253"/>
    <n v="95"/>
    <n v="0"/>
    <n v="1"/>
    <n v="2"/>
    <n v="1"/>
    <n v="0"/>
    <n v="1"/>
    <n v="90"/>
    <n v="172"/>
    <n v="30"/>
    <n v="8"/>
    <x v="3"/>
    <x v="1"/>
    <x v="1"/>
    <x v="0"/>
    <s v="3–8"/>
  </r>
  <r>
    <x v="14"/>
    <x v="20"/>
    <n v="3"/>
    <n v="5"/>
    <n v="2"/>
    <n v="179"/>
    <n v="22"/>
    <n v="17"/>
    <n v="40"/>
    <n v="343253"/>
    <n v="95"/>
    <n v="0"/>
    <n v="2"/>
    <n v="2"/>
    <n v="0"/>
    <n v="1"/>
    <n v="0"/>
    <n v="63"/>
    <n v="170"/>
    <n v="22"/>
    <n v="8"/>
    <x v="3"/>
    <x v="0"/>
    <x v="1"/>
    <x v="2"/>
    <s v="3–8"/>
  </r>
  <r>
    <x v="18"/>
    <x v="5"/>
    <n v="3"/>
    <n v="6"/>
    <n v="2"/>
    <n v="260"/>
    <n v="50"/>
    <n v="11"/>
    <n v="36"/>
    <n v="343253"/>
    <n v="95"/>
    <n v="0"/>
    <n v="1"/>
    <n v="4"/>
    <n v="1"/>
    <n v="0"/>
    <n v="0"/>
    <n v="65"/>
    <n v="168"/>
    <n v="23"/>
    <n v="4"/>
    <x v="3"/>
    <x v="1"/>
    <x v="1"/>
    <x v="2"/>
    <s v="3–8"/>
  </r>
  <r>
    <x v="3"/>
    <x v="1"/>
    <n v="3"/>
    <n v="6"/>
    <n v="2"/>
    <n v="225"/>
    <n v="26"/>
    <n v="9"/>
    <n v="28"/>
    <n v="343253"/>
    <n v="95"/>
    <n v="0"/>
    <n v="1"/>
    <n v="1"/>
    <n v="0"/>
    <n v="0"/>
    <n v="2"/>
    <n v="69"/>
    <n v="169"/>
    <n v="24"/>
    <n v="1"/>
    <x v="3"/>
    <x v="3"/>
    <x v="1"/>
    <x v="2"/>
    <s v="0–2"/>
  </r>
  <r>
    <x v="27"/>
    <x v="18"/>
    <n v="3"/>
    <n v="2"/>
    <n v="2"/>
    <n v="279"/>
    <n v="5"/>
    <n v="14"/>
    <n v="39"/>
    <n v="343253"/>
    <n v="95"/>
    <n v="0"/>
    <n v="1"/>
    <n v="2"/>
    <n v="1"/>
    <n v="1"/>
    <n v="0"/>
    <n v="68"/>
    <n v="168"/>
    <n v="24"/>
    <n v="8"/>
    <x v="3"/>
    <x v="1"/>
    <x v="3"/>
    <x v="2"/>
    <s v="3–8"/>
  </r>
  <r>
    <x v="13"/>
    <x v="7"/>
    <n v="3"/>
    <n v="3"/>
    <n v="2"/>
    <n v="179"/>
    <n v="51"/>
    <n v="18"/>
    <n v="38"/>
    <n v="343253"/>
    <n v="95"/>
    <n v="0"/>
    <n v="1"/>
    <n v="0"/>
    <n v="1"/>
    <n v="0"/>
    <n v="0"/>
    <n v="89"/>
    <n v="170"/>
    <n v="31"/>
    <n v="24"/>
    <x v="3"/>
    <x v="1"/>
    <x v="1"/>
    <x v="0"/>
    <s v="17+"/>
  </r>
  <r>
    <x v="3"/>
    <x v="1"/>
    <n v="3"/>
    <n v="4"/>
    <n v="2"/>
    <n v="225"/>
    <n v="26"/>
    <n v="9"/>
    <n v="28"/>
    <n v="343253"/>
    <n v="95"/>
    <n v="0"/>
    <n v="1"/>
    <n v="1"/>
    <n v="0"/>
    <n v="0"/>
    <n v="2"/>
    <n v="69"/>
    <n v="169"/>
    <n v="24"/>
    <n v="2"/>
    <x v="3"/>
    <x v="3"/>
    <x v="1"/>
    <x v="2"/>
    <s v="0–2"/>
  </r>
  <r>
    <x v="3"/>
    <x v="15"/>
    <n v="3"/>
    <n v="2"/>
    <n v="3"/>
    <n v="225"/>
    <n v="26"/>
    <n v="9"/>
    <n v="28"/>
    <n v="343253"/>
    <n v="95"/>
    <n v="0"/>
    <n v="1"/>
    <n v="1"/>
    <n v="0"/>
    <n v="0"/>
    <n v="2"/>
    <n v="69"/>
    <n v="169"/>
    <n v="24"/>
    <n v="8"/>
    <x v="3"/>
    <x v="3"/>
    <x v="1"/>
    <x v="2"/>
    <s v="3–8"/>
  </r>
  <r>
    <x v="7"/>
    <x v="7"/>
    <n v="3"/>
    <n v="2"/>
    <n v="3"/>
    <n v="179"/>
    <n v="26"/>
    <n v="9"/>
    <n v="30"/>
    <n v="343253"/>
    <n v="95"/>
    <n v="0"/>
    <n v="3"/>
    <n v="0"/>
    <n v="0"/>
    <n v="0"/>
    <n v="0"/>
    <n v="56"/>
    <n v="171"/>
    <n v="19"/>
    <n v="1"/>
    <x v="3"/>
    <x v="1"/>
    <x v="1"/>
    <x v="2"/>
    <s v="0–2"/>
  </r>
  <r>
    <x v="3"/>
    <x v="15"/>
    <n v="3"/>
    <n v="3"/>
    <n v="3"/>
    <n v="225"/>
    <n v="26"/>
    <n v="9"/>
    <n v="28"/>
    <n v="343253"/>
    <n v="95"/>
    <n v="0"/>
    <n v="1"/>
    <n v="1"/>
    <n v="0"/>
    <n v="0"/>
    <n v="2"/>
    <n v="69"/>
    <n v="169"/>
    <n v="24"/>
    <n v="8"/>
    <x v="3"/>
    <x v="3"/>
    <x v="1"/>
    <x v="2"/>
    <s v="3–8"/>
  </r>
  <r>
    <x v="3"/>
    <x v="15"/>
    <n v="3"/>
    <n v="4"/>
    <n v="3"/>
    <n v="225"/>
    <n v="26"/>
    <n v="9"/>
    <n v="28"/>
    <n v="343253"/>
    <n v="95"/>
    <n v="0"/>
    <n v="1"/>
    <n v="1"/>
    <n v="0"/>
    <n v="0"/>
    <n v="2"/>
    <n v="69"/>
    <n v="169"/>
    <n v="24"/>
    <n v="16"/>
    <x v="3"/>
    <x v="3"/>
    <x v="1"/>
    <x v="2"/>
    <s v="9–16"/>
  </r>
  <r>
    <x v="13"/>
    <x v="7"/>
    <n v="3"/>
    <n v="4"/>
    <n v="3"/>
    <n v="179"/>
    <n v="51"/>
    <n v="18"/>
    <n v="38"/>
    <n v="343253"/>
    <n v="95"/>
    <n v="0"/>
    <n v="1"/>
    <n v="0"/>
    <n v="1"/>
    <n v="0"/>
    <n v="0"/>
    <n v="89"/>
    <n v="170"/>
    <n v="31"/>
    <n v="3"/>
    <x v="3"/>
    <x v="1"/>
    <x v="1"/>
    <x v="0"/>
    <s v="3–8"/>
  </r>
  <r>
    <x v="27"/>
    <x v="18"/>
    <n v="3"/>
    <n v="5"/>
    <n v="3"/>
    <n v="279"/>
    <n v="5"/>
    <n v="14"/>
    <n v="39"/>
    <n v="343253"/>
    <n v="95"/>
    <n v="0"/>
    <n v="1"/>
    <n v="2"/>
    <n v="1"/>
    <n v="1"/>
    <n v="0"/>
    <n v="68"/>
    <n v="168"/>
    <n v="24"/>
    <n v="16"/>
    <x v="3"/>
    <x v="1"/>
    <x v="3"/>
    <x v="2"/>
    <s v="9–16"/>
  </r>
  <r>
    <x v="3"/>
    <x v="5"/>
    <n v="3"/>
    <n v="6"/>
    <n v="3"/>
    <n v="225"/>
    <n v="26"/>
    <n v="9"/>
    <n v="28"/>
    <n v="343253"/>
    <n v="95"/>
    <n v="0"/>
    <n v="1"/>
    <n v="1"/>
    <n v="0"/>
    <n v="0"/>
    <n v="2"/>
    <n v="69"/>
    <n v="169"/>
    <n v="24"/>
    <n v="2"/>
    <x v="3"/>
    <x v="3"/>
    <x v="1"/>
    <x v="2"/>
    <s v="0–2"/>
  </r>
  <r>
    <x v="22"/>
    <x v="18"/>
    <n v="3"/>
    <n v="6"/>
    <n v="3"/>
    <n v="248"/>
    <n v="25"/>
    <n v="14"/>
    <n v="47"/>
    <n v="343253"/>
    <n v="95"/>
    <n v="0"/>
    <n v="1"/>
    <n v="2"/>
    <n v="0"/>
    <n v="0"/>
    <n v="1"/>
    <n v="86"/>
    <n v="165"/>
    <n v="32"/>
    <n v="3"/>
    <x v="3"/>
    <x v="0"/>
    <x v="1"/>
    <x v="0"/>
    <s v="3–8"/>
  </r>
  <r>
    <x v="3"/>
    <x v="5"/>
    <n v="3"/>
    <n v="2"/>
    <n v="3"/>
    <n v="225"/>
    <n v="26"/>
    <n v="9"/>
    <n v="28"/>
    <n v="343253"/>
    <n v="95"/>
    <n v="0"/>
    <n v="1"/>
    <n v="1"/>
    <n v="0"/>
    <n v="0"/>
    <n v="2"/>
    <n v="69"/>
    <n v="169"/>
    <n v="24"/>
    <n v="1"/>
    <x v="3"/>
    <x v="3"/>
    <x v="1"/>
    <x v="2"/>
    <s v="0–2"/>
  </r>
  <r>
    <x v="4"/>
    <x v="4"/>
    <n v="3"/>
    <n v="3"/>
    <n v="2"/>
    <n v="118"/>
    <n v="10"/>
    <n v="10"/>
    <n v="37"/>
    <n v="244387"/>
    <n v="98"/>
    <n v="0"/>
    <n v="1"/>
    <n v="0"/>
    <n v="0"/>
    <n v="0"/>
    <n v="0"/>
    <n v="83"/>
    <n v="172"/>
    <n v="28"/>
    <n v="8"/>
    <x v="3"/>
    <x v="1"/>
    <x v="2"/>
    <x v="1"/>
    <s v="3–8"/>
  </r>
  <r>
    <x v="16"/>
    <x v="2"/>
    <n v="3"/>
    <n v="4"/>
    <n v="2"/>
    <n v="246"/>
    <n v="25"/>
    <n v="16"/>
    <n v="41"/>
    <n v="244387"/>
    <n v="98"/>
    <n v="0"/>
    <n v="1"/>
    <n v="0"/>
    <n v="1"/>
    <n v="0"/>
    <n v="0"/>
    <n v="67"/>
    <n v="170"/>
    <n v="23"/>
    <n v="16"/>
    <x v="3"/>
    <x v="0"/>
    <x v="1"/>
    <x v="2"/>
    <s v="9–16"/>
  </r>
  <r>
    <x v="16"/>
    <x v="5"/>
    <n v="3"/>
    <n v="6"/>
    <n v="2"/>
    <n v="246"/>
    <n v="25"/>
    <n v="16"/>
    <n v="41"/>
    <n v="244387"/>
    <n v="98"/>
    <n v="0"/>
    <n v="1"/>
    <n v="0"/>
    <n v="1"/>
    <n v="0"/>
    <n v="0"/>
    <n v="67"/>
    <n v="170"/>
    <n v="23"/>
    <n v="2"/>
    <x v="3"/>
    <x v="0"/>
    <x v="1"/>
    <x v="2"/>
    <s v="0–2"/>
  </r>
  <r>
    <x v="18"/>
    <x v="5"/>
    <n v="3"/>
    <n v="6"/>
    <n v="2"/>
    <n v="260"/>
    <n v="50"/>
    <n v="11"/>
    <n v="36"/>
    <n v="244387"/>
    <n v="98"/>
    <n v="0"/>
    <n v="1"/>
    <n v="4"/>
    <n v="1"/>
    <n v="0"/>
    <n v="0"/>
    <n v="65"/>
    <n v="168"/>
    <n v="23"/>
    <n v="4"/>
    <x v="3"/>
    <x v="1"/>
    <x v="1"/>
    <x v="2"/>
    <s v="3–8"/>
  </r>
  <r>
    <x v="13"/>
    <x v="5"/>
    <n v="3"/>
    <n v="2"/>
    <n v="2"/>
    <n v="179"/>
    <n v="51"/>
    <n v="18"/>
    <n v="38"/>
    <n v="244387"/>
    <n v="98"/>
    <n v="0"/>
    <n v="1"/>
    <n v="0"/>
    <n v="1"/>
    <n v="0"/>
    <n v="0"/>
    <n v="89"/>
    <n v="170"/>
    <n v="31"/>
    <n v="2"/>
    <x v="3"/>
    <x v="1"/>
    <x v="1"/>
    <x v="0"/>
    <s v="0–2"/>
  </r>
  <r>
    <x v="9"/>
    <x v="6"/>
    <n v="3"/>
    <n v="2"/>
    <n v="2"/>
    <n v="235"/>
    <n v="11"/>
    <n v="14"/>
    <n v="37"/>
    <n v="244387"/>
    <n v="98"/>
    <n v="0"/>
    <n v="3"/>
    <n v="1"/>
    <n v="0"/>
    <n v="0"/>
    <n v="1"/>
    <n v="88"/>
    <n v="172"/>
    <n v="29"/>
    <n v="8"/>
    <x v="3"/>
    <x v="1"/>
    <x v="0"/>
    <x v="1"/>
    <s v="3–8"/>
  </r>
  <r>
    <x v="14"/>
    <x v="6"/>
    <n v="3"/>
    <n v="3"/>
    <n v="2"/>
    <n v="179"/>
    <n v="22"/>
    <n v="17"/>
    <n v="40"/>
    <n v="244387"/>
    <n v="98"/>
    <n v="0"/>
    <n v="2"/>
    <n v="2"/>
    <n v="0"/>
    <n v="1"/>
    <n v="0"/>
    <n v="63"/>
    <n v="170"/>
    <n v="22"/>
    <n v="8"/>
    <x v="3"/>
    <x v="0"/>
    <x v="1"/>
    <x v="2"/>
    <s v="3–8"/>
  </r>
  <r>
    <x v="28"/>
    <x v="6"/>
    <n v="3"/>
    <n v="3"/>
    <n v="2"/>
    <n v="378"/>
    <n v="49"/>
    <n v="11"/>
    <n v="36"/>
    <n v="244387"/>
    <n v="98"/>
    <n v="0"/>
    <n v="1"/>
    <n v="2"/>
    <n v="0"/>
    <n v="1"/>
    <n v="4"/>
    <n v="65"/>
    <n v="174"/>
    <n v="21"/>
    <m/>
    <x v="3"/>
    <x v="1"/>
    <x v="1"/>
    <x v="2"/>
    <s v="0–2"/>
  </r>
  <r>
    <x v="13"/>
    <x v="5"/>
    <n v="3"/>
    <n v="2"/>
    <n v="2"/>
    <n v="179"/>
    <n v="51"/>
    <n v="18"/>
    <n v="38"/>
    <n v="244387"/>
    <n v="98"/>
    <n v="0"/>
    <n v="1"/>
    <n v="0"/>
    <n v="1"/>
    <n v="0"/>
    <n v="0"/>
    <n v="89"/>
    <n v="170"/>
    <n v="31"/>
    <n v="16"/>
    <x v="3"/>
    <x v="1"/>
    <x v="1"/>
    <x v="0"/>
    <s v="9–16"/>
  </r>
  <r>
    <x v="29"/>
    <x v="6"/>
    <n v="3"/>
    <n v="4"/>
    <n v="2"/>
    <n v="361"/>
    <n v="52"/>
    <n v="3"/>
    <n v="28"/>
    <n v="244387"/>
    <n v="98"/>
    <n v="0"/>
    <n v="1"/>
    <n v="1"/>
    <n v="1"/>
    <n v="0"/>
    <n v="4"/>
    <n v="80"/>
    <n v="172"/>
    <n v="27"/>
    <m/>
    <x v="3"/>
    <x v="3"/>
    <x v="1"/>
    <x v="1"/>
    <s v="0–2"/>
  </r>
  <r>
    <x v="30"/>
    <x v="0"/>
    <n v="3"/>
    <n v="4"/>
    <n v="2"/>
    <n v="369"/>
    <n v="17"/>
    <n v="12"/>
    <n v="31"/>
    <n v="244387"/>
    <n v="98"/>
    <n v="1"/>
    <n v="1"/>
    <n v="3"/>
    <n v="1"/>
    <n v="0"/>
    <n v="0"/>
    <n v="70"/>
    <n v="169"/>
    <n v="25"/>
    <n v="0"/>
    <x v="3"/>
    <x v="1"/>
    <x v="0"/>
    <x v="1"/>
    <s v="0–2"/>
  </r>
  <r>
    <x v="9"/>
    <x v="21"/>
    <n v="3"/>
    <n v="5"/>
    <n v="2"/>
    <n v="235"/>
    <n v="11"/>
    <n v="14"/>
    <n v="37"/>
    <n v="244387"/>
    <n v="98"/>
    <n v="0"/>
    <n v="3"/>
    <n v="1"/>
    <n v="0"/>
    <n v="0"/>
    <n v="1"/>
    <n v="88"/>
    <n v="172"/>
    <n v="29"/>
    <n v="8"/>
    <x v="3"/>
    <x v="1"/>
    <x v="0"/>
    <x v="1"/>
    <s v="3–8"/>
  </r>
  <r>
    <x v="12"/>
    <x v="1"/>
    <n v="3"/>
    <n v="6"/>
    <n v="3"/>
    <n v="118"/>
    <n v="13"/>
    <n v="18"/>
    <n v="50"/>
    <n v="244387"/>
    <n v="98"/>
    <n v="0"/>
    <n v="1"/>
    <n v="1"/>
    <n v="1"/>
    <n v="0"/>
    <n v="0"/>
    <n v="98"/>
    <n v="178"/>
    <n v="31"/>
    <n v="2"/>
    <x v="3"/>
    <x v="2"/>
    <x v="0"/>
    <x v="0"/>
    <s v="0–2"/>
  </r>
  <r>
    <x v="12"/>
    <x v="18"/>
    <n v="3"/>
    <n v="3"/>
    <n v="3"/>
    <n v="118"/>
    <n v="13"/>
    <n v="18"/>
    <n v="50"/>
    <n v="244387"/>
    <n v="98"/>
    <n v="0"/>
    <n v="1"/>
    <n v="1"/>
    <n v="1"/>
    <n v="0"/>
    <n v="0"/>
    <n v="98"/>
    <n v="178"/>
    <n v="31"/>
    <n v="3"/>
    <x v="3"/>
    <x v="2"/>
    <x v="0"/>
    <x v="0"/>
    <s v="3–8"/>
  </r>
  <r>
    <x v="12"/>
    <x v="7"/>
    <n v="3"/>
    <n v="4"/>
    <n v="3"/>
    <n v="118"/>
    <n v="13"/>
    <n v="18"/>
    <n v="50"/>
    <n v="244387"/>
    <n v="98"/>
    <n v="0"/>
    <n v="1"/>
    <n v="1"/>
    <n v="1"/>
    <n v="0"/>
    <n v="0"/>
    <n v="98"/>
    <n v="178"/>
    <n v="31"/>
    <n v="8"/>
    <x v="3"/>
    <x v="2"/>
    <x v="0"/>
    <x v="0"/>
    <s v="3–8"/>
  </r>
  <r>
    <x v="9"/>
    <x v="0"/>
    <n v="3"/>
    <n v="5"/>
    <n v="3"/>
    <n v="235"/>
    <n v="11"/>
    <n v="14"/>
    <n v="37"/>
    <n v="244387"/>
    <n v="98"/>
    <n v="1"/>
    <n v="3"/>
    <n v="1"/>
    <n v="0"/>
    <n v="0"/>
    <n v="1"/>
    <n v="88"/>
    <n v="172"/>
    <n v="29"/>
    <m/>
    <x v="3"/>
    <x v="1"/>
    <x v="0"/>
    <x v="1"/>
    <s v="0–2"/>
  </r>
  <r>
    <x v="16"/>
    <x v="0"/>
    <n v="3"/>
    <n v="5"/>
    <n v="3"/>
    <n v="246"/>
    <n v="25"/>
    <n v="16"/>
    <n v="41"/>
    <n v="244387"/>
    <n v="98"/>
    <n v="1"/>
    <n v="1"/>
    <n v="0"/>
    <n v="1"/>
    <n v="0"/>
    <n v="0"/>
    <n v="67"/>
    <n v="170"/>
    <n v="23"/>
    <n v="0"/>
    <x v="3"/>
    <x v="0"/>
    <x v="1"/>
    <x v="2"/>
    <s v="0–2"/>
  </r>
  <r>
    <x v="12"/>
    <x v="0"/>
    <n v="3"/>
    <n v="5"/>
    <n v="3"/>
    <n v="118"/>
    <n v="13"/>
    <n v="18"/>
    <n v="50"/>
    <n v="244387"/>
    <n v="98"/>
    <n v="1"/>
    <n v="1"/>
    <n v="1"/>
    <n v="1"/>
    <n v="0"/>
    <n v="0"/>
    <n v="98"/>
    <n v="178"/>
    <n v="31"/>
    <n v="0"/>
    <x v="3"/>
    <x v="2"/>
    <x v="0"/>
    <x v="0"/>
    <s v="0–2"/>
  </r>
  <r>
    <x v="13"/>
    <x v="5"/>
    <n v="3"/>
    <n v="6"/>
    <n v="3"/>
    <n v="179"/>
    <n v="51"/>
    <n v="18"/>
    <n v="38"/>
    <n v="244387"/>
    <n v="98"/>
    <n v="0"/>
    <n v="1"/>
    <n v="0"/>
    <n v="1"/>
    <n v="0"/>
    <n v="0"/>
    <n v="89"/>
    <n v="170"/>
    <n v="31"/>
    <n v="8"/>
    <x v="3"/>
    <x v="1"/>
    <x v="1"/>
    <x v="0"/>
    <s v="3–8"/>
  </r>
  <r>
    <x v="8"/>
    <x v="6"/>
    <n v="3"/>
    <n v="6"/>
    <n v="3"/>
    <n v="289"/>
    <n v="36"/>
    <n v="13"/>
    <n v="33"/>
    <n v="244387"/>
    <n v="98"/>
    <n v="0"/>
    <n v="1"/>
    <n v="2"/>
    <n v="1"/>
    <n v="0"/>
    <n v="1"/>
    <n v="90"/>
    <n v="172"/>
    <n v="30"/>
    <n v="8"/>
    <x v="3"/>
    <x v="1"/>
    <x v="1"/>
    <x v="0"/>
    <s v="3–8"/>
  </r>
  <r>
    <x v="18"/>
    <x v="2"/>
    <n v="3"/>
    <n v="2"/>
    <n v="3"/>
    <n v="260"/>
    <n v="50"/>
    <n v="11"/>
    <n v="36"/>
    <n v="244387"/>
    <n v="98"/>
    <n v="0"/>
    <n v="1"/>
    <n v="4"/>
    <n v="1"/>
    <n v="0"/>
    <n v="0"/>
    <n v="65"/>
    <n v="168"/>
    <n v="23"/>
    <n v="8"/>
    <x v="3"/>
    <x v="1"/>
    <x v="1"/>
    <x v="2"/>
    <s v="3–8"/>
  </r>
  <r>
    <x v="16"/>
    <x v="5"/>
    <n v="3"/>
    <n v="3"/>
    <n v="3"/>
    <n v="246"/>
    <n v="25"/>
    <n v="16"/>
    <n v="41"/>
    <n v="244387"/>
    <n v="98"/>
    <n v="0"/>
    <n v="1"/>
    <n v="0"/>
    <n v="1"/>
    <n v="0"/>
    <n v="0"/>
    <n v="67"/>
    <n v="170"/>
    <n v="23"/>
    <n v="2"/>
    <x v="3"/>
    <x v="0"/>
    <x v="1"/>
    <x v="2"/>
    <s v="0–2"/>
  </r>
  <r>
    <x v="13"/>
    <x v="3"/>
    <n v="3"/>
    <n v="2"/>
    <n v="2"/>
    <n v="179"/>
    <n v="51"/>
    <n v="18"/>
    <n v="38"/>
    <n v="222196"/>
    <n v="99"/>
    <n v="0"/>
    <n v="1"/>
    <n v="0"/>
    <n v="1"/>
    <n v="0"/>
    <n v="0"/>
    <n v="89"/>
    <n v="170"/>
    <n v="31"/>
    <n v="2"/>
    <x v="3"/>
    <x v="1"/>
    <x v="1"/>
    <x v="0"/>
    <s v="0–2"/>
  </r>
  <r>
    <x v="22"/>
    <x v="1"/>
    <n v="3"/>
    <n v="2"/>
    <n v="2"/>
    <n v="248"/>
    <n v="25"/>
    <n v="14"/>
    <n v="47"/>
    <n v="222196"/>
    <n v="99"/>
    <n v="0"/>
    <n v="1"/>
    <n v="2"/>
    <n v="0"/>
    <n v="0"/>
    <n v="1"/>
    <n v="86"/>
    <n v="165"/>
    <n v="32"/>
    <n v="2"/>
    <x v="3"/>
    <x v="0"/>
    <x v="1"/>
    <x v="0"/>
    <s v="0–2"/>
  </r>
  <r>
    <x v="31"/>
    <x v="12"/>
    <n v="3"/>
    <n v="3"/>
    <n v="2"/>
    <n v="228"/>
    <n v="14"/>
    <n v="16"/>
    <n v="58"/>
    <n v="222196"/>
    <n v="99"/>
    <n v="0"/>
    <n v="1"/>
    <n v="2"/>
    <n v="0"/>
    <n v="0"/>
    <n v="1"/>
    <n v="65"/>
    <n v="172"/>
    <n v="22"/>
    <n v="3"/>
    <x v="3"/>
    <x v="2"/>
    <x v="0"/>
    <x v="2"/>
    <s v="3–8"/>
  </r>
  <r>
    <x v="22"/>
    <x v="12"/>
    <n v="3"/>
    <n v="3"/>
    <n v="2"/>
    <n v="248"/>
    <n v="25"/>
    <n v="14"/>
    <n v="47"/>
    <n v="222196"/>
    <n v="99"/>
    <n v="0"/>
    <n v="1"/>
    <n v="2"/>
    <n v="0"/>
    <n v="0"/>
    <n v="1"/>
    <n v="86"/>
    <n v="165"/>
    <n v="32"/>
    <n v="3"/>
    <x v="3"/>
    <x v="0"/>
    <x v="1"/>
    <x v="0"/>
    <s v="3–8"/>
  </r>
  <r>
    <x v="31"/>
    <x v="11"/>
    <n v="3"/>
    <n v="3"/>
    <n v="2"/>
    <n v="228"/>
    <n v="14"/>
    <n v="16"/>
    <n v="58"/>
    <n v="222196"/>
    <n v="99"/>
    <n v="0"/>
    <n v="1"/>
    <n v="2"/>
    <n v="0"/>
    <n v="0"/>
    <n v="1"/>
    <n v="65"/>
    <n v="172"/>
    <n v="22"/>
    <n v="112"/>
    <x v="3"/>
    <x v="2"/>
    <x v="0"/>
    <x v="2"/>
    <s v="17+"/>
  </r>
  <r>
    <x v="13"/>
    <x v="3"/>
    <n v="3"/>
    <n v="4"/>
    <n v="2"/>
    <n v="179"/>
    <n v="51"/>
    <n v="18"/>
    <n v="38"/>
    <n v="222196"/>
    <n v="99"/>
    <n v="0"/>
    <n v="1"/>
    <n v="0"/>
    <n v="1"/>
    <n v="0"/>
    <n v="0"/>
    <n v="89"/>
    <n v="170"/>
    <n v="31"/>
    <n v="2"/>
    <x v="3"/>
    <x v="1"/>
    <x v="1"/>
    <x v="0"/>
    <s v="0–2"/>
  </r>
  <r>
    <x v="3"/>
    <x v="3"/>
    <n v="3"/>
    <n v="5"/>
    <n v="2"/>
    <n v="225"/>
    <n v="26"/>
    <n v="9"/>
    <n v="28"/>
    <n v="222196"/>
    <n v="99"/>
    <n v="0"/>
    <n v="1"/>
    <n v="1"/>
    <n v="0"/>
    <n v="0"/>
    <n v="2"/>
    <n v="69"/>
    <n v="169"/>
    <n v="24"/>
    <n v="2"/>
    <x v="3"/>
    <x v="3"/>
    <x v="1"/>
    <x v="2"/>
    <s v="0–2"/>
  </r>
  <r>
    <x v="13"/>
    <x v="3"/>
    <n v="3"/>
    <n v="5"/>
    <n v="2"/>
    <n v="179"/>
    <n v="51"/>
    <n v="18"/>
    <n v="38"/>
    <n v="222196"/>
    <n v="99"/>
    <n v="0"/>
    <n v="1"/>
    <n v="0"/>
    <n v="1"/>
    <n v="0"/>
    <n v="0"/>
    <n v="89"/>
    <n v="170"/>
    <n v="31"/>
    <n v="3"/>
    <x v="3"/>
    <x v="1"/>
    <x v="1"/>
    <x v="0"/>
    <s v="3–8"/>
  </r>
  <r>
    <x v="3"/>
    <x v="12"/>
    <n v="3"/>
    <n v="5"/>
    <n v="2"/>
    <n v="225"/>
    <n v="26"/>
    <n v="9"/>
    <n v="28"/>
    <n v="222196"/>
    <n v="99"/>
    <n v="0"/>
    <n v="1"/>
    <n v="1"/>
    <n v="0"/>
    <n v="0"/>
    <n v="2"/>
    <n v="69"/>
    <n v="169"/>
    <n v="24"/>
    <n v="2"/>
    <x v="3"/>
    <x v="3"/>
    <x v="1"/>
    <x v="2"/>
    <s v="0–2"/>
  </r>
  <r>
    <x v="7"/>
    <x v="3"/>
    <n v="3"/>
    <n v="6"/>
    <n v="2"/>
    <n v="179"/>
    <n v="26"/>
    <n v="9"/>
    <n v="30"/>
    <n v="222196"/>
    <n v="99"/>
    <n v="0"/>
    <n v="3"/>
    <n v="0"/>
    <n v="0"/>
    <n v="0"/>
    <n v="0"/>
    <n v="56"/>
    <n v="171"/>
    <n v="19"/>
    <n v="3"/>
    <x v="3"/>
    <x v="1"/>
    <x v="1"/>
    <x v="2"/>
    <s v="3–8"/>
  </r>
  <r>
    <x v="25"/>
    <x v="12"/>
    <n v="3"/>
    <n v="2"/>
    <n v="2"/>
    <n v="235"/>
    <n v="16"/>
    <n v="8"/>
    <n v="32"/>
    <n v="222196"/>
    <n v="99"/>
    <n v="0"/>
    <n v="3"/>
    <n v="0"/>
    <n v="0"/>
    <n v="0"/>
    <n v="0"/>
    <n v="75"/>
    <n v="178"/>
    <n v="25"/>
    <n v="3"/>
    <x v="3"/>
    <x v="1"/>
    <x v="0"/>
    <x v="1"/>
    <s v="3–8"/>
  </r>
  <r>
    <x v="29"/>
    <x v="2"/>
    <n v="3"/>
    <n v="2"/>
    <n v="2"/>
    <n v="361"/>
    <n v="52"/>
    <n v="3"/>
    <n v="28"/>
    <n v="222196"/>
    <n v="99"/>
    <n v="0"/>
    <n v="1"/>
    <n v="1"/>
    <n v="1"/>
    <n v="0"/>
    <n v="4"/>
    <n v="80"/>
    <n v="172"/>
    <n v="27"/>
    <n v="8"/>
    <x v="3"/>
    <x v="3"/>
    <x v="1"/>
    <x v="1"/>
    <s v="3–8"/>
  </r>
  <r>
    <x v="13"/>
    <x v="7"/>
    <n v="3"/>
    <n v="3"/>
    <n v="2"/>
    <n v="179"/>
    <n v="51"/>
    <n v="18"/>
    <n v="38"/>
    <n v="222196"/>
    <n v="99"/>
    <n v="0"/>
    <n v="1"/>
    <n v="0"/>
    <n v="1"/>
    <n v="0"/>
    <n v="0"/>
    <n v="89"/>
    <n v="170"/>
    <n v="31"/>
    <n v="8"/>
    <x v="3"/>
    <x v="1"/>
    <x v="1"/>
    <x v="0"/>
    <s v="3–8"/>
  </r>
  <r>
    <x v="13"/>
    <x v="3"/>
    <n v="3"/>
    <n v="4"/>
    <n v="2"/>
    <n v="179"/>
    <n v="51"/>
    <n v="18"/>
    <n v="38"/>
    <n v="222196"/>
    <n v="99"/>
    <n v="0"/>
    <n v="1"/>
    <n v="0"/>
    <n v="1"/>
    <n v="0"/>
    <n v="0"/>
    <n v="89"/>
    <n v="170"/>
    <n v="31"/>
    <n v="2"/>
    <x v="3"/>
    <x v="1"/>
    <x v="1"/>
    <x v="0"/>
    <s v="0–2"/>
  </r>
  <r>
    <x v="13"/>
    <x v="3"/>
    <n v="3"/>
    <n v="5"/>
    <n v="2"/>
    <n v="179"/>
    <n v="51"/>
    <n v="18"/>
    <n v="38"/>
    <n v="222196"/>
    <n v="99"/>
    <n v="0"/>
    <n v="1"/>
    <n v="0"/>
    <n v="1"/>
    <n v="0"/>
    <n v="0"/>
    <n v="89"/>
    <n v="170"/>
    <n v="31"/>
    <n v="3"/>
    <x v="3"/>
    <x v="1"/>
    <x v="1"/>
    <x v="0"/>
    <s v="3–8"/>
  </r>
  <r>
    <x v="7"/>
    <x v="3"/>
    <n v="3"/>
    <n v="6"/>
    <n v="2"/>
    <n v="179"/>
    <n v="26"/>
    <n v="9"/>
    <n v="30"/>
    <n v="222196"/>
    <n v="99"/>
    <n v="0"/>
    <n v="3"/>
    <n v="0"/>
    <n v="0"/>
    <n v="0"/>
    <n v="0"/>
    <n v="56"/>
    <n v="171"/>
    <n v="19"/>
    <n v="2"/>
    <x v="3"/>
    <x v="1"/>
    <x v="1"/>
    <x v="2"/>
    <s v="0–2"/>
  </r>
  <r>
    <x v="13"/>
    <x v="13"/>
    <n v="3"/>
    <n v="2"/>
    <n v="2"/>
    <n v="179"/>
    <n v="51"/>
    <n v="18"/>
    <n v="38"/>
    <n v="222196"/>
    <n v="99"/>
    <n v="0"/>
    <n v="1"/>
    <n v="0"/>
    <n v="1"/>
    <n v="0"/>
    <n v="0"/>
    <n v="89"/>
    <n v="170"/>
    <n v="31"/>
    <n v="4"/>
    <x v="3"/>
    <x v="1"/>
    <x v="1"/>
    <x v="0"/>
    <s v="3–8"/>
  </r>
  <r>
    <x v="22"/>
    <x v="7"/>
    <n v="3"/>
    <n v="2"/>
    <n v="2"/>
    <n v="248"/>
    <n v="25"/>
    <n v="14"/>
    <n v="47"/>
    <n v="222196"/>
    <n v="99"/>
    <n v="0"/>
    <n v="1"/>
    <n v="2"/>
    <n v="0"/>
    <n v="0"/>
    <n v="1"/>
    <n v="86"/>
    <n v="165"/>
    <n v="32"/>
    <n v="2"/>
    <x v="3"/>
    <x v="0"/>
    <x v="1"/>
    <x v="0"/>
    <s v="0–2"/>
  </r>
  <r>
    <x v="13"/>
    <x v="3"/>
    <n v="3"/>
    <n v="2"/>
    <n v="2"/>
    <n v="179"/>
    <n v="51"/>
    <n v="18"/>
    <n v="38"/>
    <n v="222196"/>
    <n v="99"/>
    <n v="0"/>
    <n v="1"/>
    <n v="0"/>
    <n v="1"/>
    <n v="0"/>
    <n v="0"/>
    <n v="89"/>
    <n v="170"/>
    <n v="31"/>
    <n v="3"/>
    <x v="3"/>
    <x v="1"/>
    <x v="1"/>
    <x v="0"/>
    <s v="3–8"/>
  </r>
  <r>
    <x v="3"/>
    <x v="16"/>
    <n v="3"/>
    <n v="2"/>
    <n v="2"/>
    <n v="225"/>
    <n v="26"/>
    <n v="9"/>
    <n v="28"/>
    <n v="222196"/>
    <n v="99"/>
    <n v="0"/>
    <n v="1"/>
    <n v="1"/>
    <n v="0"/>
    <n v="0"/>
    <n v="2"/>
    <n v="69"/>
    <n v="169"/>
    <n v="24"/>
    <n v="8"/>
    <x v="3"/>
    <x v="3"/>
    <x v="1"/>
    <x v="2"/>
    <s v="3–8"/>
  </r>
  <r>
    <x v="13"/>
    <x v="3"/>
    <n v="3"/>
    <n v="3"/>
    <n v="2"/>
    <n v="179"/>
    <n v="51"/>
    <n v="18"/>
    <n v="38"/>
    <n v="222196"/>
    <n v="99"/>
    <n v="0"/>
    <n v="1"/>
    <n v="0"/>
    <n v="1"/>
    <n v="0"/>
    <n v="0"/>
    <n v="89"/>
    <n v="170"/>
    <n v="31"/>
    <n v="2"/>
    <x v="3"/>
    <x v="1"/>
    <x v="1"/>
    <x v="0"/>
    <s v="0–2"/>
  </r>
  <r>
    <x v="8"/>
    <x v="1"/>
    <n v="3"/>
    <n v="4"/>
    <n v="2"/>
    <n v="289"/>
    <n v="36"/>
    <n v="13"/>
    <n v="33"/>
    <n v="222196"/>
    <n v="99"/>
    <n v="0"/>
    <n v="1"/>
    <n v="2"/>
    <n v="1"/>
    <n v="0"/>
    <n v="1"/>
    <n v="90"/>
    <n v="172"/>
    <n v="30"/>
    <n v="8"/>
    <x v="3"/>
    <x v="1"/>
    <x v="1"/>
    <x v="0"/>
    <s v="3–8"/>
  </r>
  <r>
    <x v="31"/>
    <x v="12"/>
    <n v="3"/>
    <n v="4"/>
    <n v="2"/>
    <n v="228"/>
    <n v="14"/>
    <n v="16"/>
    <n v="58"/>
    <n v="222196"/>
    <n v="99"/>
    <n v="0"/>
    <n v="1"/>
    <n v="2"/>
    <n v="0"/>
    <n v="0"/>
    <n v="1"/>
    <n v="65"/>
    <n v="172"/>
    <n v="22"/>
    <n v="2"/>
    <x v="3"/>
    <x v="2"/>
    <x v="0"/>
    <x v="2"/>
    <s v="0–2"/>
  </r>
  <r>
    <x v="13"/>
    <x v="3"/>
    <n v="3"/>
    <n v="4"/>
    <n v="2"/>
    <n v="179"/>
    <n v="51"/>
    <n v="18"/>
    <n v="38"/>
    <n v="222196"/>
    <n v="99"/>
    <n v="0"/>
    <n v="1"/>
    <n v="0"/>
    <n v="1"/>
    <n v="0"/>
    <n v="0"/>
    <n v="89"/>
    <n v="170"/>
    <n v="31"/>
    <n v="2"/>
    <x v="3"/>
    <x v="1"/>
    <x v="1"/>
    <x v="0"/>
    <s v="0–2"/>
  </r>
  <r>
    <x v="22"/>
    <x v="1"/>
    <n v="3"/>
    <n v="5"/>
    <n v="2"/>
    <n v="248"/>
    <n v="25"/>
    <n v="14"/>
    <n v="47"/>
    <n v="222196"/>
    <n v="99"/>
    <n v="0"/>
    <n v="1"/>
    <n v="2"/>
    <n v="0"/>
    <n v="0"/>
    <n v="1"/>
    <n v="86"/>
    <n v="165"/>
    <n v="32"/>
    <n v="3"/>
    <x v="3"/>
    <x v="0"/>
    <x v="1"/>
    <x v="0"/>
    <s v="3–8"/>
  </r>
  <r>
    <x v="13"/>
    <x v="3"/>
    <n v="3"/>
    <n v="5"/>
    <n v="2"/>
    <n v="179"/>
    <n v="51"/>
    <n v="18"/>
    <n v="38"/>
    <n v="222196"/>
    <n v="99"/>
    <n v="0"/>
    <n v="1"/>
    <n v="0"/>
    <n v="1"/>
    <n v="0"/>
    <n v="0"/>
    <n v="89"/>
    <n v="170"/>
    <n v="31"/>
    <n v="3"/>
    <x v="3"/>
    <x v="1"/>
    <x v="1"/>
    <x v="0"/>
    <s v="3–8"/>
  </r>
  <r>
    <x v="7"/>
    <x v="1"/>
    <n v="3"/>
    <n v="6"/>
    <n v="2"/>
    <n v="179"/>
    <n v="26"/>
    <n v="9"/>
    <n v="30"/>
    <n v="222196"/>
    <n v="99"/>
    <n v="0"/>
    <n v="3"/>
    <n v="0"/>
    <n v="0"/>
    <n v="0"/>
    <n v="0"/>
    <n v="56"/>
    <n v="171"/>
    <n v="19"/>
    <n v="2"/>
    <x v="3"/>
    <x v="1"/>
    <x v="1"/>
    <x v="2"/>
    <s v="0–2"/>
  </r>
  <r>
    <x v="13"/>
    <x v="3"/>
    <n v="3"/>
    <n v="6"/>
    <n v="2"/>
    <n v="179"/>
    <n v="51"/>
    <n v="18"/>
    <n v="38"/>
    <n v="222196"/>
    <n v="99"/>
    <n v="0"/>
    <n v="1"/>
    <n v="0"/>
    <n v="1"/>
    <n v="0"/>
    <n v="0"/>
    <n v="89"/>
    <n v="170"/>
    <n v="31"/>
    <n v="3"/>
    <x v="3"/>
    <x v="1"/>
    <x v="1"/>
    <x v="0"/>
    <s v="3–8"/>
  </r>
  <r>
    <x v="13"/>
    <x v="3"/>
    <n v="3"/>
    <n v="3"/>
    <n v="3"/>
    <n v="179"/>
    <n v="51"/>
    <n v="18"/>
    <n v="38"/>
    <n v="222196"/>
    <n v="99"/>
    <n v="0"/>
    <n v="1"/>
    <n v="0"/>
    <n v="1"/>
    <n v="0"/>
    <n v="0"/>
    <n v="89"/>
    <n v="170"/>
    <n v="31"/>
    <n v="3"/>
    <x v="3"/>
    <x v="1"/>
    <x v="1"/>
    <x v="0"/>
    <s v="3–8"/>
  </r>
  <r>
    <x v="32"/>
    <x v="1"/>
    <n v="3"/>
    <n v="4"/>
    <n v="3"/>
    <n v="118"/>
    <n v="15"/>
    <n v="24"/>
    <n v="46"/>
    <n v="222196"/>
    <n v="99"/>
    <n v="0"/>
    <n v="1"/>
    <n v="2"/>
    <n v="1"/>
    <n v="1"/>
    <n v="0"/>
    <n v="75"/>
    <n v="175"/>
    <n v="25"/>
    <n v="8"/>
    <x v="3"/>
    <x v="0"/>
    <x v="0"/>
    <x v="1"/>
    <s v="3–8"/>
  </r>
  <r>
    <x v="5"/>
    <x v="7"/>
    <n v="3"/>
    <n v="4"/>
    <n v="3"/>
    <n v="155"/>
    <n v="12"/>
    <n v="14"/>
    <n v="34"/>
    <n v="222196"/>
    <n v="99"/>
    <n v="0"/>
    <n v="1"/>
    <n v="2"/>
    <n v="1"/>
    <n v="0"/>
    <n v="0"/>
    <n v="95"/>
    <n v="196"/>
    <n v="25"/>
    <n v="24"/>
    <x v="3"/>
    <x v="1"/>
    <x v="0"/>
    <x v="1"/>
    <s v="17+"/>
  </r>
  <r>
    <x v="13"/>
    <x v="3"/>
    <n v="3"/>
    <n v="4"/>
    <n v="3"/>
    <n v="179"/>
    <n v="51"/>
    <n v="18"/>
    <n v="38"/>
    <n v="222196"/>
    <n v="99"/>
    <n v="0"/>
    <n v="1"/>
    <n v="0"/>
    <n v="1"/>
    <n v="0"/>
    <n v="0"/>
    <n v="89"/>
    <n v="170"/>
    <n v="31"/>
    <n v="3"/>
    <x v="3"/>
    <x v="1"/>
    <x v="1"/>
    <x v="0"/>
    <s v="3–8"/>
  </r>
  <r>
    <x v="13"/>
    <x v="3"/>
    <n v="3"/>
    <n v="5"/>
    <n v="3"/>
    <n v="179"/>
    <n v="51"/>
    <n v="18"/>
    <n v="38"/>
    <n v="222196"/>
    <n v="99"/>
    <n v="0"/>
    <n v="1"/>
    <n v="0"/>
    <n v="1"/>
    <n v="0"/>
    <n v="0"/>
    <n v="89"/>
    <n v="170"/>
    <n v="31"/>
    <n v="3"/>
    <x v="3"/>
    <x v="1"/>
    <x v="1"/>
    <x v="0"/>
    <s v="3–8"/>
  </r>
  <r>
    <x v="7"/>
    <x v="7"/>
    <n v="3"/>
    <n v="2"/>
    <n v="3"/>
    <n v="179"/>
    <n v="26"/>
    <n v="9"/>
    <n v="30"/>
    <n v="222196"/>
    <n v="99"/>
    <n v="0"/>
    <n v="3"/>
    <n v="0"/>
    <n v="0"/>
    <n v="0"/>
    <n v="0"/>
    <n v="56"/>
    <n v="171"/>
    <n v="19"/>
    <n v="2"/>
    <x v="3"/>
    <x v="1"/>
    <x v="1"/>
    <x v="2"/>
    <s v="0–2"/>
  </r>
  <r>
    <x v="8"/>
    <x v="2"/>
    <n v="3"/>
    <n v="2"/>
    <n v="3"/>
    <n v="289"/>
    <n v="36"/>
    <n v="13"/>
    <n v="33"/>
    <n v="222196"/>
    <n v="99"/>
    <n v="0"/>
    <n v="1"/>
    <n v="2"/>
    <n v="1"/>
    <n v="0"/>
    <n v="1"/>
    <n v="90"/>
    <n v="172"/>
    <n v="30"/>
    <n v="104"/>
    <x v="3"/>
    <x v="1"/>
    <x v="1"/>
    <x v="0"/>
    <s v="17+"/>
  </r>
  <r>
    <x v="30"/>
    <x v="6"/>
    <n v="3"/>
    <n v="4"/>
    <n v="3"/>
    <n v="369"/>
    <n v="17"/>
    <n v="12"/>
    <n v="31"/>
    <n v="222196"/>
    <n v="99"/>
    <n v="0"/>
    <n v="1"/>
    <n v="3"/>
    <n v="1"/>
    <n v="0"/>
    <n v="0"/>
    <n v="70"/>
    <n v="169"/>
    <n v="25"/>
    <n v="8"/>
    <x v="3"/>
    <x v="1"/>
    <x v="0"/>
    <x v="1"/>
    <s v="3–8"/>
  </r>
  <r>
    <x v="10"/>
    <x v="5"/>
    <n v="4"/>
    <n v="4"/>
    <n v="3"/>
    <n v="291"/>
    <n v="31"/>
    <n v="12"/>
    <n v="40"/>
    <n v="326452"/>
    <n v="96"/>
    <n v="0"/>
    <n v="1"/>
    <n v="1"/>
    <n v="1"/>
    <n v="0"/>
    <n v="1"/>
    <n v="73"/>
    <n v="171"/>
    <n v="25"/>
    <n v="1"/>
    <x v="4"/>
    <x v="0"/>
    <x v="1"/>
    <x v="1"/>
    <s v="0–2"/>
  </r>
  <r>
    <x v="3"/>
    <x v="1"/>
    <n v="4"/>
    <n v="4"/>
    <n v="3"/>
    <n v="225"/>
    <n v="26"/>
    <n v="9"/>
    <n v="28"/>
    <n v="326452"/>
    <n v="96"/>
    <n v="0"/>
    <n v="1"/>
    <n v="1"/>
    <n v="0"/>
    <n v="0"/>
    <n v="2"/>
    <n v="69"/>
    <n v="169"/>
    <n v="24"/>
    <n v="1"/>
    <x v="4"/>
    <x v="3"/>
    <x v="1"/>
    <x v="2"/>
    <s v="0–2"/>
  </r>
  <r>
    <x v="5"/>
    <x v="5"/>
    <n v="4"/>
    <n v="3"/>
    <n v="3"/>
    <n v="155"/>
    <n v="12"/>
    <n v="14"/>
    <n v="34"/>
    <n v="326452"/>
    <n v="96"/>
    <n v="0"/>
    <n v="1"/>
    <n v="2"/>
    <n v="1"/>
    <n v="0"/>
    <n v="0"/>
    <n v="95"/>
    <n v="196"/>
    <n v="25"/>
    <n v="1"/>
    <x v="4"/>
    <x v="1"/>
    <x v="0"/>
    <x v="1"/>
    <s v="0–2"/>
  </r>
  <r>
    <x v="16"/>
    <x v="7"/>
    <n v="4"/>
    <n v="4"/>
    <n v="3"/>
    <n v="246"/>
    <n v="25"/>
    <n v="16"/>
    <n v="41"/>
    <n v="326452"/>
    <n v="96"/>
    <n v="0"/>
    <n v="1"/>
    <n v="0"/>
    <n v="1"/>
    <n v="0"/>
    <n v="0"/>
    <n v="67"/>
    <n v="170"/>
    <n v="23"/>
    <n v="24"/>
    <x v="4"/>
    <x v="0"/>
    <x v="1"/>
    <x v="2"/>
    <s v="17+"/>
  </r>
  <r>
    <x v="5"/>
    <x v="1"/>
    <n v="4"/>
    <n v="5"/>
    <n v="3"/>
    <n v="155"/>
    <n v="12"/>
    <n v="14"/>
    <n v="34"/>
    <n v="326452"/>
    <n v="96"/>
    <n v="0"/>
    <n v="1"/>
    <n v="2"/>
    <n v="1"/>
    <n v="0"/>
    <n v="0"/>
    <n v="95"/>
    <n v="196"/>
    <n v="25"/>
    <n v="1"/>
    <x v="4"/>
    <x v="1"/>
    <x v="0"/>
    <x v="1"/>
    <s v="0–2"/>
  </r>
  <r>
    <x v="3"/>
    <x v="5"/>
    <n v="4"/>
    <n v="6"/>
    <n v="3"/>
    <n v="225"/>
    <n v="26"/>
    <n v="9"/>
    <n v="28"/>
    <n v="326452"/>
    <n v="96"/>
    <n v="0"/>
    <n v="1"/>
    <n v="1"/>
    <n v="0"/>
    <n v="0"/>
    <n v="2"/>
    <n v="69"/>
    <n v="169"/>
    <n v="24"/>
    <n v="2"/>
    <x v="4"/>
    <x v="3"/>
    <x v="1"/>
    <x v="2"/>
    <s v="0–2"/>
  </r>
  <r>
    <x v="18"/>
    <x v="5"/>
    <n v="4"/>
    <n v="6"/>
    <n v="3"/>
    <n v="260"/>
    <n v="50"/>
    <n v="11"/>
    <n v="36"/>
    <n v="326452"/>
    <n v="96"/>
    <n v="0"/>
    <n v="1"/>
    <n v="4"/>
    <n v="1"/>
    <n v="0"/>
    <n v="0"/>
    <n v="65"/>
    <n v="168"/>
    <n v="23"/>
    <n v="4"/>
    <x v="4"/>
    <x v="1"/>
    <x v="1"/>
    <x v="2"/>
    <s v="3–8"/>
  </r>
  <r>
    <x v="13"/>
    <x v="7"/>
    <n v="4"/>
    <n v="4"/>
    <n v="3"/>
    <n v="179"/>
    <n v="51"/>
    <n v="18"/>
    <n v="38"/>
    <n v="326452"/>
    <n v="96"/>
    <n v="0"/>
    <n v="1"/>
    <n v="0"/>
    <n v="1"/>
    <n v="0"/>
    <n v="0"/>
    <n v="89"/>
    <n v="170"/>
    <n v="31"/>
    <n v="24"/>
    <x v="4"/>
    <x v="1"/>
    <x v="1"/>
    <x v="0"/>
    <s v="17+"/>
  </r>
  <r>
    <x v="12"/>
    <x v="1"/>
    <n v="4"/>
    <n v="5"/>
    <n v="3"/>
    <n v="118"/>
    <n v="13"/>
    <n v="18"/>
    <n v="50"/>
    <n v="326452"/>
    <n v="96"/>
    <n v="0"/>
    <n v="1"/>
    <n v="1"/>
    <n v="1"/>
    <n v="0"/>
    <n v="0"/>
    <n v="98"/>
    <n v="178"/>
    <n v="31"/>
    <n v="1"/>
    <x v="4"/>
    <x v="2"/>
    <x v="0"/>
    <x v="0"/>
    <s v="0–2"/>
  </r>
  <r>
    <x v="10"/>
    <x v="1"/>
    <n v="4"/>
    <n v="6"/>
    <n v="3"/>
    <n v="291"/>
    <n v="31"/>
    <n v="12"/>
    <n v="40"/>
    <n v="326452"/>
    <n v="96"/>
    <n v="0"/>
    <n v="1"/>
    <n v="1"/>
    <n v="1"/>
    <n v="0"/>
    <n v="1"/>
    <n v="73"/>
    <n v="171"/>
    <n v="25"/>
    <n v="3"/>
    <x v="4"/>
    <x v="0"/>
    <x v="1"/>
    <x v="1"/>
    <s v="3–8"/>
  </r>
  <r>
    <x v="16"/>
    <x v="18"/>
    <n v="4"/>
    <n v="6"/>
    <n v="3"/>
    <n v="246"/>
    <n v="25"/>
    <n v="16"/>
    <n v="41"/>
    <n v="326452"/>
    <n v="96"/>
    <n v="0"/>
    <n v="1"/>
    <n v="0"/>
    <n v="1"/>
    <n v="0"/>
    <n v="0"/>
    <n v="67"/>
    <n v="170"/>
    <n v="23"/>
    <n v="8"/>
    <x v="4"/>
    <x v="0"/>
    <x v="1"/>
    <x v="2"/>
    <s v="3–8"/>
  </r>
  <r>
    <x v="10"/>
    <x v="5"/>
    <n v="4"/>
    <n v="6"/>
    <n v="3"/>
    <n v="291"/>
    <n v="31"/>
    <n v="12"/>
    <n v="40"/>
    <n v="326452"/>
    <n v="96"/>
    <n v="0"/>
    <n v="1"/>
    <n v="1"/>
    <n v="1"/>
    <n v="0"/>
    <n v="1"/>
    <n v="73"/>
    <n v="171"/>
    <n v="25"/>
    <n v="1"/>
    <x v="4"/>
    <x v="0"/>
    <x v="1"/>
    <x v="1"/>
    <s v="0–2"/>
  </r>
  <r>
    <x v="22"/>
    <x v="5"/>
    <n v="4"/>
    <n v="6"/>
    <n v="3"/>
    <n v="248"/>
    <n v="25"/>
    <n v="14"/>
    <n v="47"/>
    <n v="326452"/>
    <n v="96"/>
    <n v="0"/>
    <n v="1"/>
    <n v="2"/>
    <n v="0"/>
    <n v="0"/>
    <n v="1"/>
    <n v="86"/>
    <n v="165"/>
    <n v="32"/>
    <n v="8"/>
    <x v="4"/>
    <x v="0"/>
    <x v="1"/>
    <x v="0"/>
    <s v="3–8"/>
  </r>
  <r>
    <x v="18"/>
    <x v="2"/>
    <n v="4"/>
    <n v="6"/>
    <n v="3"/>
    <n v="260"/>
    <n v="50"/>
    <n v="11"/>
    <n v="36"/>
    <n v="326452"/>
    <n v="96"/>
    <n v="0"/>
    <n v="1"/>
    <n v="4"/>
    <n v="1"/>
    <n v="0"/>
    <n v="0"/>
    <n v="65"/>
    <n v="168"/>
    <n v="23"/>
    <n v="56"/>
    <x v="4"/>
    <x v="1"/>
    <x v="1"/>
    <x v="2"/>
    <s v="17+"/>
  </r>
  <r>
    <x v="8"/>
    <x v="2"/>
    <n v="4"/>
    <n v="3"/>
    <n v="3"/>
    <n v="289"/>
    <n v="36"/>
    <n v="13"/>
    <n v="33"/>
    <n v="326452"/>
    <n v="96"/>
    <n v="0"/>
    <n v="1"/>
    <n v="2"/>
    <n v="1"/>
    <n v="0"/>
    <n v="1"/>
    <n v="90"/>
    <n v="172"/>
    <n v="30"/>
    <n v="8"/>
    <x v="4"/>
    <x v="1"/>
    <x v="1"/>
    <x v="0"/>
    <s v="3–8"/>
  </r>
  <r>
    <x v="5"/>
    <x v="11"/>
    <n v="4"/>
    <n v="4"/>
    <n v="3"/>
    <n v="155"/>
    <n v="12"/>
    <n v="14"/>
    <n v="34"/>
    <n v="326452"/>
    <n v="96"/>
    <n v="0"/>
    <n v="1"/>
    <n v="2"/>
    <n v="1"/>
    <n v="0"/>
    <n v="0"/>
    <n v="95"/>
    <n v="196"/>
    <n v="25"/>
    <n v="24"/>
    <x v="4"/>
    <x v="1"/>
    <x v="0"/>
    <x v="1"/>
    <s v="17+"/>
  </r>
  <r>
    <x v="28"/>
    <x v="2"/>
    <n v="4"/>
    <n v="4"/>
    <n v="3"/>
    <n v="378"/>
    <n v="49"/>
    <n v="11"/>
    <n v="36"/>
    <n v="326452"/>
    <n v="96"/>
    <n v="0"/>
    <n v="1"/>
    <n v="2"/>
    <n v="0"/>
    <n v="1"/>
    <n v="4"/>
    <n v="65"/>
    <n v="174"/>
    <n v="21"/>
    <n v="8"/>
    <x v="4"/>
    <x v="1"/>
    <x v="1"/>
    <x v="2"/>
    <s v="3–8"/>
  </r>
  <r>
    <x v="8"/>
    <x v="7"/>
    <n v="4"/>
    <n v="5"/>
    <n v="3"/>
    <n v="289"/>
    <n v="36"/>
    <n v="13"/>
    <n v="33"/>
    <n v="326452"/>
    <n v="96"/>
    <n v="0"/>
    <n v="1"/>
    <n v="2"/>
    <n v="1"/>
    <n v="0"/>
    <n v="1"/>
    <n v="90"/>
    <n v="172"/>
    <n v="30"/>
    <n v="16"/>
    <x v="4"/>
    <x v="1"/>
    <x v="1"/>
    <x v="0"/>
    <s v="9–16"/>
  </r>
  <r>
    <x v="9"/>
    <x v="16"/>
    <n v="4"/>
    <n v="6"/>
    <n v="3"/>
    <n v="235"/>
    <n v="11"/>
    <n v="14"/>
    <n v="37"/>
    <n v="326452"/>
    <n v="96"/>
    <n v="0"/>
    <n v="3"/>
    <n v="1"/>
    <n v="0"/>
    <n v="0"/>
    <n v="1"/>
    <n v="88"/>
    <n v="172"/>
    <n v="29"/>
    <n v="3"/>
    <x v="4"/>
    <x v="1"/>
    <x v="0"/>
    <x v="1"/>
    <s v="3–8"/>
  </r>
  <r>
    <x v="33"/>
    <x v="0"/>
    <n v="4"/>
    <n v="2"/>
    <n v="3"/>
    <n v="235"/>
    <n v="29"/>
    <n v="12"/>
    <n v="48"/>
    <n v="326452"/>
    <n v="96"/>
    <n v="1"/>
    <n v="1"/>
    <n v="1"/>
    <n v="0"/>
    <n v="1"/>
    <n v="5"/>
    <n v="88"/>
    <n v="163"/>
    <n v="33"/>
    <n v="0"/>
    <x v="4"/>
    <x v="0"/>
    <x v="1"/>
    <x v="0"/>
    <s v="0–2"/>
  </r>
  <r>
    <x v="13"/>
    <x v="5"/>
    <n v="4"/>
    <n v="4"/>
    <n v="3"/>
    <n v="179"/>
    <n v="51"/>
    <n v="18"/>
    <n v="38"/>
    <n v="239409"/>
    <n v="98"/>
    <n v="0"/>
    <n v="1"/>
    <n v="0"/>
    <n v="1"/>
    <n v="0"/>
    <n v="0"/>
    <n v="89"/>
    <n v="170"/>
    <n v="31"/>
    <n v="4"/>
    <x v="4"/>
    <x v="1"/>
    <x v="1"/>
    <x v="0"/>
    <s v="3–8"/>
  </r>
  <r>
    <x v="18"/>
    <x v="5"/>
    <n v="4"/>
    <n v="6"/>
    <n v="3"/>
    <n v="260"/>
    <n v="50"/>
    <n v="11"/>
    <n v="36"/>
    <n v="239409"/>
    <n v="98"/>
    <n v="0"/>
    <n v="1"/>
    <n v="4"/>
    <n v="1"/>
    <n v="0"/>
    <n v="0"/>
    <n v="65"/>
    <n v="168"/>
    <n v="23"/>
    <n v="3"/>
    <x v="4"/>
    <x v="1"/>
    <x v="1"/>
    <x v="2"/>
    <s v="3–8"/>
  </r>
  <r>
    <x v="20"/>
    <x v="8"/>
    <n v="4"/>
    <n v="6"/>
    <n v="3"/>
    <n v="330"/>
    <n v="16"/>
    <n v="4"/>
    <n v="28"/>
    <n v="239409"/>
    <n v="98"/>
    <n v="0"/>
    <n v="2"/>
    <n v="0"/>
    <n v="0"/>
    <n v="0"/>
    <n v="0"/>
    <n v="84"/>
    <n v="182"/>
    <n v="25"/>
    <n v="4"/>
    <x v="4"/>
    <x v="3"/>
    <x v="0"/>
    <x v="1"/>
    <s v="3–8"/>
  </r>
  <r>
    <x v="30"/>
    <x v="6"/>
    <n v="4"/>
    <n v="2"/>
    <n v="3"/>
    <n v="369"/>
    <n v="17"/>
    <n v="12"/>
    <n v="31"/>
    <n v="239409"/>
    <n v="98"/>
    <n v="0"/>
    <n v="1"/>
    <n v="3"/>
    <n v="1"/>
    <n v="0"/>
    <n v="0"/>
    <n v="70"/>
    <n v="169"/>
    <n v="25"/>
    <n v="4"/>
    <x v="4"/>
    <x v="1"/>
    <x v="0"/>
    <x v="1"/>
    <s v="3–8"/>
  </r>
  <r>
    <x v="22"/>
    <x v="8"/>
    <n v="4"/>
    <n v="2"/>
    <n v="3"/>
    <n v="248"/>
    <n v="25"/>
    <n v="14"/>
    <n v="47"/>
    <n v="239409"/>
    <n v="98"/>
    <n v="0"/>
    <n v="1"/>
    <n v="2"/>
    <n v="0"/>
    <n v="0"/>
    <n v="1"/>
    <n v="86"/>
    <n v="165"/>
    <n v="32"/>
    <n v="4"/>
    <x v="4"/>
    <x v="0"/>
    <x v="1"/>
    <x v="0"/>
    <s v="3–8"/>
  </r>
  <r>
    <x v="20"/>
    <x v="1"/>
    <n v="4"/>
    <n v="4"/>
    <n v="3"/>
    <n v="330"/>
    <n v="16"/>
    <n v="4"/>
    <n v="28"/>
    <n v="239409"/>
    <n v="98"/>
    <n v="0"/>
    <n v="2"/>
    <n v="0"/>
    <n v="0"/>
    <n v="0"/>
    <n v="0"/>
    <n v="84"/>
    <n v="182"/>
    <n v="25"/>
    <n v="8"/>
    <x v="4"/>
    <x v="3"/>
    <x v="0"/>
    <x v="1"/>
    <s v="3–8"/>
  </r>
  <r>
    <x v="13"/>
    <x v="5"/>
    <n v="4"/>
    <n v="4"/>
    <n v="3"/>
    <n v="179"/>
    <n v="51"/>
    <n v="18"/>
    <n v="38"/>
    <n v="239409"/>
    <n v="98"/>
    <n v="0"/>
    <n v="1"/>
    <n v="0"/>
    <n v="1"/>
    <n v="0"/>
    <n v="0"/>
    <n v="89"/>
    <n v="170"/>
    <n v="31"/>
    <n v="8"/>
    <x v="4"/>
    <x v="1"/>
    <x v="1"/>
    <x v="0"/>
    <s v="3–8"/>
  </r>
  <r>
    <x v="12"/>
    <x v="1"/>
    <n v="4"/>
    <n v="2"/>
    <n v="3"/>
    <n v="118"/>
    <n v="13"/>
    <n v="18"/>
    <n v="50"/>
    <n v="239409"/>
    <n v="98"/>
    <n v="0"/>
    <n v="1"/>
    <n v="1"/>
    <n v="1"/>
    <n v="0"/>
    <n v="0"/>
    <n v="98"/>
    <n v="178"/>
    <n v="31"/>
    <n v="1"/>
    <x v="4"/>
    <x v="2"/>
    <x v="0"/>
    <x v="0"/>
    <s v="0–2"/>
  </r>
  <r>
    <x v="12"/>
    <x v="7"/>
    <n v="4"/>
    <n v="4"/>
    <n v="3"/>
    <n v="118"/>
    <n v="13"/>
    <n v="18"/>
    <n v="50"/>
    <n v="239409"/>
    <n v="98"/>
    <n v="0"/>
    <n v="1"/>
    <n v="1"/>
    <n v="1"/>
    <n v="0"/>
    <n v="0"/>
    <n v="98"/>
    <n v="178"/>
    <n v="31"/>
    <n v="120"/>
    <x v="4"/>
    <x v="2"/>
    <x v="0"/>
    <x v="0"/>
    <s v="17+"/>
  </r>
  <r>
    <x v="34"/>
    <x v="5"/>
    <n v="4"/>
    <n v="6"/>
    <n v="3"/>
    <n v="300"/>
    <n v="26"/>
    <n v="13"/>
    <n v="43"/>
    <n v="239409"/>
    <n v="98"/>
    <n v="0"/>
    <n v="1"/>
    <n v="2"/>
    <n v="1"/>
    <n v="1"/>
    <n v="1"/>
    <n v="77"/>
    <n v="175"/>
    <n v="25"/>
    <n v="8"/>
    <x v="4"/>
    <x v="0"/>
    <x v="1"/>
    <x v="1"/>
    <s v="3–8"/>
  </r>
  <r>
    <x v="18"/>
    <x v="5"/>
    <n v="4"/>
    <n v="6"/>
    <n v="3"/>
    <n v="260"/>
    <n v="50"/>
    <n v="11"/>
    <n v="36"/>
    <n v="239409"/>
    <n v="98"/>
    <n v="0"/>
    <n v="1"/>
    <n v="4"/>
    <n v="1"/>
    <n v="0"/>
    <n v="0"/>
    <n v="65"/>
    <n v="168"/>
    <n v="23"/>
    <n v="4"/>
    <x v="4"/>
    <x v="1"/>
    <x v="1"/>
    <x v="2"/>
    <s v="3–8"/>
  </r>
  <r>
    <x v="13"/>
    <x v="5"/>
    <n v="4"/>
    <n v="2"/>
    <n v="3"/>
    <n v="179"/>
    <n v="51"/>
    <n v="18"/>
    <n v="38"/>
    <n v="239409"/>
    <n v="98"/>
    <n v="0"/>
    <n v="1"/>
    <n v="0"/>
    <n v="1"/>
    <n v="0"/>
    <n v="0"/>
    <n v="89"/>
    <n v="170"/>
    <n v="31"/>
    <n v="4"/>
    <x v="4"/>
    <x v="1"/>
    <x v="1"/>
    <x v="0"/>
    <s v="3–8"/>
  </r>
  <r>
    <x v="4"/>
    <x v="15"/>
    <n v="4"/>
    <n v="4"/>
    <n v="3"/>
    <n v="118"/>
    <n v="10"/>
    <n v="10"/>
    <n v="37"/>
    <n v="239409"/>
    <n v="98"/>
    <n v="0"/>
    <n v="1"/>
    <n v="0"/>
    <n v="0"/>
    <n v="0"/>
    <n v="0"/>
    <n v="83"/>
    <n v="172"/>
    <n v="28"/>
    <n v="2"/>
    <x v="4"/>
    <x v="1"/>
    <x v="2"/>
    <x v="1"/>
    <s v="0–2"/>
  </r>
  <r>
    <x v="3"/>
    <x v="7"/>
    <n v="4"/>
    <n v="2"/>
    <n v="3"/>
    <n v="225"/>
    <n v="26"/>
    <n v="9"/>
    <n v="28"/>
    <n v="246288"/>
    <n v="91"/>
    <n v="0"/>
    <n v="1"/>
    <n v="1"/>
    <n v="0"/>
    <n v="0"/>
    <n v="2"/>
    <n v="69"/>
    <n v="169"/>
    <n v="24"/>
    <n v="8"/>
    <x v="4"/>
    <x v="3"/>
    <x v="1"/>
    <x v="2"/>
    <s v="3–8"/>
  </r>
  <r>
    <x v="4"/>
    <x v="13"/>
    <n v="4"/>
    <n v="2"/>
    <n v="3"/>
    <n v="118"/>
    <n v="10"/>
    <n v="10"/>
    <n v="37"/>
    <n v="246288"/>
    <n v="91"/>
    <n v="0"/>
    <n v="1"/>
    <n v="0"/>
    <n v="0"/>
    <n v="0"/>
    <n v="0"/>
    <n v="83"/>
    <n v="172"/>
    <n v="28"/>
    <n v="8"/>
    <x v="4"/>
    <x v="1"/>
    <x v="2"/>
    <x v="1"/>
    <s v="3–8"/>
  </r>
  <r>
    <x v="29"/>
    <x v="2"/>
    <n v="4"/>
    <n v="3"/>
    <n v="3"/>
    <n v="361"/>
    <n v="52"/>
    <n v="3"/>
    <n v="28"/>
    <n v="246288"/>
    <n v="91"/>
    <n v="0"/>
    <n v="1"/>
    <n v="1"/>
    <n v="1"/>
    <n v="0"/>
    <n v="4"/>
    <n v="80"/>
    <n v="172"/>
    <n v="27"/>
    <n v="8"/>
    <x v="4"/>
    <x v="3"/>
    <x v="1"/>
    <x v="1"/>
    <s v="3–8"/>
  </r>
  <r>
    <x v="22"/>
    <x v="2"/>
    <n v="4"/>
    <n v="4"/>
    <n v="3"/>
    <n v="248"/>
    <n v="25"/>
    <n v="14"/>
    <n v="47"/>
    <n v="246288"/>
    <n v="91"/>
    <n v="0"/>
    <n v="1"/>
    <n v="2"/>
    <n v="0"/>
    <n v="0"/>
    <n v="1"/>
    <n v="86"/>
    <n v="165"/>
    <n v="32"/>
    <n v="8"/>
    <x v="4"/>
    <x v="0"/>
    <x v="1"/>
    <x v="0"/>
    <s v="3–8"/>
  </r>
  <r>
    <x v="17"/>
    <x v="7"/>
    <n v="4"/>
    <n v="5"/>
    <n v="3"/>
    <n v="189"/>
    <n v="29"/>
    <n v="13"/>
    <n v="33"/>
    <n v="246288"/>
    <n v="91"/>
    <n v="0"/>
    <n v="1"/>
    <n v="2"/>
    <n v="0"/>
    <n v="0"/>
    <n v="2"/>
    <n v="69"/>
    <n v="167"/>
    <n v="25"/>
    <n v="8"/>
    <x v="4"/>
    <x v="1"/>
    <x v="1"/>
    <x v="1"/>
    <s v="3–8"/>
  </r>
  <r>
    <x v="7"/>
    <x v="3"/>
    <n v="4"/>
    <n v="6"/>
    <n v="3"/>
    <n v="179"/>
    <n v="26"/>
    <n v="9"/>
    <n v="30"/>
    <n v="246288"/>
    <n v="91"/>
    <n v="0"/>
    <n v="3"/>
    <n v="0"/>
    <n v="0"/>
    <n v="0"/>
    <n v="0"/>
    <n v="56"/>
    <n v="171"/>
    <n v="19"/>
    <n v="2"/>
    <x v="4"/>
    <x v="1"/>
    <x v="1"/>
    <x v="2"/>
    <s v="0–2"/>
  </r>
  <r>
    <x v="30"/>
    <x v="16"/>
    <n v="4"/>
    <n v="2"/>
    <n v="3"/>
    <n v="369"/>
    <n v="17"/>
    <n v="12"/>
    <n v="31"/>
    <n v="246288"/>
    <n v="91"/>
    <n v="0"/>
    <n v="1"/>
    <n v="3"/>
    <n v="1"/>
    <n v="0"/>
    <n v="0"/>
    <n v="70"/>
    <n v="169"/>
    <n v="25"/>
    <n v="24"/>
    <x v="4"/>
    <x v="1"/>
    <x v="0"/>
    <x v="1"/>
    <s v="17+"/>
  </r>
  <r>
    <x v="14"/>
    <x v="22"/>
    <n v="4"/>
    <n v="3"/>
    <n v="3"/>
    <n v="179"/>
    <n v="22"/>
    <n v="17"/>
    <n v="40"/>
    <n v="246288"/>
    <n v="91"/>
    <n v="0"/>
    <n v="2"/>
    <n v="2"/>
    <n v="0"/>
    <n v="1"/>
    <n v="0"/>
    <n v="63"/>
    <n v="170"/>
    <n v="22"/>
    <n v="2"/>
    <x v="4"/>
    <x v="0"/>
    <x v="1"/>
    <x v="2"/>
    <s v="0–2"/>
  </r>
  <r>
    <x v="12"/>
    <x v="1"/>
    <n v="4"/>
    <n v="3"/>
    <n v="3"/>
    <n v="118"/>
    <n v="13"/>
    <n v="18"/>
    <n v="50"/>
    <n v="246288"/>
    <n v="91"/>
    <n v="0"/>
    <n v="1"/>
    <n v="1"/>
    <n v="1"/>
    <n v="0"/>
    <n v="0"/>
    <n v="98"/>
    <n v="178"/>
    <n v="31"/>
    <n v="3"/>
    <x v="4"/>
    <x v="2"/>
    <x v="0"/>
    <x v="0"/>
    <s v="3–8"/>
  </r>
  <r>
    <x v="29"/>
    <x v="1"/>
    <n v="4"/>
    <n v="3"/>
    <n v="3"/>
    <n v="361"/>
    <n v="52"/>
    <n v="3"/>
    <n v="28"/>
    <n v="246288"/>
    <n v="91"/>
    <n v="0"/>
    <n v="1"/>
    <n v="1"/>
    <n v="1"/>
    <n v="0"/>
    <n v="4"/>
    <n v="80"/>
    <n v="172"/>
    <n v="27"/>
    <n v="2"/>
    <x v="4"/>
    <x v="3"/>
    <x v="1"/>
    <x v="1"/>
    <s v="0–2"/>
  </r>
  <r>
    <x v="4"/>
    <x v="13"/>
    <n v="4"/>
    <n v="4"/>
    <n v="3"/>
    <n v="118"/>
    <n v="10"/>
    <n v="10"/>
    <n v="37"/>
    <n v="246288"/>
    <n v="91"/>
    <n v="0"/>
    <n v="1"/>
    <n v="0"/>
    <n v="0"/>
    <n v="0"/>
    <n v="0"/>
    <n v="83"/>
    <n v="172"/>
    <n v="28"/>
    <n v="2"/>
    <x v="4"/>
    <x v="1"/>
    <x v="2"/>
    <x v="1"/>
    <s v="0–2"/>
  </r>
  <r>
    <x v="9"/>
    <x v="6"/>
    <n v="4"/>
    <n v="6"/>
    <n v="3"/>
    <n v="235"/>
    <n v="11"/>
    <n v="14"/>
    <n v="37"/>
    <n v="246288"/>
    <n v="91"/>
    <n v="0"/>
    <n v="3"/>
    <n v="1"/>
    <n v="0"/>
    <n v="0"/>
    <n v="1"/>
    <n v="88"/>
    <n v="172"/>
    <n v="29"/>
    <n v="8"/>
    <x v="4"/>
    <x v="1"/>
    <x v="0"/>
    <x v="1"/>
    <s v="3–8"/>
  </r>
  <r>
    <x v="7"/>
    <x v="3"/>
    <n v="4"/>
    <n v="6"/>
    <n v="3"/>
    <n v="179"/>
    <n v="26"/>
    <n v="9"/>
    <n v="30"/>
    <n v="246288"/>
    <n v="91"/>
    <n v="0"/>
    <n v="3"/>
    <n v="0"/>
    <n v="0"/>
    <n v="0"/>
    <n v="0"/>
    <n v="56"/>
    <n v="171"/>
    <n v="19"/>
    <n v="2"/>
    <x v="4"/>
    <x v="1"/>
    <x v="1"/>
    <x v="2"/>
    <s v="0–2"/>
  </r>
  <r>
    <x v="3"/>
    <x v="2"/>
    <n v="4"/>
    <n v="2"/>
    <n v="3"/>
    <n v="225"/>
    <n v="26"/>
    <n v="9"/>
    <n v="28"/>
    <n v="246288"/>
    <n v="91"/>
    <n v="0"/>
    <n v="1"/>
    <n v="1"/>
    <n v="0"/>
    <n v="0"/>
    <n v="2"/>
    <n v="69"/>
    <n v="169"/>
    <n v="24"/>
    <n v="8"/>
    <x v="4"/>
    <x v="3"/>
    <x v="1"/>
    <x v="2"/>
    <s v="3–8"/>
  </r>
  <r>
    <x v="25"/>
    <x v="22"/>
    <n v="4"/>
    <n v="3"/>
    <n v="3"/>
    <n v="235"/>
    <n v="16"/>
    <n v="8"/>
    <n v="32"/>
    <n v="246288"/>
    <n v="91"/>
    <n v="0"/>
    <n v="3"/>
    <n v="0"/>
    <n v="0"/>
    <n v="0"/>
    <n v="0"/>
    <n v="75"/>
    <n v="178"/>
    <n v="25"/>
    <n v="3"/>
    <x v="4"/>
    <x v="1"/>
    <x v="0"/>
    <x v="1"/>
    <s v="3–8"/>
  </r>
  <r>
    <x v="7"/>
    <x v="3"/>
    <n v="4"/>
    <n v="6"/>
    <n v="3"/>
    <n v="179"/>
    <n v="26"/>
    <n v="9"/>
    <n v="30"/>
    <n v="246288"/>
    <n v="91"/>
    <n v="0"/>
    <n v="3"/>
    <n v="0"/>
    <n v="0"/>
    <n v="0"/>
    <n v="0"/>
    <n v="56"/>
    <n v="171"/>
    <n v="19"/>
    <n v="2"/>
    <x v="4"/>
    <x v="1"/>
    <x v="1"/>
    <x v="2"/>
    <s v="0–2"/>
  </r>
  <r>
    <x v="5"/>
    <x v="5"/>
    <n v="4"/>
    <n v="3"/>
    <n v="3"/>
    <n v="155"/>
    <n v="12"/>
    <n v="14"/>
    <n v="34"/>
    <n v="246288"/>
    <n v="91"/>
    <n v="0"/>
    <n v="1"/>
    <n v="2"/>
    <n v="1"/>
    <n v="0"/>
    <n v="0"/>
    <n v="95"/>
    <n v="196"/>
    <n v="25"/>
    <n v="4"/>
    <x v="4"/>
    <x v="1"/>
    <x v="0"/>
    <x v="1"/>
    <s v="3–8"/>
  </r>
  <r>
    <x v="3"/>
    <x v="2"/>
    <n v="4"/>
    <n v="5"/>
    <n v="3"/>
    <n v="225"/>
    <n v="26"/>
    <n v="9"/>
    <n v="28"/>
    <n v="246288"/>
    <n v="91"/>
    <n v="0"/>
    <n v="1"/>
    <n v="1"/>
    <n v="0"/>
    <n v="0"/>
    <n v="2"/>
    <n v="69"/>
    <n v="169"/>
    <n v="24"/>
    <n v="8"/>
    <x v="4"/>
    <x v="3"/>
    <x v="1"/>
    <x v="2"/>
    <s v="3–8"/>
  </r>
  <r>
    <x v="12"/>
    <x v="18"/>
    <n v="4"/>
    <n v="5"/>
    <n v="3"/>
    <n v="118"/>
    <n v="13"/>
    <n v="18"/>
    <n v="50"/>
    <n v="246288"/>
    <n v="91"/>
    <n v="0"/>
    <n v="1"/>
    <n v="1"/>
    <n v="1"/>
    <n v="0"/>
    <n v="0"/>
    <n v="98"/>
    <n v="178"/>
    <n v="31"/>
    <n v="2"/>
    <x v="4"/>
    <x v="2"/>
    <x v="0"/>
    <x v="0"/>
    <s v="0–2"/>
  </r>
  <r>
    <x v="7"/>
    <x v="3"/>
    <n v="4"/>
    <n v="6"/>
    <n v="3"/>
    <n v="179"/>
    <n v="26"/>
    <n v="9"/>
    <n v="30"/>
    <n v="246288"/>
    <n v="91"/>
    <n v="0"/>
    <n v="3"/>
    <n v="0"/>
    <n v="0"/>
    <n v="0"/>
    <n v="0"/>
    <n v="56"/>
    <n v="171"/>
    <n v="19"/>
    <n v="2"/>
    <x v="4"/>
    <x v="1"/>
    <x v="1"/>
    <x v="2"/>
    <s v="0–2"/>
  </r>
  <r>
    <x v="8"/>
    <x v="7"/>
    <n v="5"/>
    <n v="4"/>
    <n v="3"/>
    <n v="289"/>
    <n v="36"/>
    <n v="13"/>
    <n v="33"/>
    <n v="378884"/>
    <n v="92"/>
    <n v="0"/>
    <n v="1"/>
    <n v="2"/>
    <n v="1"/>
    <n v="0"/>
    <n v="1"/>
    <n v="90"/>
    <n v="172"/>
    <n v="30"/>
    <n v="8"/>
    <x v="5"/>
    <x v="1"/>
    <x v="1"/>
    <x v="0"/>
    <s v="3–8"/>
  </r>
  <r>
    <x v="5"/>
    <x v="5"/>
    <n v="5"/>
    <n v="5"/>
    <n v="3"/>
    <n v="155"/>
    <n v="12"/>
    <n v="14"/>
    <n v="34"/>
    <n v="378884"/>
    <n v="92"/>
    <n v="0"/>
    <n v="1"/>
    <n v="2"/>
    <n v="1"/>
    <n v="0"/>
    <n v="0"/>
    <n v="95"/>
    <n v="196"/>
    <n v="25"/>
    <n v="2"/>
    <x v="5"/>
    <x v="1"/>
    <x v="0"/>
    <x v="1"/>
    <s v="0–2"/>
  </r>
  <r>
    <x v="5"/>
    <x v="5"/>
    <n v="5"/>
    <n v="2"/>
    <n v="3"/>
    <n v="155"/>
    <n v="12"/>
    <n v="14"/>
    <n v="34"/>
    <n v="378884"/>
    <n v="92"/>
    <n v="0"/>
    <n v="1"/>
    <n v="2"/>
    <n v="1"/>
    <n v="0"/>
    <n v="0"/>
    <n v="95"/>
    <n v="196"/>
    <n v="25"/>
    <n v="1"/>
    <x v="5"/>
    <x v="1"/>
    <x v="0"/>
    <x v="1"/>
    <s v="0–2"/>
  </r>
  <r>
    <x v="13"/>
    <x v="4"/>
    <n v="5"/>
    <n v="3"/>
    <n v="3"/>
    <n v="179"/>
    <n v="51"/>
    <n v="18"/>
    <n v="38"/>
    <n v="378884"/>
    <n v="92"/>
    <n v="0"/>
    <n v="1"/>
    <n v="0"/>
    <n v="1"/>
    <n v="0"/>
    <n v="0"/>
    <n v="89"/>
    <n v="170"/>
    <n v="31"/>
    <n v="8"/>
    <x v="5"/>
    <x v="1"/>
    <x v="1"/>
    <x v="0"/>
    <s v="3–8"/>
  </r>
  <r>
    <x v="3"/>
    <x v="2"/>
    <n v="5"/>
    <n v="3"/>
    <n v="3"/>
    <n v="225"/>
    <n v="26"/>
    <n v="9"/>
    <n v="28"/>
    <n v="378884"/>
    <n v="92"/>
    <n v="0"/>
    <n v="1"/>
    <n v="1"/>
    <n v="0"/>
    <n v="0"/>
    <n v="2"/>
    <n v="69"/>
    <n v="169"/>
    <n v="24"/>
    <n v="8"/>
    <x v="5"/>
    <x v="3"/>
    <x v="1"/>
    <x v="2"/>
    <s v="3–8"/>
  </r>
  <r>
    <x v="6"/>
    <x v="16"/>
    <n v="5"/>
    <n v="4"/>
    <n v="3"/>
    <n v="184"/>
    <n v="42"/>
    <n v="7"/>
    <n v="27"/>
    <n v="378884"/>
    <n v="92"/>
    <n v="0"/>
    <n v="1"/>
    <n v="0"/>
    <n v="0"/>
    <n v="0"/>
    <n v="0"/>
    <n v="58"/>
    <n v="167"/>
    <n v="21"/>
    <n v="4"/>
    <x v="5"/>
    <x v="3"/>
    <x v="1"/>
    <x v="2"/>
    <s v="3–8"/>
  </r>
  <r>
    <x v="5"/>
    <x v="5"/>
    <n v="5"/>
    <n v="2"/>
    <n v="3"/>
    <n v="155"/>
    <n v="12"/>
    <n v="14"/>
    <n v="34"/>
    <n v="378884"/>
    <n v="92"/>
    <n v="0"/>
    <n v="1"/>
    <n v="2"/>
    <n v="1"/>
    <n v="0"/>
    <n v="0"/>
    <n v="95"/>
    <n v="196"/>
    <n v="25"/>
    <n v="2"/>
    <x v="5"/>
    <x v="1"/>
    <x v="0"/>
    <x v="1"/>
    <s v="0–2"/>
  </r>
  <r>
    <x v="13"/>
    <x v="11"/>
    <n v="5"/>
    <n v="3"/>
    <n v="3"/>
    <n v="179"/>
    <n v="51"/>
    <n v="18"/>
    <n v="38"/>
    <n v="378884"/>
    <n v="92"/>
    <n v="0"/>
    <n v="1"/>
    <n v="0"/>
    <n v="1"/>
    <n v="0"/>
    <n v="0"/>
    <n v="89"/>
    <n v="170"/>
    <n v="31"/>
    <n v="1"/>
    <x v="5"/>
    <x v="1"/>
    <x v="1"/>
    <x v="0"/>
    <s v="0–2"/>
  </r>
  <r>
    <x v="8"/>
    <x v="7"/>
    <n v="5"/>
    <n v="4"/>
    <n v="3"/>
    <n v="289"/>
    <n v="36"/>
    <n v="13"/>
    <n v="33"/>
    <n v="378884"/>
    <n v="92"/>
    <n v="0"/>
    <n v="1"/>
    <n v="2"/>
    <n v="1"/>
    <n v="0"/>
    <n v="1"/>
    <n v="90"/>
    <n v="172"/>
    <n v="30"/>
    <n v="24"/>
    <x v="5"/>
    <x v="1"/>
    <x v="1"/>
    <x v="0"/>
    <s v="17+"/>
  </r>
  <r>
    <x v="27"/>
    <x v="0"/>
    <n v="5"/>
    <n v="4"/>
    <n v="3"/>
    <n v="279"/>
    <n v="5"/>
    <n v="14"/>
    <n v="39"/>
    <n v="378884"/>
    <n v="92"/>
    <n v="1"/>
    <n v="1"/>
    <n v="2"/>
    <n v="1"/>
    <n v="1"/>
    <n v="0"/>
    <n v="68"/>
    <n v="168"/>
    <n v="24"/>
    <n v="0"/>
    <x v="5"/>
    <x v="1"/>
    <x v="3"/>
    <x v="2"/>
    <s v="0–2"/>
  </r>
  <r>
    <x v="20"/>
    <x v="0"/>
    <n v="5"/>
    <n v="4"/>
    <n v="3"/>
    <n v="330"/>
    <n v="16"/>
    <n v="4"/>
    <n v="28"/>
    <n v="378884"/>
    <n v="92"/>
    <n v="1"/>
    <n v="2"/>
    <n v="0"/>
    <n v="0"/>
    <n v="0"/>
    <n v="0"/>
    <n v="84"/>
    <n v="182"/>
    <n v="25"/>
    <n v="0"/>
    <x v="5"/>
    <x v="3"/>
    <x v="0"/>
    <x v="1"/>
    <s v="0–2"/>
  </r>
  <r>
    <x v="28"/>
    <x v="0"/>
    <n v="5"/>
    <n v="4"/>
    <n v="3"/>
    <n v="378"/>
    <n v="49"/>
    <n v="11"/>
    <n v="36"/>
    <n v="378884"/>
    <n v="92"/>
    <n v="1"/>
    <n v="1"/>
    <n v="2"/>
    <n v="0"/>
    <n v="1"/>
    <n v="4"/>
    <n v="65"/>
    <n v="174"/>
    <n v="21"/>
    <m/>
    <x v="5"/>
    <x v="1"/>
    <x v="1"/>
    <x v="2"/>
    <s v="0–2"/>
  </r>
  <r>
    <x v="19"/>
    <x v="0"/>
    <n v="5"/>
    <n v="4"/>
    <n v="3"/>
    <n v="388"/>
    <n v="15"/>
    <n v="9"/>
    <n v="50"/>
    <n v="378884"/>
    <n v="92"/>
    <n v="1"/>
    <n v="1"/>
    <n v="0"/>
    <n v="0"/>
    <n v="0"/>
    <n v="0"/>
    <n v="76"/>
    <n v="178"/>
    <n v="24"/>
    <n v="0"/>
    <x v="5"/>
    <x v="2"/>
    <x v="0"/>
    <x v="2"/>
    <s v="0–2"/>
  </r>
  <r>
    <x v="13"/>
    <x v="15"/>
    <n v="5"/>
    <n v="3"/>
    <n v="3"/>
    <n v="179"/>
    <n v="51"/>
    <n v="18"/>
    <n v="38"/>
    <n v="378884"/>
    <n v="92"/>
    <n v="0"/>
    <n v="1"/>
    <n v="0"/>
    <n v="1"/>
    <n v="0"/>
    <n v="0"/>
    <n v="89"/>
    <n v="170"/>
    <n v="31"/>
    <n v="1"/>
    <x v="5"/>
    <x v="1"/>
    <x v="1"/>
    <x v="0"/>
    <s v="0–2"/>
  </r>
  <r>
    <x v="12"/>
    <x v="7"/>
    <n v="5"/>
    <n v="4"/>
    <n v="3"/>
    <n v="118"/>
    <n v="13"/>
    <n v="18"/>
    <n v="50"/>
    <n v="378884"/>
    <n v="92"/>
    <n v="0"/>
    <n v="1"/>
    <n v="1"/>
    <n v="1"/>
    <n v="0"/>
    <n v="0"/>
    <n v="98"/>
    <n v="178"/>
    <n v="31"/>
    <n v="24"/>
    <x v="5"/>
    <x v="2"/>
    <x v="0"/>
    <x v="0"/>
    <s v="17+"/>
  </r>
  <r>
    <x v="29"/>
    <x v="6"/>
    <n v="5"/>
    <n v="6"/>
    <n v="3"/>
    <n v="361"/>
    <n v="52"/>
    <n v="3"/>
    <n v="28"/>
    <m/>
    <n v="92"/>
    <n v="0"/>
    <n v="1"/>
    <n v="1"/>
    <n v="1"/>
    <n v="0"/>
    <n v="4"/>
    <n v="80"/>
    <n v="172"/>
    <n v="27"/>
    <m/>
    <x v="5"/>
    <x v="3"/>
    <x v="1"/>
    <x v="1"/>
    <s v="0–2"/>
  </r>
  <r>
    <x v="11"/>
    <x v="7"/>
    <n v="5"/>
    <n v="2"/>
    <n v="3"/>
    <n v="235"/>
    <n v="20"/>
    <n v="13"/>
    <n v="43"/>
    <n v="246074"/>
    <n v="99"/>
    <n v="0"/>
    <n v="1"/>
    <n v="1"/>
    <n v="1"/>
    <n v="0"/>
    <n v="0"/>
    <n v="106"/>
    <n v="167"/>
    <n v="38"/>
    <n v="16"/>
    <x v="5"/>
    <x v="0"/>
    <x v="0"/>
    <x v="0"/>
    <s v="9–16"/>
  </r>
  <r>
    <x v="22"/>
    <x v="1"/>
    <n v="5"/>
    <n v="4"/>
    <n v="3"/>
    <n v="248"/>
    <n v="25"/>
    <n v="14"/>
    <n v="47"/>
    <n v="246074"/>
    <n v="99"/>
    <n v="0"/>
    <n v="1"/>
    <n v="2"/>
    <n v="0"/>
    <n v="0"/>
    <n v="1"/>
    <n v="86"/>
    <n v="165"/>
    <n v="32"/>
    <n v="2"/>
    <x v="5"/>
    <x v="0"/>
    <x v="1"/>
    <x v="0"/>
    <s v="0–2"/>
  </r>
  <r>
    <x v="30"/>
    <x v="13"/>
    <n v="5"/>
    <n v="2"/>
    <n v="3"/>
    <n v="369"/>
    <n v="17"/>
    <n v="12"/>
    <n v="31"/>
    <n v="246074"/>
    <n v="99"/>
    <n v="0"/>
    <n v="1"/>
    <n v="3"/>
    <n v="1"/>
    <n v="0"/>
    <n v="0"/>
    <n v="70"/>
    <n v="169"/>
    <n v="25"/>
    <n v="8"/>
    <x v="5"/>
    <x v="1"/>
    <x v="0"/>
    <x v="1"/>
    <s v="3–8"/>
  </r>
  <r>
    <x v="7"/>
    <x v="1"/>
    <n v="5"/>
    <n v="4"/>
    <n v="3"/>
    <n v="179"/>
    <n v="26"/>
    <n v="9"/>
    <n v="30"/>
    <n v="246074"/>
    <n v="99"/>
    <n v="0"/>
    <n v="3"/>
    <n v="0"/>
    <n v="0"/>
    <n v="0"/>
    <n v="0"/>
    <n v="56"/>
    <n v="171"/>
    <n v="19"/>
    <n v="3"/>
    <x v="5"/>
    <x v="1"/>
    <x v="1"/>
    <x v="2"/>
    <s v="3–8"/>
  </r>
  <r>
    <x v="13"/>
    <x v="5"/>
    <n v="5"/>
    <n v="4"/>
    <n v="3"/>
    <n v="179"/>
    <n v="51"/>
    <n v="18"/>
    <n v="38"/>
    <n v="246074"/>
    <n v="99"/>
    <n v="0"/>
    <n v="1"/>
    <n v="0"/>
    <n v="1"/>
    <n v="0"/>
    <n v="0"/>
    <n v="89"/>
    <n v="170"/>
    <n v="31"/>
    <n v="4"/>
    <x v="5"/>
    <x v="1"/>
    <x v="1"/>
    <x v="0"/>
    <s v="3–8"/>
  </r>
  <r>
    <x v="29"/>
    <x v="1"/>
    <n v="5"/>
    <n v="5"/>
    <n v="3"/>
    <n v="361"/>
    <n v="52"/>
    <n v="3"/>
    <n v="28"/>
    <n v="246074"/>
    <n v="99"/>
    <n v="0"/>
    <n v="1"/>
    <n v="1"/>
    <n v="1"/>
    <n v="0"/>
    <n v="4"/>
    <n v="80"/>
    <n v="172"/>
    <n v="27"/>
    <n v="1"/>
    <x v="5"/>
    <x v="3"/>
    <x v="1"/>
    <x v="1"/>
    <s v="0–2"/>
  </r>
  <r>
    <x v="18"/>
    <x v="5"/>
    <n v="5"/>
    <n v="6"/>
    <n v="3"/>
    <n v="260"/>
    <n v="50"/>
    <n v="11"/>
    <n v="36"/>
    <n v="246074"/>
    <n v="99"/>
    <n v="0"/>
    <n v="1"/>
    <n v="4"/>
    <n v="1"/>
    <n v="0"/>
    <n v="0"/>
    <n v="65"/>
    <n v="168"/>
    <n v="23"/>
    <n v="3"/>
    <x v="5"/>
    <x v="1"/>
    <x v="1"/>
    <x v="2"/>
    <s v="3–8"/>
  </r>
  <r>
    <x v="14"/>
    <x v="15"/>
    <n v="5"/>
    <n v="2"/>
    <n v="3"/>
    <n v="179"/>
    <n v="22"/>
    <n v="17"/>
    <n v="40"/>
    <n v="246074"/>
    <n v="99"/>
    <n v="0"/>
    <n v="2"/>
    <n v="2"/>
    <n v="0"/>
    <n v="1"/>
    <n v="0"/>
    <n v="63"/>
    <n v="170"/>
    <n v="22"/>
    <n v="2"/>
    <x v="5"/>
    <x v="0"/>
    <x v="1"/>
    <x v="2"/>
    <s v="0–2"/>
  </r>
  <r>
    <x v="14"/>
    <x v="20"/>
    <n v="5"/>
    <n v="2"/>
    <n v="3"/>
    <n v="179"/>
    <n v="22"/>
    <n v="17"/>
    <n v="40"/>
    <n v="246074"/>
    <n v="99"/>
    <n v="0"/>
    <n v="2"/>
    <n v="2"/>
    <n v="0"/>
    <n v="1"/>
    <n v="0"/>
    <n v="63"/>
    <n v="170"/>
    <n v="22"/>
    <n v="3"/>
    <x v="5"/>
    <x v="0"/>
    <x v="1"/>
    <x v="2"/>
    <s v="3–8"/>
  </r>
  <r>
    <x v="31"/>
    <x v="4"/>
    <n v="5"/>
    <n v="4"/>
    <n v="3"/>
    <n v="228"/>
    <n v="14"/>
    <n v="16"/>
    <n v="58"/>
    <n v="246074"/>
    <n v="99"/>
    <n v="0"/>
    <n v="1"/>
    <n v="2"/>
    <n v="0"/>
    <n v="0"/>
    <n v="1"/>
    <n v="65"/>
    <n v="172"/>
    <n v="22"/>
    <n v="8"/>
    <x v="5"/>
    <x v="2"/>
    <x v="0"/>
    <x v="2"/>
    <s v="3–8"/>
  </r>
  <r>
    <x v="3"/>
    <x v="12"/>
    <n v="5"/>
    <n v="4"/>
    <n v="3"/>
    <n v="225"/>
    <n v="26"/>
    <n v="9"/>
    <n v="28"/>
    <n v="246074"/>
    <n v="99"/>
    <n v="0"/>
    <n v="1"/>
    <n v="1"/>
    <n v="0"/>
    <n v="0"/>
    <n v="2"/>
    <n v="69"/>
    <n v="169"/>
    <n v="24"/>
    <n v="3"/>
    <x v="5"/>
    <x v="3"/>
    <x v="1"/>
    <x v="2"/>
    <s v="3–8"/>
  </r>
  <r>
    <x v="20"/>
    <x v="7"/>
    <n v="5"/>
    <n v="6"/>
    <n v="3"/>
    <n v="330"/>
    <n v="16"/>
    <n v="4"/>
    <n v="28"/>
    <n v="246074"/>
    <n v="99"/>
    <n v="0"/>
    <n v="2"/>
    <n v="0"/>
    <n v="0"/>
    <n v="0"/>
    <n v="0"/>
    <n v="84"/>
    <n v="182"/>
    <n v="25"/>
    <n v="8"/>
    <x v="5"/>
    <x v="3"/>
    <x v="0"/>
    <x v="1"/>
    <s v="3–8"/>
  </r>
  <r>
    <x v="7"/>
    <x v="12"/>
    <n v="5"/>
    <n v="2"/>
    <n v="3"/>
    <n v="179"/>
    <n v="26"/>
    <n v="9"/>
    <n v="30"/>
    <n v="246074"/>
    <n v="99"/>
    <n v="0"/>
    <n v="3"/>
    <n v="0"/>
    <n v="0"/>
    <n v="0"/>
    <n v="0"/>
    <n v="56"/>
    <n v="171"/>
    <n v="19"/>
    <n v="2"/>
    <x v="5"/>
    <x v="1"/>
    <x v="1"/>
    <x v="2"/>
    <s v="0–2"/>
  </r>
  <r>
    <x v="4"/>
    <x v="5"/>
    <n v="5"/>
    <n v="2"/>
    <n v="3"/>
    <n v="118"/>
    <n v="10"/>
    <n v="10"/>
    <n v="37"/>
    <n v="246074"/>
    <n v="99"/>
    <n v="0"/>
    <n v="1"/>
    <n v="0"/>
    <n v="0"/>
    <n v="0"/>
    <n v="0"/>
    <n v="83"/>
    <n v="172"/>
    <n v="28"/>
    <n v="1"/>
    <x v="5"/>
    <x v="1"/>
    <x v="2"/>
    <x v="1"/>
    <s v="0–2"/>
  </r>
  <r>
    <x v="9"/>
    <x v="14"/>
    <n v="5"/>
    <n v="2"/>
    <n v="3"/>
    <n v="235"/>
    <n v="11"/>
    <n v="14"/>
    <n v="37"/>
    <n v="246074"/>
    <n v="99"/>
    <n v="0"/>
    <n v="3"/>
    <n v="1"/>
    <n v="0"/>
    <n v="0"/>
    <n v="1"/>
    <n v="88"/>
    <n v="172"/>
    <n v="29"/>
    <n v="8"/>
    <x v="5"/>
    <x v="1"/>
    <x v="0"/>
    <x v="1"/>
    <s v="3–8"/>
  </r>
  <r>
    <x v="7"/>
    <x v="1"/>
    <n v="5"/>
    <n v="4"/>
    <n v="3"/>
    <n v="179"/>
    <n v="26"/>
    <n v="9"/>
    <n v="30"/>
    <n v="246074"/>
    <n v="99"/>
    <n v="0"/>
    <n v="3"/>
    <n v="0"/>
    <n v="0"/>
    <n v="0"/>
    <n v="0"/>
    <n v="56"/>
    <n v="171"/>
    <n v="19"/>
    <n v="3"/>
    <x v="5"/>
    <x v="1"/>
    <x v="1"/>
    <x v="2"/>
    <s v="3–8"/>
  </r>
  <r>
    <x v="9"/>
    <x v="6"/>
    <n v="5"/>
    <n v="2"/>
    <n v="3"/>
    <n v="235"/>
    <n v="11"/>
    <n v="14"/>
    <n v="37"/>
    <n v="237656"/>
    <n v="99"/>
    <n v="0"/>
    <n v="3"/>
    <n v="1"/>
    <n v="0"/>
    <n v="0"/>
    <n v="1"/>
    <n v="88"/>
    <n v="172"/>
    <n v="29"/>
    <n v="8"/>
    <x v="5"/>
    <x v="1"/>
    <x v="0"/>
    <x v="1"/>
    <s v="3–8"/>
  </r>
  <r>
    <x v="23"/>
    <x v="2"/>
    <n v="5"/>
    <n v="4"/>
    <n v="3"/>
    <n v="225"/>
    <n v="15"/>
    <n v="15"/>
    <n v="41"/>
    <n v="237656"/>
    <n v="99"/>
    <n v="0"/>
    <n v="4"/>
    <n v="2"/>
    <n v="1"/>
    <n v="0"/>
    <n v="2"/>
    <n v="94"/>
    <n v="182"/>
    <n v="28"/>
    <n v="3"/>
    <x v="5"/>
    <x v="0"/>
    <x v="0"/>
    <x v="1"/>
    <s v="3–8"/>
  </r>
  <r>
    <x v="25"/>
    <x v="5"/>
    <n v="5"/>
    <n v="4"/>
    <n v="3"/>
    <n v="235"/>
    <n v="16"/>
    <n v="8"/>
    <n v="32"/>
    <n v="237656"/>
    <n v="99"/>
    <n v="0"/>
    <n v="3"/>
    <n v="0"/>
    <n v="0"/>
    <n v="0"/>
    <n v="0"/>
    <n v="75"/>
    <n v="178"/>
    <n v="25"/>
    <n v="2"/>
    <x v="5"/>
    <x v="1"/>
    <x v="0"/>
    <x v="1"/>
    <s v="0–2"/>
  </r>
  <r>
    <x v="4"/>
    <x v="20"/>
    <n v="5"/>
    <n v="4"/>
    <n v="3"/>
    <n v="118"/>
    <n v="10"/>
    <n v="10"/>
    <n v="37"/>
    <n v="237656"/>
    <n v="99"/>
    <n v="0"/>
    <n v="1"/>
    <n v="0"/>
    <n v="0"/>
    <n v="0"/>
    <n v="0"/>
    <n v="83"/>
    <n v="172"/>
    <n v="28"/>
    <n v="3"/>
    <x v="5"/>
    <x v="1"/>
    <x v="2"/>
    <x v="1"/>
    <s v="3–8"/>
  </r>
  <r>
    <x v="11"/>
    <x v="8"/>
    <n v="5"/>
    <n v="4"/>
    <n v="3"/>
    <n v="235"/>
    <n v="20"/>
    <n v="13"/>
    <n v="43"/>
    <n v="237656"/>
    <n v="99"/>
    <n v="0"/>
    <n v="1"/>
    <n v="1"/>
    <n v="1"/>
    <n v="0"/>
    <n v="0"/>
    <n v="106"/>
    <n v="167"/>
    <n v="38"/>
    <n v="8"/>
    <x v="5"/>
    <x v="0"/>
    <x v="0"/>
    <x v="0"/>
    <s v="3–8"/>
  </r>
  <r>
    <x v="7"/>
    <x v="7"/>
    <n v="5"/>
    <n v="5"/>
    <n v="3"/>
    <n v="179"/>
    <n v="26"/>
    <n v="9"/>
    <n v="30"/>
    <n v="237656"/>
    <n v="99"/>
    <n v="0"/>
    <n v="3"/>
    <n v="0"/>
    <n v="0"/>
    <n v="0"/>
    <n v="0"/>
    <n v="56"/>
    <n v="171"/>
    <n v="19"/>
    <n v="1"/>
    <x v="5"/>
    <x v="1"/>
    <x v="1"/>
    <x v="2"/>
    <s v="0–2"/>
  </r>
  <r>
    <x v="10"/>
    <x v="5"/>
    <n v="5"/>
    <n v="5"/>
    <n v="3"/>
    <n v="291"/>
    <n v="31"/>
    <n v="12"/>
    <n v="40"/>
    <n v="237656"/>
    <n v="99"/>
    <n v="0"/>
    <n v="1"/>
    <n v="1"/>
    <n v="1"/>
    <n v="0"/>
    <n v="1"/>
    <n v="73"/>
    <n v="171"/>
    <n v="25"/>
    <n v="2"/>
    <x v="5"/>
    <x v="0"/>
    <x v="1"/>
    <x v="1"/>
    <s v="0–2"/>
  </r>
  <r>
    <x v="23"/>
    <x v="18"/>
    <n v="5"/>
    <n v="5"/>
    <n v="3"/>
    <n v="225"/>
    <n v="15"/>
    <n v="15"/>
    <n v="41"/>
    <n v="237656"/>
    <n v="99"/>
    <n v="0"/>
    <n v="4"/>
    <n v="2"/>
    <n v="1"/>
    <n v="0"/>
    <n v="2"/>
    <n v="94"/>
    <n v="182"/>
    <n v="28"/>
    <n v="8"/>
    <x v="5"/>
    <x v="0"/>
    <x v="0"/>
    <x v="1"/>
    <s v="3–8"/>
  </r>
  <r>
    <x v="34"/>
    <x v="2"/>
    <n v="5"/>
    <n v="6"/>
    <n v="3"/>
    <n v="300"/>
    <n v="26"/>
    <n v="13"/>
    <n v="43"/>
    <n v="237656"/>
    <n v="99"/>
    <n v="0"/>
    <n v="1"/>
    <n v="2"/>
    <n v="1"/>
    <n v="1"/>
    <n v="1"/>
    <n v="77"/>
    <n v="175"/>
    <n v="25"/>
    <n v="64"/>
    <x v="5"/>
    <x v="0"/>
    <x v="1"/>
    <x v="1"/>
    <s v="17+"/>
  </r>
  <r>
    <x v="23"/>
    <x v="6"/>
    <n v="5"/>
    <n v="6"/>
    <n v="3"/>
    <n v="225"/>
    <n v="15"/>
    <n v="15"/>
    <n v="41"/>
    <n v="237656"/>
    <n v="99"/>
    <n v="0"/>
    <n v="4"/>
    <n v="2"/>
    <n v="1"/>
    <n v="0"/>
    <n v="2"/>
    <n v="94"/>
    <n v="182"/>
    <n v="28"/>
    <n v="8"/>
    <x v="5"/>
    <x v="0"/>
    <x v="0"/>
    <x v="1"/>
    <s v="3–8"/>
  </r>
  <r>
    <x v="7"/>
    <x v="3"/>
    <n v="5"/>
    <n v="6"/>
    <n v="3"/>
    <n v="179"/>
    <n v="26"/>
    <n v="9"/>
    <n v="30"/>
    <n v="237656"/>
    <n v="99"/>
    <n v="0"/>
    <n v="3"/>
    <n v="0"/>
    <n v="0"/>
    <n v="0"/>
    <n v="0"/>
    <n v="56"/>
    <n v="171"/>
    <n v="19"/>
    <n v="2"/>
    <x v="5"/>
    <x v="1"/>
    <x v="1"/>
    <x v="2"/>
    <s v="0–2"/>
  </r>
  <r>
    <x v="12"/>
    <x v="1"/>
    <n v="5"/>
    <n v="2"/>
    <n v="3"/>
    <n v="118"/>
    <n v="13"/>
    <n v="18"/>
    <n v="50"/>
    <n v="237656"/>
    <n v="99"/>
    <n v="0"/>
    <n v="1"/>
    <n v="1"/>
    <n v="1"/>
    <n v="0"/>
    <n v="0"/>
    <n v="98"/>
    <n v="178"/>
    <n v="31"/>
    <n v="2"/>
    <x v="5"/>
    <x v="2"/>
    <x v="0"/>
    <x v="0"/>
    <s v="0–2"/>
  </r>
  <r>
    <x v="12"/>
    <x v="23"/>
    <n v="5"/>
    <n v="3"/>
    <n v="3"/>
    <n v="118"/>
    <n v="13"/>
    <n v="18"/>
    <n v="50"/>
    <n v="237656"/>
    <n v="99"/>
    <n v="0"/>
    <n v="1"/>
    <n v="1"/>
    <n v="1"/>
    <n v="0"/>
    <n v="0"/>
    <n v="98"/>
    <n v="178"/>
    <n v="31"/>
    <n v="3"/>
    <x v="5"/>
    <x v="2"/>
    <x v="0"/>
    <x v="0"/>
    <s v="3–8"/>
  </r>
  <r>
    <x v="4"/>
    <x v="5"/>
    <n v="5"/>
    <n v="3"/>
    <n v="3"/>
    <n v="118"/>
    <n v="10"/>
    <n v="10"/>
    <n v="37"/>
    <n v="237656"/>
    <n v="99"/>
    <n v="0"/>
    <n v="1"/>
    <n v="0"/>
    <n v="0"/>
    <n v="0"/>
    <n v="0"/>
    <n v="83"/>
    <n v="172"/>
    <n v="28"/>
    <n v="1"/>
    <x v="5"/>
    <x v="1"/>
    <x v="2"/>
    <x v="1"/>
    <s v="0–2"/>
  </r>
  <r>
    <x v="12"/>
    <x v="0"/>
    <n v="5"/>
    <n v="3"/>
    <n v="3"/>
    <n v="118"/>
    <n v="13"/>
    <n v="18"/>
    <n v="50"/>
    <n v="237656"/>
    <n v="99"/>
    <n v="1"/>
    <n v="1"/>
    <n v="1"/>
    <n v="1"/>
    <n v="0"/>
    <n v="0"/>
    <n v="98"/>
    <n v="178"/>
    <n v="31"/>
    <n v="0"/>
    <x v="5"/>
    <x v="2"/>
    <x v="0"/>
    <x v="0"/>
    <s v="0–2"/>
  </r>
  <r>
    <x v="7"/>
    <x v="3"/>
    <n v="5"/>
    <n v="4"/>
    <n v="3"/>
    <n v="179"/>
    <n v="26"/>
    <n v="9"/>
    <n v="30"/>
    <n v="237656"/>
    <n v="99"/>
    <n v="0"/>
    <n v="3"/>
    <n v="0"/>
    <n v="0"/>
    <n v="0"/>
    <n v="0"/>
    <n v="56"/>
    <n v="171"/>
    <n v="19"/>
    <n v="2"/>
    <x v="5"/>
    <x v="1"/>
    <x v="1"/>
    <x v="2"/>
    <s v="0–2"/>
  </r>
  <r>
    <x v="28"/>
    <x v="0"/>
    <n v="5"/>
    <n v="4"/>
    <n v="3"/>
    <n v="378"/>
    <n v="49"/>
    <n v="11"/>
    <n v="36"/>
    <n v="237656"/>
    <n v="99"/>
    <n v="1"/>
    <n v="1"/>
    <n v="2"/>
    <n v="0"/>
    <n v="1"/>
    <n v="4"/>
    <n v="65"/>
    <n v="174"/>
    <n v="21"/>
    <n v="0"/>
    <x v="5"/>
    <x v="1"/>
    <x v="1"/>
    <x v="2"/>
    <s v="0–2"/>
  </r>
  <r>
    <x v="14"/>
    <x v="22"/>
    <n v="5"/>
    <n v="6"/>
    <n v="3"/>
    <n v="179"/>
    <n v="22"/>
    <n v="17"/>
    <n v="40"/>
    <n v="237656"/>
    <n v="99"/>
    <n v="0"/>
    <n v="2"/>
    <n v="2"/>
    <n v="0"/>
    <n v="1"/>
    <n v="0"/>
    <n v="63"/>
    <n v="170"/>
    <n v="22"/>
    <n v="1"/>
    <x v="5"/>
    <x v="0"/>
    <x v="1"/>
    <x v="2"/>
    <s v="0–2"/>
  </r>
  <r>
    <x v="5"/>
    <x v="13"/>
    <n v="5"/>
    <n v="2"/>
    <n v="3"/>
    <n v="155"/>
    <n v="12"/>
    <n v="14"/>
    <n v="34"/>
    <n v="237656"/>
    <n v="99"/>
    <n v="0"/>
    <n v="1"/>
    <n v="2"/>
    <n v="1"/>
    <n v="0"/>
    <n v="0"/>
    <n v="95"/>
    <n v="196"/>
    <n v="25"/>
    <n v="48"/>
    <x v="5"/>
    <x v="1"/>
    <x v="0"/>
    <x v="1"/>
    <s v="17+"/>
  </r>
  <r>
    <x v="25"/>
    <x v="13"/>
    <n v="5"/>
    <n v="2"/>
    <n v="3"/>
    <n v="235"/>
    <n v="16"/>
    <n v="8"/>
    <n v="32"/>
    <n v="237656"/>
    <n v="99"/>
    <n v="0"/>
    <n v="3"/>
    <n v="0"/>
    <n v="0"/>
    <n v="0"/>
    <n v="0"/>
    <n v="75"/>
    <n v="178"/>
    <n v="25"/>
    <n v="8"/>
    <x v="5"/>
    <x v="1"/>
    <x v="0"/>
    <x v="1"/>
    <s v="3–8"/>
  </r>
  <r>
    <x v="10"/>
    <x v="6"/>
    <n v="5"/>
    <n v="4"/>
    <n v="3"/>
    <n v="291"/>
    <n v="31"/>
    <n v="12"/>
    <n v="40"/>
    <n v="237656"/>
    <n v="99"/>
    <n v="0"/>
    <n v="1"/>
    <n v="1"/>
    <n v="1"/>
    <n v="0"/>
    <n v="1"/>
    <n v="73"/>
    <n v="171"/>
    <n v="25"/>
    <n v="8"/>
    <x v="5"/>
    <x v="0"/>
    <x v="1"/>
    <x v="1"/>
    <s v="3–8"/>
  </r>
  <r>
    <x v="14"/>
    <x v="13"/>
    <n v="5"/>
    <n v="4"/>
    <n v="3"/>
    <n v="179"/>
    <n v="22"/>
    <n v="17"/>
    <n v="40"/>
    <n v="237656"/>
    <n v="99"/>
    <n v="0"/>
    <n v="2"/>
    <n v="2"/>
    <n v="0"/>
    <n v="1"/>
    <n v="0"/>
    <n v="63"/>
    <n v="170"/>
    <n v="22"/>
    <n v="8"/>
    <x v="5"/>
    <x v="0"/>
    <x v="1"/>
    <x v="2"/>
    <s v="3–8"/>
  </r>
  <r>
    <x v="3"/>
    <x v="19"/>
    <n v="5"/>
    <n v="4"/>
    <n v="3"/>
    <n v="225"/>
    <n v="26"/>
    <n v="9"/>
    <n v="28"/>
    <n v="237656"/>
    <n v="99"/>
    <n v="0"/>
    <n v="1"/>
    <n v="1"/>
    <n v="0"/>
    <n v="0"/>
    <n v="2"/>
    <n v="69"/>
    <n v="169"/>
    <n v="24"/>
    <n v="3"/>
    <x v="5"/>
    <x v="3"/>
    <x v="1"/>
    <x v="2"/>
    <s v="3–8"/>
  </r>
  <r>
    <x v="20"/>
    <x v="13"/>
    <n v="5"/>
    <n v="5"/>
    <n v="3"/>
    <n v="330"/>
    <n v="16"/>
    <n v="4"/>
    <n v="28"/>
    <n v="237656"/>
    <n v="99"/>
    <n v="0"/>
    <n v="2"/>
    <n v="0"/>
    <n v="0"/>
    <n v="0"/>
    <n v="0"/>
    <n v="84"/>
    <n v="182"/>
    <n v="25"/>
    <n v="8"/>
    <x v="5"/>
    <x v="3"/>
    <x v="0"/>
    <x v="1"/>
    <s v="3–8"/>
  </r>
  <r>
    <x v="25"/>
    <x v="1"/>
    <n v="5"/>
    <n v="5"/>
    <n v="3"/>
    <n v="235"/>
    <n v="16"/>
    <n v="8"/>
    <n v="32"/>
    <n v="237656"/>
    <n v="99"/>
    <n v="0"/>
    <n v="3"/>
    <n v="0"/>
    <n v="0"/>
    <n v="0"/>
    <n v="0"/>
    <n v="75"/>
    <n v="178"/>
    <n v="25"/>
    <n v="2"/>
    <x v="5"/>
    <x v="1"/>
    <x v="0"/>
    <x v="1"/>
    <s v="0–2"/>
  </r>
  <r>
    <x v="10"/>
    <x v="5"/>
    <n v="5"/>
    <n v="5"/>
    <n v="3"/>
    <n v="291"/>
    <n v="31"/>
    <n v="12"/>
    <n v="40"/>
    <n v="237656"/>
    <n v="99"/>
    <n v="0"/>
    <n v="1"/>
    <n v="1"/>
    <n v="1"/>
    <n v="0"/>
    <n v="1"/>
    <n v="73"/>
    <n v="171"/>
    <n v="25"/>
    <n v="2"/>
    <x v="5"/>
    <x v="0"/>
    <x v="1"/>
    <x v="1"/>
    <s v="0–2"/>
  </r>
  <r>
    <x v="7"/>
    <x v="3"/>
    <n v="5"/>
    <n v="6"/>
    <n v="3"/>
    <n v="179"/>
    <n v="26"/>
    <n v="9"/>
    <n v="30"/>
    <n v="237656"/>
    <n v="99"/>
    <n v="0"/>
    <n v="3"/>
    <n v="0"/>
    <n v="0"/>
    <n v="0"/>
    <n v="0"/>
    <n v="56"/>
    <n v="171"/>
    <n v="19"/>
    <n v="2"/>
    <x v="5"/>
    <x v="1"/>
    <x v="1"/>
    <x v="2"/>
    <s v="0–2"/>
  </r>
  <r>
    <x v="29"/>
    <x v="16"/>
    <n v="5"/>
    <n v="2"/>
    <n v="3"/>
    <n v="361"/>
    <n v="52"/>
    <n v="3"/>
    <n v="28"/>
    <n v="237656"/>
    <n v="99"/>
    <n v="0"/>
    <n v="1"/>
    <n v="1"/>
    <n v="1"/>
    <n v="0"/>
    <n v="4"/>
    <n v="80"/>
    <n v="172"/>
    <n v="27"/>
    <n v="8"/>
    <x v="5"/>
    <x v="3"/>
    <x v="1"/>
    <x v="1"/>
    <s v="3–8"/>
  </r>
  <r>
    <x v="5"/>
    <x v="1"/>
    <n v="5"/>
    <n v="4"/>
    <n v="3"/>
    <n v="155"/>
    <n v="12"/>
    <n v="14"/>
    <n v="34"/>
    <n v="237656"/>
    <n v="99"/>
    <n v="0"/>
    <n v="1"/>
    <n v="2"/>
    <n v="1"/>
    <n v="0"/>
    <n v="0"/>
    <n v="95"/>
    <n v="196"/>
    <n v="25"/>
    <n v="2"/>
    <x v="5"/>
    <x v="1"/>
    <x v="0"/>
    <x v="1"/>
    <s v="0–2"/>
  </r>
  <r>
    <x v="14"/>
    <x v="12"/>
    <n v="5"/>
    <n v="6"/>
    <n v="3"/>
    <n v="179"/>
    <n v="22"/>
    <n v="17"/>
    <n v="40"/>
    <n v="237656"/>
    <n v="99"/>
    <n v="0"/>
    <n v="2"/>
    <n v="2"/>
    <n v="0"/>
    <n v="1"/>
    <n v="0"/>
    <n v="63"/>
    <n v="170"/>
    <n v="22"/>
    <n v="8"/>
    <x v="5"/>
    <x v="0"/>
    <x v="1"/>
    <x v="2"/>
    <s v="3–8"/>
  </r>
  <r>
    <x v="5"/>
    <x v="13"/>
    <n v="5"/>
    <n v="6"/>
    <n v="3"/>
    <n v="155"/>
    <n v="12"/>
    <n v="14"/>
    <n v="34"/>
    <n v="237656"/>
    <n v="99"/>
    <n v="0"/>
    <n v="1"/>
    <n v="2"/>
    <n v="1"/>
    <n v="0"/>
    <n v="0"/>
    <n v="95"/>
    <n v="196"/>
    <n v="25"/>
    <n v="8"/>
    <x v="5"/>
    <x v="1"/>
    <x v="0"/>
    <x v="1"/>
    <s v="3–8"/>
  </r>
  <r>
    <x v="3"/>
    <x v="15"/>
    <n v="5"/>
    <n v="2"/>
    <n v="3"/>
    <n v="225"/>
    <n v="26"/>
    <n v="9"/>
    <n v="28"/>
    <n v="237656"/>
    <n v="99"/>
    <n v="0"/>
    <n v="1"/>
    <n v="1"/>
    <n v="0"/>
    <n v="0"/>
    <n v="2"/>
    <n v="69"/>
    <n v="169"/>
    <n v="24"/>
    <n v="1"/>
    <x v="5"/>
    <x v="3"/>
    <x v="1"/>
    <x v="2"/>
    <s v="0–2"/>
  </r>
  <r>
    <x v="16"/>
    <x v="2"/>
    <n v="6"/>
    <n v="2"/>
    <n v="3"/>
    <n v="246"/>
    <n v="25"/>
    <n v="16"/>
    <m/>
    <n v="377550"/>
    <n v="94"/>
    <n v="0"/>
    <n v="1"/>
    <n v="0"/>
    <n v="1"/>
    <n v="0"/>
    <n v="0"/>
    <n v="67"/>
    <n v="170"/>
    <m/>
    <n v="8"/>
    <x v="6"/>
    <x v="3"/>
    <x v="1"/>
    <x v="3"/>
    <s v="3–8"/>
  </r>
  <r>
    <x v="29"/>
    <x v="6"/>
    <n v="6"/>
    <n v="2"/>
    <n v="3"/>
    <n v="361"/>
    <n v="52"/>
    <n v="3"/>
    <n v="28"/>
    <n v="377550"/>
    <n v="94"/>
    <n v="0"/>
    <n v="1"/>
    <n v="1"/>
    <n v="1"/>
    <n v="0"/>
    <n v="4"/>
    <n v="80"/>
    <n v="172"/>
    <n v="27"/>
    <n v="8"/>
    <x v="6"/>
    <x v="3"/>
    <x v="1"/>
    <x v="1"/>
    <s v="3–8"/>
  </r>
  <r>
    <x v="16"/>
    <x v="13"/>
    <n v="6"/>
    <n v="3"/>
    <n v="3"/>
    <n v="246"/>
    <n v="25"/>
    <n v="16"/>
    <n v="41"/>
    <n v="377550"/>
    <n v="94"/>
    <n v="0"/>
    <n v="1"/>
    <n v="0"/>
    <n v="1"/>
    <n v="0"/>
    <n v="0"/>
    <n v="67"/>
    <n v="170"/>
    <n v="23"/>
    <n v="24"/>
    <x v="6"/>
    <x v="0"/>
    <x v="1"/>
    <x v="2"/>
    <s v="17+"/>
  </r>
  <r>
    <x v="10"/>
    <x v="1"/>
    <n v="6"/>
    <n v="5"/>
    <n v="3"/>
    <n v="291"/>
    <n v="31"/>
    <n v="12"/>
    <n v="40"/>
    <n v="377550"/>
    <n v="94"/>
    <n v="0"/>
    <n v="1"/>
    <n v="1"/>
    <n v="1"/>
    <n v="0"/>
    <n v="1"/>
    <n v="73"/>
    <n v="171"/>
    <n v="25"/>
    <n v="4"/>
    <x v="6"/>
    <x v="0"/>
    <x v="1"/>
    <x v="1"/>
    <s v="3–8"/>
  </r>
  <r>
    <x v="16"/>
    <x v="13"/>
    <n v="6"/>
    <n v="6"/>
    <n v="3"/>
    <n v="246"/>
    <n v="25"/>
    <n v="16"/>
    <m/>
    <n v="377550"/>
    <n v="94"/>
    <n v="0"/>
    <n v="1"/>
    <n v="0"/>
    <n v="1"/>
    <n v="0"/>
    <n v="0"/>
    <n v="67"/>
    <n v="170"/>
    <n v="23"/>
    <m/>
    <x v="6"/>
    <x v="3"/>
    <x v="1"/>
    <x v="2"/>
    <s v="0–2"/>
  </r>
  <r>
    <x v="13"/>
    <x v="15"/>
    <n v="6"/>
    <n v="2"/>
    <n v="3"/>
    <n v="179"/>
    <n v="51"/>
    <n v="18"/>
    <n v="38"/>
    <n v="377550"/>
    <n v="94"/>
    <n v="0"/>
    <n v="1"/>
    <n v="0"/>
    <n v="1"/>
    <n v="0"/>
    <n v="0"/>
    <n v="89"/>
    <n v="170"/>
    <n v="31"/>
    <n v="8"/>
    <x v="6"/>
    <x v="1"/>
    <x v="1"/>
    <x v="0"/>
    <s v="3–8"/>
  </r>
  <r>
    <x v="5"/>
    <x v="1"/>
    <n v="6"/>
    <n v="2"/>
    <n v="3"/>
    <n v="155"/>
    <n v="12"/>
    <n v="14"/>
    <n v="34"/>
    <n v="377550"/>
    <n v="94"/>
    <n v="0"/>
    <n v="1"/>
    <n v="2"/>
    <n v="1"/>
    <n v="0"/>
    <n v="0"/>
    <n v="95"/>
    <n v="196"/>
    <n v="25"/>
    <n v="4"/>
    <x v="6"/>
    <x v="1"/>
    <x v="0"/>
    <x v="1"/>
    <s v="3–8"/>
  </r>
  <r>
    <x v="16"/>
    <x v="13"/>
    <n v="6"/>
    <n v="2"/>
    <n v="3"/>
    <n v="246"/>
    <n v="25"/>
    <n v="16"/>
    <n v="41"/>
    <n v="377550"/>
    <n v="94"/>
    <n v="0"/>
    <n v="1"/>
    <n v="0"/>
    <n v="1"/>
    <n v="0"/>
    <n v="0"/>
    <n v="67"/>
    <n v="170"/>
    <n v="23"/>
    <n v="8"/>
    <x v="6"/>
    <x v="0"/>
    <x v="1"/>
    <x v="2"/>
    <s v="3–8"/>
  </r>
  <r>
    <x v="12"/>
    <x v="7"/>
    <n v="6"/>
    <n v="4"/>
    <n v="3"/>
    <n v="118"/>
    <n v="13"/>
    <n v="18"/>
    <n v="50"/>
    <n v="377550"/>
    <n v="94"/>
    <n v="0"/>
    <n v="1"/>
    <n v="1"/>
    <n v="1"/>
    <n v="0"/>
    <n v="0"/>
    <n v="98"/>
    <n v="178"/>
    <n v="31"/>
    <n v="8"/>
    <x v="6"/>
    <x v="2"/>
    <x v="0"/>
    <x v="0"/>
    <s v="3–8"/>
  </r>
  <r>
    <x v="9"/>
    <x v="7"/>
    <n v="6"/>
    <n v="6"/>
    <n v="3"/>
    <n v="235"/>
    <n v="11"/>
    <n v="14"/>
    <n v="37"/>
    <n v="377550"/>
    <n v="94"/>
    <n v="0"/>
    <n v="3"/>
    <n v="1"/>
    <n v="0"/>
    <n v="0"/>
    <n v="1"/>
    <n v="88"/>
    <n v="172"/>
    <n v="29"/>
    <n v="16"/>
    <x v="6"/>
    <x v="1"/>
    <x v="0"/>
    <x v="1"/>
    <s v="9–16"/>
  </r>
  <r>
    <x v="12"/>
    <x v="1"/>
    <n v="6"/>
    <n v="3"/>
    <n v="3"/>
    <n v="118"/>
    <n v="13"/>
    <n v="18"/>
    <n v="50"/>
    <n v="377550"/>
    <n v="94"/>
    <n v="0"/>
    <n v="1"/>
    <n v="1"/>
    <n v="1"/>
    <n v="0"/>
    <n v="0"/>
    <n v="98"/>
    <n v="178"/>
    <n v="31"/>
    <n v="1"/>
    <x v="6"/>
    <x v="2"/>
    <x v="0"/>
    <x v="0"/>
    <s v="0–2"/>
  </r>
  <r>
    <x v="12"/>
    <x v="7"/>
    <n v="6"/>
    <n v="4"/>
    <n v="3"/>
    <n v="118"/>
    <n v="13"/>
    <n v="18"/>
    <n v="50"/>
    <n v="377550"/>
    <n v="94"/>
    <n v="0"/>
    <n v="1"/>
    <n v="1"/>
    <n v="1"/>
    <n v="0"/>
    <n v="0"/>
    <n v="98"/>
    <n v="178"/>
    <n v="31"/>
    <n v="80"/>
    <x v="6"/>
    <x v="2"/>
    <x v="0"/>
    <x v="0"/>
    <s v="17+"/>
  </r>
  <r>
    <x v="28"/>
    <x v="6"/>
    <n v="6"/>
    <n v="5"/>
    <n v="3"/>
    <n v="378"/>
    <n v="49"/>
    <n v="11"/>
    <n v="36"/>
    <n v="377550"/>
    <n v="94"/>
    <n v="0"/>
    <n v="1"/>
    <n v="2"/>
    <n v="0"/>
    <n v="1"/>
    <n v="4"/>
    <n v="65"/>
    <n v="174"/>
    <n v="21"/>
    <n v="8"/>
    <x v="6"/>
    <x v="1"/>
    <x v="1"/>
    <x v="2"/>
    <s v="3–8"/>
  </r>
  <r>
    <x v="13"/>
    <x v="15"/>
    <n v="6"/>
    <n v="6"/>
    <n v="3"/>
    <n v="179"/>
    <n v="51"/>
    <n v="18"/>
    <n v="38"/>
    <n v="377550"/>
    <n v="94"/>
    <n v="0"/>
    <n v="1"/>
    <n v="0"/>
    <n v="1"/>
    <n v="0"/>
    <n v="0"/>
    <n v="89"/>
    <n v="170"/>
    <n v="31"/>
    <n v="2"/>
    <x v="6"/>
    <x v="1"/>
    <x v="1"/>
    <x v="0"/>
    <s v="0–2"/>
  </r>
  <r>
    <x v="15"/>
    <x v="5"/>
    <n v="6"/>
    <n v="2"/>
    <n v="1"/>
    <n v="289"/>
    <n v="48"/>
    <n v="29"/>
    <n v="49"/>
    <n v="377550"/>
    <n v="94"/>
    <n v="0"/>
    <n v="1"/>
    <n v="0"/>
    <n v="0"/>
    <n v="0"/>
    <n v="2"/>
    <n v="108"/>
    <n v="172"/>
    <n v="36"/>
    <n v="2"/>
    <x v="6"/>
    <x v="0"/>
    <x v="1"/>
    <x v="0"/>
    <s v="0–2"/>
  </r>
  <r>
    <x v="3"/>
    <x v="5"/>
    <n v="6"/>
    <n v="5"/>
    <n v="1"/>
    <n v="225"/>
    <n v="26"/>
    <n v="9"/>
    <n v="28"/>
    <n v="377550"/>
    <n v="94"/>
    <n v="0"/>
    <n v="1"/>
    <n v="1"/>
    <n v="0"/>
    <n v="0"/>
    <n v="2"/>
    <n v="69"/>
    <n v="169"/>
    <n v="24"/>
    <n v="2"/>
    <x v="6"/>
    <x v="3"/>
    <x v="1"/>
    <x v="2"/>
    <s v="0–2"/>
  </r>
  <r>
    <x v="4"/>
    <x v="1"/>
    <n v="6"/>
    <n v="2"/>
    <n v="3"/>
    <n v="118"/>
    <n v="10"/>
    <n v="10"/>
    <n v="37"/>
    <n v="253957"/>
    <n v="95"/>
    <n v="0"/>
    <n v="1"/>
    <n v="0"/>
    <n v="0"/>
    <n v="0"/>
    <n v="0"/>
    <n v="83"/>
    <n v="172"/>
    <n v="28"/>
    <n v="3"/>
    <x v="6"/>
    <x v="1"/>
    <x v="2"/>
    <x v="1"/>
    <s v="3–8"/>
  </r>
  <r>
    <x v="13"/>
    <x v="5"/>
    <n v="6"/>
    <n v="2"/>
    <n v="3"/>
    <n v="179"/>
    <n v="51"/>
    <n v="18"/>
    <n v="38"/>
    <n v="253957"/>
    <n v="95"/>
    <n v="0"/>
    <n v="1"/>
    <n v="0"/>
    <n v="1"/>
    <n v="0"/>
    <n v="0"/>
    <n v="89"/>
    <n v="170"/>
    <n v="31"/>
    <n v="3"/>
    <x v="6"/>
    <x v="1"/>
    <x v="1"/>
    <x v="0"/>
    <s v="3–8"/>
  </r>
  <r>
    <x v="4"/>
    <x v="5"/>
    <n v="6"/>
    <n v="3"/>
    <n v="3"/>
    <n v="118"/>
    <n v="10"/>
    <n v="10"/>
    <n v="37"/>
    <n v="253957"/>
    <n v="95"/>
    <n v="0"/>
    <n v="1"/>
    <n v="0"/>
    <n v="0"/>
    <n v="0"/>
    <n v="0"/>
    <n v="83"/>
    <n v="172"/>
    <n v="28"/>
    <n v="2"/>
    <x v="6"/>
    <x v="1"/>
    <x v="2"/>
    <x v="1"/>
    <s v="0–2"/>
  </r>
  <r>
    <x v="3"/>
    <x v="1"/>
    <n v="6"/>
    <n v="5"/>
    <n v="3"/>
    <n v="225"/>
    <n v="26"/>
    <n v="9"/>
    <n v="28"/>
    <n v="253957"/>
    <n v="95"/>
    <n v="0"/>
    <n v="1"/>
    <n v="1"/>
    <n v="0"/>
    <n v="0"/>
    <n v="2"/>
    <n v="69"/>
    <n v="169"/>
    <n v="24"/>
    <n v="4"/>
    <x v="6"/>
    <x v="3"/>
    <x v="1"/>
    <x v="2"/>
    <s v="3–8"/>
  </r>
  <r>
    <x v="18"/>
    <x v="5"/>
    <n v="6"/>
    <n v="6"/>
    <n v="3"/>
    <n v="260"/>
    <n v="50"/>
    <n v="11"/>
    <n v="36"/>
    <n v="253957"/>
    <n v="95"/>
    <n v="0"/>
    <n v="1"/>
    <n v="4"/>
    <n v="1"/>
    <n v="0"/>
    <n v="0"/>
    <n v="65"/>
    <n v="168"/>
    <n v="23"/>
    <n v="4"/>
    <x v="6"/>
    <x v="1"/>
    <x v="1"/>
    <x v="2"/>
    <s v="3–8"/>
  </r>
  <r>
    <x v="13"/>
    <x v="0"/>
    <n v="6"/>
    <n v="6"/>
    <n v="3"/>
    <n v="179"/>
    <n v="51"/>
    <n v="18"/>
    <n v="38"/>
    <n v="253957"/>
    <n v="95"/>
    <n v="1"/>
    <n v="1"/>
    <n v="0"/>
    <n v="1"/>
    <n v="0"/>
    <n v="0"/>
    <n v="89"/>
    <n v="170"/>
    <n v="31"/>
    <n v="0"/>
    <x v="6"/>
    <x v="1"/>
    <x v="1"/>
    <x v="0"/>
    <s v="0–2"/>
  </r>
  <r>
    <x v="10"/>
    <x v="7"/>
    <n v="6"/>
    <n v="2"/>
    <n v="3"/>
    <n v="291"/>
    <n v="31"/>
    <n v="12"/>
    <n v="40"/>
    <n v="253957"/>
    <n v="95"/>
    <n v="0"/>
    <n v="1"/>
    <n v="1"/>
    <n v="1"/>
    <n v="0"/>
    <n v="1"/>
    <n v="73"/>
    <n v="171"/>
    <n v="25"/>
    <n v="40"/>
    <x v="6"/>
    <x v="0"/>
    <x v="1"/>
    <x v="1"/>
    <s v="17+"/>
  </r>
  <r>
    <x v="13"/>
    <x v="5"/>
    <n v="6"/>
    <n v="2"/>
    <n v="3"/>
    <n v="179"/>
    <n v="51"/>
    <n v="18"/>
    <n v="38"/>
    <n v="253957"/>
    <n v="95"/>
    <n v="0"/>
    <n v="1"/>
    <n v="0"/>
    <n v="1"/>
    <n v="0"/>
    <n v="0"/>
    <n v="89"/>
    <n v="170"/>
    <n v="31"/>
    <n v="24"/>
    <x v="6"/>
    <x v="1"/>
    <x v="1"/>
    <x v="0"/>
    <s v="17+"/>
  </r>
  <r>
    <x v="16"/>
    <x v="5"/>
    <n v="6"/>
    <n v="3"/>
    <n v="3"/>
    <n v="246"/>
    <n v="25"/>
    <n v="16"/>
    <n v="41"/>
    <n v="253957"/>
    <n v="95"/>
    <n v="0"/>
    <n v="1"/>
    <n v="0"/>
    <n v="1"/>
    <n v="0"/>
    <n v="0"/>
    <n v="67"/>
    <n v="170"/>
    <n v="23"/>
    <n v="3"/>
    <x v="6"/>
    <x v="0"/>
    <x v="1"/>
    <x v="2"/>
    <s v="3–8"/>
  </r>
  <r>
    <x v="13"/>
    <x v="5"/>
    <n v="6"/>
    <n v="2"/>
    <n v="3"/>
    <n v="179"/>
    <n v="51"/>
    <n v="18"/>
    <n v="38"/>
    <n v="253957"/>
    <n v="95"/>
    <n v="0"/>
    <n v="1"/>
    <n v="0"/>
    <n v="1"/>
    <n v="0"/>
    <n v="0"/>
    <n v="89"/>
    <n v="170"/>
    <n v="31"/>
    <n v="4"/>
    <x v="6"/>
    <x v="1"/>
    <x v="1"/>
    <x v="0"/>
    <s v="3–8"/>
  </r>
  <r>
    <x v="11"/>
    <x v="8"/>
    <n v="6"/>
    <n v="3"/>
    <n v="3"/>
    <n v="235"/>
    <n v="20"/>
    <n v="13"/>
    <n v="43"/>
    <n v="253957"/>
    <n v="95"/>
    <n v="0"/>
    <n v="1"/>
    <n v="1"/>
    <n v="1"/>
    <n v="0"/>
    <n v="0"/>
    <n v="106"/>
    <n v="167"/>
    <n v="38"/>
    <n v="8"/>
    <x v="6"/>
    <x v="0"/>
    <x v="0"/>
    <x v="0"/>
    <s v="3–8"/>
  </r>
  <r>
    <x v="13"/>
    <x v="5"/>
    <n v="6"/>
    <n v="2"/>
    <n v="1"/>
    <n v="179"/>
    <n v="51"/>
    <n v="18"/>
    <n v="38"/>
    <n v="253957"/>
    <n v="95"/>
    <n v="0"/>
    <n v="1"/>
    <n v="0"/>
    <n v="1"/>
    <n v="0"/>
    <n v="0"/>
    <n v="89"/>
    <n v="170"/>
    <n v="31"/>
    <n v="2"/>
    <x v="6"/>
    <x v="1"/>
    <x v="1"/>
    <x v="0"/>
    <s v="0–2"/>
  </r>
  <r>
    <x v="3"/>
    <x v="1"/>
    <n v="6"/>
    <n v="4"/>
    <n v="1"/>
    <n v="225"/>
    <n v="26"/>
    <n v="9"/>
    <n v="28"/>
    <n v="253957"/>
    <n v="95"/>
    <n v="0"/>
    <n v="1"/>
    <n v="1"/>
    <n v="0"/>
    <n v="0"/>
    <n v="2"/>
    <n v="69"/>
    <n v="169"/>
    <n v="24"/>
    <n v="2"/>
    <x v="6"/>
    <x v="3"/>
    <x v="1"/>
    <x v="2"/>
    <s v="0–2"/>
  </r>
  <r>
    <x v="12"/>
    <x v="1"/>
    <n v="6"/>
    <n v="4"/>
    <n v="1"/>
    <n v="118"/>
    <n v="13"/>
    <n v="18"/>
    <n v="50"/>
    <n v="253957"/>
    <n v="95"/>
    <n v="0"/>
    <n v="1"/>
    <n v="1"/>
    <n v="1"/>
    <n v="0"/>
    <n v="0"/>
    <n v="98"/>
    <n v="178"/>
    <n v="31"/>
    <n v="2"/>
    <x v="6"/>
    <x v="2"/>
    <x v="0"/>
    <x v="0"/>
    <s v="0–2"/>
  </r>
  <r>
    <x v="13"/>
    <x v="23"/>
    <n v="6"/>
    <n v="4"/>
    <n v="1"/>
    <n v="179"/>
    <n v="51"/>
    <n v="18"/>
    <n v="38"/>
    <n v="253957"/>
    <n v="95"/>
    <n v="0"/>
    <n v="1"/>
    <n v="0"/>
    <n v="1"/>
    <n v="0"/>
    <n v="0"/>
    <n v="89"/>
    <n v="170"/>
    <n v="31"/>
    <n v="8"/>
    <x v="6"/>
    <x v="1"/>
    <x v="1"/>
    <x v="0"/>
    <s v="3–8"/>
  </r>
  <r>
    <x v="7"/>
    <x v="21"/>
    <n v="6"/>
    <n v="4"/>
    <n v="1"/>
    <n v="179"/>
    <n v="26"/>
    <n v="9"/>
    <n v="30"/>
    <n v="253957"/>
    <n v="95"/>
    <n v="0"/>
    <n v="3"/>
    <n v="0"/>
    <n v="0"/>
    <n v="0"/>
    <n v="0"/>
    <n v="56"/>
    <n v="171"/>
    <n v="19"/>
    <n v="2"/>
    <x v="6"/>
    <x v="1"/>
    <x v="1"/>
    <x v="2"/>
    <s v="0–2"/>
  </r>
  <r>
    <x v="16"/>
    <x v="5"/>
    <n v="6"/>
    <n v="6"/>
    <n v="1"/>
    <n v="246"/>
    <n v="25"/>
    <n v="16"/>
    <n v="41"/>
    <n v="253957"/>
    <n v="95"/>
    <n v="0"/>
    <n v="1"/>
    <n v="0"/>
    <n v="1"/>
    <n v="0"/>
    <n v="0"/>
    <n v="67"/>
    <n v="170"/>
    <n v="23"/>
    <n v="2"/>
    <x v="6"/>
    <x v="0"/>
    <x v="1"/>
    <x v="2"/>
    <s v="0–2"/>
  </r>
  <r>
    <x v="20"/>
    <x v="15"/>
    <n v="6"/>
    <n v="3"/>
    <n v="1"/>
    <n v="330"/>
    <n v="16"/>
    <n v="4"/>
    <n v="28"/>
    <n v="253957"/>
    <n v="95"/>
    <n v="0"/>
    <n v="2"/>
    <n v="0"/>
    <n v="0"/>
    <n v="0"/>
    <n v="0"/>
    <n v="84"/>
    <n v="182"/>
    <n v="25"/>
    <n v="1"/>
    <x v="6"/>
    <x v="3"/>
    <x v="0"/>
    <x v="1"/>
    <s v="0–2"/>
  </r>
  <r>
    <x v="9"/>
    <x v="7"/>
    <n v="6"/>
    <n v="3"/>
    <n v="1"/>
    <n v="235"/>
    <n v="11"/>
    <n v="14"/>
    <n v="37"/>
    <n v="253957"/>
    <n v="95"/>
    <n v="0"/>
    <n v="3"/>
    <n v="1"/>
    <n v="0"/>
    <n v="0"/>
    <n v="1"/>
    <n v="88"/>
    <n v="172"/>
    <n v="29"/>
    <n v="8"/>
    <x v="6"/>
    <x v="1"/>
    <x v="0"/>
    <x v="1"/>
    <s v="3–8"/>
  </r>
  <r>
    <x v="32"/>
    <x v="16"/>
    <n v="6"/>
    <n v="4"/>
    <n v="3"/>
    <n v="118"/>
    <n v="15"/>
    <n v="24"/>
    <n v="46"/>
    <n v="275089"/>
    <n v="96"/>
    <n v="0"/>
    <n v="1"/>
    <n v="2"/>
    <n v="1"/>
    <n v="1"/>
    <n v="0"/>
    <n v="75"/>
    <n v="175"/>
    <n v="25"/>
    <n v="8"/>
    <x v="6"/>
    <x v="0"/>
    <x v="0"/>
    <x v="1"/>
    <s v="3–8"/>
  </r>
  <r>
    <x v="7"/>
    <x v="3"/>
    <n v="6"/>
    <n v="4"/>
    <n v="3"/>
    <n v="179"/>
    <n v="26"/>
    <n v="9"/>
    <n v="30"/>
    <n v="275089"/>
    <n v="96"/>
    <n v="0"/>
    <n v="3"/>
    <n v="0"/>
    <n v="0"/>
    <n v="0"/>
    <n v="0"/>
    <n v="56"/>
    <n v="171"/>
    <n v="19"/>
    <n v="3"/>
    <x v="6"/>
    <x v="1"/>
    <x v="1"/>
    <x v="2"/>
    <s v="3–8"/>
  </r>
  <r>
    <x v="4"/>
    <x v="8"/>
    <n v="6"/>
    <n v="6"/>
    <n v="3"/>
    <n v="118"/>
    <n v="10"/>
    <n v="10"/>
    <n v="37"/>
    <n v="275089"/>
    <n v="96"/>
    <n v="0"/>
    <n v="1"/>
    <n v="0"/>
    <n v="0"/>
    <n v="0"/>
    <n v="0"/>
    <n v="83"/>
    <n v="172"/>
    <n v="28"/>
    <n v="8"/>
    <x v="6"/>
    <x v="1"/>
    <x v="2"/>
    <x v="1"/>
    <s v="3–8"/>
  </r>
  <r>
    <x v="4"/>
    <x v="13"/>
    <n v="6"/>
    <n v="4"/>
    <n v="3"/>
    <n v="118"/>
    <n v="10"/>
    <n v="10"/>
    <n v="37"/>
    <n v="275089"/>
    <n v="96"/>
    <n v="0"/>
    <n v="1"/>
    <n v="0"/>
    <n v="0"/>
    <n v="0"/>
    <n v="0"/>
    <n v="83"/>
    <n v="172"/>
    <n v="28"/>
    <n v="8"/>
    <x v="6"/>
    <x v="1"/>
    <x v="2"/>
    <x v="1"/>
    <s v="3–8"/>
  </r>
  <r>
    <x v="28"/>
    <x v="6"/>
    <n v="6"/>
    <n v="5"/>
    <n v="3"/>
    <n v="378"/>
    <n v="49"/>
    <n v="11"/>
    <n v="36"/>
    <n v="275089"/>
    <n v="96"/>
    <n v="0"/>
    <n v="1"/>
    <n v="2"/>
    <n v="0"/>
    <n v="1"/>
    <n v="4"/>
    <n v="65"/>
    <n v="174"/>
    <n v="21"/>
    <n v="8"/>
    <x v="6"/>
    <x v="1"/>
    <x v="1"/>
    <x v="2"/>
    <s v="3–8"/>
  </r>
  <r>
    <x v="12"/>
    <x v="2"/>
    <n v="6"/>
    <n v="5"/>
    <n v="3"/>
    <n v="118"/>
    <n v="13"/>
    <n v="18"/>
    <n v="50"/>
    <n v="275089"/>
    <n v="96"/>
    <n v="0"/>
    <n v="1"/>
    <n v="1"/>
    <n v="1"/>
    <n v="0"/>
    <n v="0"/>
    <n v="98"/>
    <n v="178"/>
    <n v="31"/>
    <n v="24"/>
    <x v="6"/>
    <x v="2"/>
    <x v="0"/>
    <x v="0"/>
    <s v="17+"/>
  </r>
  <r>
    <x v="24"/>
    <x v="2"/>
    <n v="6"/>
    <n v="6"/>
    <n v="3"/>
    <n v="233"/>
    <n v="51"/>
    <n v="1"/>
    <n v="31"/>
    <n v="275089"/>
    <n v="96"/>
    <n v="0"/>
    <n v="2"/>
    <n v="1"/>
    <n v="1"/>
    <n v="0"/>
    <n v="8"/>
    <n v="68"/>
    <n v="178"/>
    <n v="21"/>
    <n v="8"/>
    <x v="6"/>
    <x v="1"/>
    <x v="1"/>
    <x v="2"/>
    <s v="3–8"/>
  </r>
  <r>
    <x v="7"/>
    <x v="3"/>
    <n v="6"/>
    <n v="6"/>
    <n v="3"/>
    <n v="179"/>
    <n v="26"/>
    <n v="9"/>
    <n v="30"/>
    <n v="275089"/>
    <n v="96"/>
    <n v="0"/>
    <n v="3"/>
    <n v="0"/>
    <n v="0"/>
    <n v="0"/>
    <n v="0"/>
    <n v="56"/>
    <n v="171"/>
    <n v="19"/>
    <n v="2"/>
    <x v="6"/>
    <x v="1"/>
    <x v="1"/>
    <x v="2"/>
    <s v="0–2"/>
  </r>
  <r>
    <x v="33"/>
    <x v="0"/>
    <n v="6"/>
    <n v="2"/>
    <n v="3"/>
    <n v="235"/>
    <n v="29"/>
    <n v="12"/>
    <n v="48"/>
    <n v="275089"/>
    <n v="96"/>
    <n v="1"/>
    <n v="1"/>
    <n v="1"/>
    <n v="0"/>
    <n v="1"/>
    <n v="5"/>
    <n v="88"/>
    <n v="163"/>
    <n v="33"/>
    <n v="0"/>
    <x v="6"/>
    <x v="0"/>
    <x v="1"/>
    <x v="0"/>
    <s v="0–2"/>
  </r>
  <r>
    <x v="35"/>
    <x v="0"/>
    <n v="6"/>
    <n v="2"/>
    <n v="3"/>
    <n v="268"/>
    <n v="11"/>
    <n v="8"/>
    <n v="33"/>
    <n v="275089"/>
    <n v="96"/>
    <n v="1"/>
    <n v="2"/>
    <n v="0"/>
    <n v="0"/>
    <n v="0"/>
    <n v="0"/>
    <n v="79"/>
    <n v="178"/>
    <n v="25"/>
    <n v="0"/>
    <x v="6"/>
    <x v="1"/>
    <x v="0"/>
    <x v="1"/>
    <s v="0–2"/>
  </r>
  <r>
    <x v="12"/>
    <x v="2"/>
    <n v="6"/>
    <n v="5"/>
    <n v="3"/>
    <n v="118"/>
    <n v="13"/>
    <n v="18"/>
    <n v="50"/>
    <n v="275089"/>
    <n v="96"/>
    <n v="0"/>
    <n v="1"/>
    <n v="1"/>
    <n v="1"/>
    <n v="0"/>
    <n v="0"/>
    <n v="98"/>
    <n v="178"/>
    <n v="31"/>
    <n v="3"/>
    <x v="6"/>
    <x v="2"/>
    <x v="0"/>
    <x v="0"/>
    <s v="3–8"/>
  </r>
  <r>
    <x v="7"/>
    <x v="7"/>
    <n v="6"/>
    <n v="5"/>
    <n v="3"/>
    <n v="179"/>
    <n v="26"/>
    <n v="9"/>
    <n v="30"/>
    <n v="275089"/>
    <n v="96"/>
    <n v="0"/>
    <n v="3"/>
    <n v="0"/>
    <n v="0"/>
    <n v="0"/>
    <n v="0"/>
    <n v="56"/>
    <n v="171"/>
    <n v="19"/>
    <n v="2"/>
    <x v="6"/>
    <x v="1"/>
    <x v="1"/>
    <x v="2"/>
    <s v="0–2"/>
  </r>
  <r>
    <x v="10"/>
    <x v="5"/>
    <n v="6"/>
    <n v="5"/>
    <n v="3"/>
    <n v="291"/>
    <n v="31"/>
    <n v="12"/>
    <n v="40"/>
    <n v="275089"/>
    <n v="96"/>
    <n v="0"/>
    <n v="1"/>
    <n v="1"/>
    <n v="1"/>
    <n v="0"/>
    <n v="1"/>
    <n v="73"/>
    <n v="171"/>
    <n v="25"/>
    <n v="2"/>
    <x v="6"/>
    <x v="0"/>
    <x v="1"/>
    <x v="1"/>
    <s v="0–2"/>
  </r>
  <r>
    <x v="7"/>
    <x v="7"/>
    <n v="6"/>
    <n v="2"/>
    <n v="1"/>
    <n v="179"/>
    <n v="26"/>
    <n v="9"/>
    <n v="30"/>
    <n v="275089"/>
    <n v="96"/>
    <n v="0"/>
    <n v="3"/>
    <n v="0"/>
    <n v="0"/>
    <n v="0"/>
    <n v="0"/>
    <n v="56"/>
    <n v="171"/>
    <n v="19"/>
    <n v="3"/>
    <x v="6"/>
    <x v="1"/>
    <x v="1"/>
    <x v="2"/>
    <s v="3–8"/>
  </r>
  <r>
    <x v="4"/>
    <x v="12"/>
    <n v="6"/>
    <n v="2"/>
    <n v="1"/>
    <n v="118"/>
    <n v="10"/>
    <n v="10"/>
    <n v="37"/>
    <n v="275089"/>
    <n v="96"/>
    <n v="0"/>
    <n v="1"/>
    <n v="0"/>
    <n v="0"/>
    <n v="0"/>
    <n v="0"/>
    <n v="83"/>
    <n v="172"/>
    <n v="28"/>
    <n v="3"/>
    <x v="6"/>
    <x v="1"/>
    <x v="2"/>
    <x v="1"/>
    <s v="3–8"/>
  </r>
  <r>
    <x v="24"/>
    <x v="6"/>
    <n v="6"/>
    <n v="5"/>
    <n v="1"/>
    <n v="233"/>
    <n v="51"/>
    <n v="1"/>
    <n v="31"/>
    <n v="275089"/>
    <n v="96"/>
    <n v="0"/>
    <n v="2"/>
    <n v="1"/>
    <n v="1"/>
    <n v="0"/>
    <n v="8"/>
    <n v="68"/>
    <n v="178"/>
    <n v="21"/>
    <n v="8"/>
    <x v="6"/>
    <x v="1"/>
    <x v="1"/>
    <x v="2"/>
    <s v="3–8"/>
  </r>
  <r>
    <x v="4"/>
    <x v="20"/>
    <n v="6"/>
    <n v="6"/>
    <n v="1"/>
    <n v="118"/>
    <n v="10"/>
    <n v="10"/>
    <n v="37"/>
    <n v="275089"/>
    <n v="96"/>
    <n v="0"/>
    <n v="1"/>
    <n v="0"/>
    <n v="0"/>
    <n v="0"/>
    <n v="0"/>
    <n v="83"/>
    <n v="172"/>
    <n v="28"/>
    <n v="2"/>
    <x v="6"/>
    <x v="1"/>
    <x v="2"/>
    <x v="1"/>
    <s v="0–2"/>
  </r>
  <r>
    <x v="4"/>
    <x v="13"/>
    <n v="6"/>
    <n v="4"/>
    <n v="1"/>
    <n v="118"/>
    <n v="10"/>
    <n v="10"/>
    <n v="37"/>
    <n v="275089"/>
    <n v="96"/>
    <n v="0"/>
    <n v="1"/>
    <n v="0"/>
    <n v="0"/>
    <n v="0"/>
    <n v="0"/>
    <n v="83"/>
    <n v="172"/>
    <n v="28"/>
    <n v="3"/>
    <x v="6"/>
    <x v="1"/>
    <x v="2"/>
    <x v="1"/>
    <s v="3–8"/>
  </r>
  <r>
    <x v="24"/>
    <x v="6"/>
    <n v="6"/>
    <n v="4"/>
    <n v="1"/>
    <n v="233"/>
    <n v="51"/>
    <n v="1"/>
    <n v="31"/>
    <n v="275089"/>
    <n v="96"/>
    <n v="0"/>
    <n v="2"/>
    <n v="1"/>
    <n v="1"/>
    <n v="0"/>
    <n v="8"/>
    <n v="68"/>
    <n v="178"/>
    <n v="21"/>
    <n v="3"/>
    <x v="6"/>
    <x v="1"/>
    <x v="1"/>
    <x v="2"/>
    <s v="3–8"/>
  </r>
  <r>
    <x v="8"/>
    <x v="8"/>
    <n v="7"/>
    <n v="3"/>
    <n v="1"/>
    <n v="289"/>
    <n v="36"/>
    <n v="13"/>
    <n v="33"/>
    <n v="239554"/>
    <n v="97"/>
    <n v="0"/>
    <n v="1"/>
    <n v="2"/>
    <n v="1"/>
    <n v="0"/>
    <n v="1"/>
    <n v="90"/>
    <n v="172"/>
    <n v="30"/>
    <n v="4"/>
    <x v="7"/>
    <x v="1"/>
    <x v="1"/>
    <x v="0"/>
    <s v="3–8"/>
  </r>
  <r>
    <x v="12"/>
    <x v="0"/>
    <n v="7"/>
    <n v="3"/>
    <n v="1"/>
    <n v="118"/>
    <n v="13"/>
    <n v="18"/>
    <n v="50"/>
    <n v="239554"/>
    <n v="97"/>
    <n v="1"/>
    <n v="1"/>
    <n v="1"/>
    <n v="1"/>
    <n v="0"/>
    <n v="0"/>
    <n v="98"/>
    <n v="178"/>
    <n v="31"/>
    <n v="0"/>
    <x v="7"/>
    <x v="2"/>
    <x v="0"/>
    <x v="0"/>
    <s v="0–2"/>
  </r>
  <r>
    <x v="13"/>
    <x v="1"/>
    <n v="7"/>
    <n v="4"/>
    <n v="1"/>
    <n v="179"/>
    <n v="51"/>
    <n v="18"/>
    <n v="38"/>
    <n v="239554"/>
    <n v="97"/>
    <n v="0"/>
    <n v="1"/>
    <n v="0"/>
    <n v="1"/>
    <n v="0"/>
    <n v="0"/>
    <n v="89"/>
    <n v="170"/>
    <n v="31"/>
    <n v="2"/>
    <x v="7"/>
    <x v="1"/>
    <x v="1"/>
    <x v="0"/>
    <s v="0–2"/>
  </r>
  <r>
    <x v="27"/>
    <x v="16"/>
    <n v="7"/>
    <n v="5"/>
    <n v="1"/>
    <n v="279"/>
    <n v="5"/>
    <n v="14"/>
    <n v="39"/>
    <n v="239554"/>
    <n v="97"/>
    <n v="0"/>
    <n v="1"/>
    <n v="2"/>
    <n v="1"/>
    <n v="1"/>
    <n v="0"/>
    <n v="68"/>
    <n v="168"/>
    <n v="24"/>
    <n v="4"/>
    <x v="7"/>
    <x v="1"/>
    <x v="3"/>
    <x v="2"/>
    <s v="3–8"/>
  </r>
  <r>
    <x v="8"/>
    <x v="1"/>
    <n v="7"/>
    <n v="5"/>
    <n v="1"/>
    <n v="289"/>
    <n v="36"/>
    <n v="13"/>
    <n v="33"/>
    <n v="239554"/>
    <n v="97"/>
    <n v="0"/>
    <n v="1"/>
    <n v="2"/>
    <n v="1"/>
    <n v="0"/>
    <n v="1"/>
    <n v="90"/>
    <n v="172"/>
    <n v="30"/>
    <n v="2"/>
    <x v="7"/>
    <x v="1"/>
    <x v="1"/>
    <x v="0"/>
    <s v="0–2"/>
  </r>
  <r>
    <x v="13"/>
    <x v="1"/>
    <n v="7"/>
    <n v="6"/>
    <n v="1"/>
    <n v="179"/>
    <n v="51"/>
    <n v="18"/>
    <n v="38"/>
    <n v="239554"/>
    <n v="97"/>
    <n v="0"/>
    <n v="1"/>
    <n v="0"/>
    <n v="1"/>
    <n v="0"/>
    <n v="0"/>
    <n v="89"/>
    <n v="170"/>
    <n v="31"/>
    <m/>
    <x v="7"/>
    <x v="1"/>
    <x v="1"/>
    <x v="0"/>
    <s v="0–2"/>
  </r>
  <r>
    <x v="29"/>
    <x v="6"/>
    <n v="7"/>
    <n v="6"/>
    <n v="1"/>
    <m/>
    <n v="52"/>
    <n v="3"/>
    <n v="28"/>
    <n v="239554"/>
    <n v="97"/>
    <n v="0"/>
    <n v="1"/>
    <n v="1"/>
    <n v="1"/>
    <n v="0"/>
    <n v="4"/>
    <n v="80"/>
    <n v="172"/>
    <n v="27"/>
    <n v="8"/>
    <x v="7"/>
    <x v="3"/>
    <x v="1"/>
    <x v="1"/>
    <s v="3–8"/>
  </r>
  <r>
    <x v="18"/>
    <x v="1"/>
    <n v="7"/>
    <n v="6"/>
    <n v="1"/>
    <n v="260"/>
    <n v="50"/>
    <n v="11"/>
    <n v="36"/>
    <n v="239554"/>
    <n v="97"/>
    <n v="0"/>
    <n v="1"/>
    <n v="4"/>
    <n v="1"/>
    <n v="0"/>
    <n v="0"/>
    <n v="65"/>
    <n v="168"/>
    <n v="23"/>
    <n v="4"/>
    <x v="7"/>
    <x v="1"/>
    <x v="1"/>
    <x v="2"/>
    <s v="3–8"/>
  </r>
  <r>
    <x v="5"/>
    <x v="2"/>
    <n v="7"/>
    <n v="2"/>
    <n v="1"/>
    <n v="155"/>
    <n v="12"/>
    <n v="14"/>
    <n v="34"/>
    <n v="239554"/>
    <n v="97"/>
    <n v="0"/>
    <n v="1"/>
    <n v="2"/>
    <n v="1"/>
    <n v="0"/>
    <n v="0"/>
    <n v="95"/>
    <n v="196"/>
    <n v="25"/>
    <n v="40"/>
    <x v="7"/>
    <x v="1"/>
    <x v="0"/>
    <x v="1"/>
    <s v="17+"/>
  </r>
  <r>
    <x v="9"/>
    <x v="6"/>
    <n v="7"/>
    <n v="2"/>
    <n v="1"/>
    <n v="235"/>
    <n v="11"/>
    <n v="14"/>
    <n v="37"/>
    <n v="239554"/>
    <n v="97"/>
    <n v="0"/>
    <n v="3"/>
    <n v="1"/>
    <n v="0"/>
    <n v="0"/>
    <n v="1"/>
    <n v="88"/>
    <n v="172"/>
    <n v="29"/>
    <n v="8"/>
    <x v="7"/>
    <x v="1"/>
    <x v="0"/>
    <x v="1"/>
    <s v="3–8"/>
  </r>
  <r>
    <x v="18"/>
    <x v="14"/>
    <n v="7"/>
    <n v="2"/>
    <n v="1"/>
    <n v="260"/>
    <n v="50"/>
    <n v="11"/>
    <n v="36"/>
    <n v="239554"/>
    <n v="97"/>
    <n v="0"/>
    <n v="1"/>
    <n v="4"/>
    <n v="1"/>
    <n v="0"/>
    <n v="0"/>
    <n v="65"/>
    <n v="168"/>
    <n v="23"/>
    <n v="8"/>
    <x v="7"/>
    <x v="1"/>
    <x v="1"/>
    <x v="2"/>
    <s v="3–8"/>
  </r>
  <r>
    <x v="18"/>
    <x v="14"/>
    <n v="7"/>
    <n v="3"/>
    <n v="1"/>
    <n v="260"/>
    <n v="50"/>
    <n v="11"/>
    <n v="36"/>
    <n v="239554"/>
    <n v="97"/>
    <n v="0"/>
    <n v="1"/>
    <n v="4"/>
    <n v="1"/>
    <n v="0"/>
    <n v="0"/>
    <n v="65"/>
    <n v="168"/>
    <n v="23"/>
    <n v="8"/>
    <x v="7"/>
    <x v="1"/>
    <x v="1"/>
    <x v="2"/>
    <s v="3–8"/>
  </r>
  <r>
    <x v="18"/>
    <x v="15"/>
    <n v="7"/>
    <n v="4"/>
    <n v="1"/>
    <n v="260"/>
    <n v="50"/>
    <n v="11"/>
    <n v="36"/>
    <n v="239554"/>
    <n v="97"/>
    <n v="0"/>
    <n v="1"/>
    <n v="4"/>
    <n v="1"/>
    <n v="0"/>
    <n v="0"/>
    <n v="65"/>
    <n v="168"/>
    <n v="23"/>
    <n v="8"/>
    <x v="7"/>
    <x v="1"/>
    <x v="1"/>
    <x v="2"/>
    <s v="3–8"/>
  </r>
  <r>
    <x v="13"/>
    <x v="15"/>
    <n v="7"/>
    <n v="4"/>
    <n v="1"/>
    <n v="179"/>
    <n v="51"/>
    <n v="18"/>
    <n v="38"/>
    <n v="239554"/>
    <n v="97"/>
    <n v="0"/>
    <n v="1"/>
    <n v="0"/>
    <n v="1"/>
    <n v="0"/>
    <n v="0"/>
    <n v="89"/>
    <n v="170"/>
    <n v="31"/>
    <n v="1"/>
    <x v="7"/>
    <x v="1"/>
    <x v="1"/>
    <x v="0"/>
    <s v="0–2"/>
  </r>
  <r>
    <x v="13"/>
    <x v="1"/>
    <n v="7"/>
    <n v="4"/>
    <n v="1"/>
    <n v="179"/>
    <n v="51"/>
    <n v="18"/>
    <n v="38"/>
    <n v="239554"/>
    <n v="97"/>
    <n v="0"/>
    <n v="1"/>
    <n v="0"/>
    <n v="1"/>
    <n v="0"/>
    <n v="0"/>
    <n v="89"/>
    <n v="170"/>
    <m/>
    <n v="4"/>
    <x v="7"/>
    <x v="1"/>
    <x v="1"/>
    <x v="3"/>
    <s v="3–8"/>
  </r>
  <r>
    <x v="16"/>
    <x v="18"/>
    <n v="7"/>
    <n v="6"/>
    <n v="1"/>
    <n v="246"/>
    <n v="25"/>
    <n v="16"/>
    <n v="41"/>
    <n v="239554"/>
    <n v="97"/>
    <n v="0"/>
    <n v="1"/>
    <n v="0"/>
    <n v="1"/>
    <n v="0"/>
    <n v="0"/>
    <n v="67"/>
    <n v="170"/>
    <m/>
    <m/>
    <x v="7"/>
    <x v="0"/>
    <x v="1"/>
    <x v="3"/>
    <s v="0–2"/>
  </r>
  <r>
    <x v="13"/>
    <x v="1"/>
    <n v="7"/>
    <n v="6"/>
    <n v="1"/>
    <m/>
    <n v="51"/>
    <n v="18"/>
    <n v="38"/>
    <n v="239554"/>
    <n v="97"/>
    <n v="0"/>
    <n v="1"/>
    <n v="0"/>
    <n v="1"/>
    <n v="0"/>
    <n v="0"/>
    <n v="89"/>
    <n v="170"/>
    <n v="31"/>
    <n v="2"/>
    <x v="7"/>
    <x v="1"/>
    <x v="1"/>
    <x v="0"/>
    <s v="0–2"/>
  </r>
  <r>
    <x v="13"/>
    <x v="21"/>
    <n v="7"/>
    <n v="2"/>
    <n v="1"/>
    <n v="179"/>
    <n v="51"/>
    <n v="18"/>
    <n v="38"/>
    <n v="239554"/>
    <n v="97"/>
    <n v="0"/>
    <n v="1"/>
    <n v="0"/>
    <n v="1"/>
    <n v="0"/>
    <n v="0"/>
    <n v="89"/>
    <n v="170"/>
    <n v="31"/>
    <n v="8"/>
    <x v="7"/>
    <x v="1"/>
    <x v="1"/>
    <x v="0"/>
    <s v="3–8"/>
  </r>
  <r>
    <x v="17"/>
    <x v="15"/>
    <n v="7"/>
    <n v="5"/>
    <n v="1"/>
    <n v="189"/>
    <n v="29"/>
    <n v="13"/>
    <n v="33"/>
    <n v="239554"/>
    <n v="97"/>
    <n v="0"/>
    <n v="1"/>
    <n v="2"/>
    <n v="0"/>
    <n v="0"/>
    <n v="2"/>
    <n v="69"/>
    <n v="167"/>
    <n v="25"/>
    <n v="8"/>
    <x v="7"/>
    <x v="1"/>
    <x v="1"/>
    <x v="1"/>
    <s v="3–8"/>
  </r>
  <r>
    <x v="5"/>
    <x v="2"/>
    <n v="7"/>
    <n v="3"/>
    <n v="1"/>
    <n v="155"/>
    <n v="12"/>
    <n v="14"/>
    <n v="34"/>
    <n v="275312"/>
    <n v="98"/>
    <n v="0"/>
    <n v="1"/>
    <n v="2"/>
    <n v="1"/>
    <n v="0"/>
    <n v="0"/>
    <n v="95"/>
    <n v="196"/>
    <n v="25"/>
    <n v="16"/>
    <x v="7"/>
    <x v="1"/>
    <x v="0"/>
    <x v="1"/>
    <s v="9–16"/>
  </r>
  <r>
    <x v="12"/>
    <x v="14"/>
    <n v="7"/>
    <n v="4"/>
    <n v="1"/>
    <n v="118"/>
    <n v="13"/>
    <n v="18"/>
    <n v="50"/>
    <n v="275312"/>
    <n v="98"/>
    <n v="0"/>
    <n v="1"/>
    <n v="1"/>
    <n v="1"/>
    <n v="0"/>
    <n v="0"/>
    <n v="98"/>
    <n v="178"/>
    <n v="31"/>
    <n v="8"/>
    <x v="7"/>
    <x v="2"/>
    <x v="0"/>
    <x v="0"/>
    <s v="3–8"/>
  </r>
  <r>
    <x v="4"/>
    <x v="23"/>
    <n v="7"/>
    <n v="6"/>
    <n v="1"/>
    <n v="118"/>
    <n v="10"/>
    <n v="10"/>
    <n v="37"/>
    <n v="275312"/>
    <n v="98"/>
    <n v="0"/>
    <n v="1"/>
    <n v="0"/>
    <n v="0"/>
    <n v="0"/>
    <n v="0"/>
    <n v="83"/>
    <n v="172"/>
    <n v="28"/>
    <n v="8"/>
    <x v="7"/>
    <x v="1"/>
    <x v="2"/>
    <x v="1"/>
    <s v="3–8"/>
  </r>
  <r>
    <x v="4"/>
    <x v="8"/>
    <n v="7"/>
    <n v="6"/>
    <n v="1"/>
    <n v="118"/>
    <n v="10"/>
    <n v="10"/>
    <n v="37"/>
    <n v="275312"/>
    <n v="98"/>
    <n v="0"/>
    <n v="1"/>
    <n v="0"/>
    <n v="0"/>
    <n v="0"/>
    <n v="0"/>
    <n v="83"/>
    <n v="172"/>
    <n v="28"/>
    <n v="4"/>
    <x v="7"/>
    <x v="1"/>
    <x v="2"/>
    <x v="1"/>
    <s v="3–8"/>
  </r>
  <r>
    <x v="20"/>
    <x v="8"/>
    <n v="7"/>
    <n v="3"/>
    <n v="1"/>
    <n v="330"/>
    <n v="16"/>
    <n v="4"/>
    <n v="28"/>
    <n v="275312"/>
    <n v="98"/>
    <n v="0"/>
    <n v="2"/>
    <n v="0"/>
    <n v="0"/>
    <n v="0"/>
    <n v="0"/>
    <n v="84"/>
    <n v="182"/>
    <n v="25"/>
    <n v="8"/>
    <x v="7"/>
    <x v="3"/>
    <x v="0"/>
    <x v="1"/>
    <s v="3–8"/>
  </r>
  <r>
    <x v="7"/>
    <x v="4"/>
    <n v="7"/>
    <n v="5"/>
    <n v="1"/>
    <n v="179"/>
    <n v="26"/>
    <n v="9"/>
    <n v="30"/>
    <n v="275312"/>
    <n v="98"/>
    <n v="0"/>
    <n v="3"/>
    <n v="0"/>
    <n v="0"/>
    <n v="0"/>
    <n v="0"/>
    <n v="56"/>
    <n v="171"/>
    <n v="19"/>
    <n v="8"/>
    <x v="7"/>
    <x v="1"/>
    <x v="1"/>
    <x v="2"/>
    <s v="3–8"/>
  </r>
  <r>
    <x v="5"/>
    <x v="12"/>
    <n v="7"/>
    <n v="6"/>
    <n v="1"/>
    <n v="155"/>
    <n v="12"/>
    <n v="14"/>
    <n v="34"/>
    <n v="275312"/>
    <n v="98"/>
    <n v="0"/>
    <n v="1"/>
    <n v="2"/>
    <n v="1"/>
    <n v="0"/>
    <n v="0"/>
    <n v="95"/>
    <n v="196"/>
    <n v="25"/>
    <n v="2"/>
    <x v="7"/>
    <x v="1"/>
    <x v="0"/>
    <x v="1"/>
    <s v="0–2"/>
  </r>
  <r>
    <x v="20"/>
    <x v="14"/>
    <n v="7"/>
    <n v="2"/>
    <n v="1"/>
    <n v="330"/>
    <n v="16"/>
    <n v="4"/>
    <n v="28"/>
    <n v="275312"/>
    <n v="98"/>
    <n v="0"/>
    <n v="2"/>
    <n v="0"/>
    <n v="0"/>
    <n v="0"/>
    <n v="0"/>
    <n v="84"/>
    <n v="182"/>
    <n v="25"/>
    <n v="8"/>
    <x v="7"/>
    <x v="3"/>
    <x v="0"/>
    <x v="1"/>
    <s v="3–8"/>
  </r>
  <r>
    <x v="20"/>
    <x v="14"/>
    <n v="7"/>
    <n v="3"/>
    <n v="1"/>
    <n v="330"/>
    <n v="16"/>
    <n v="4"/>
    <n v="28"/>
    <n v="275312"/>
    <n v="98"/>
    <n v="0"/>
    <n v="2"/>
    <n v="0"/>
    <n v="0"/>
    <n v="0"/>
    <n v="0"/>
    <n v="84"/>
    <n v="182"/>
    <n v="25"/>
    <n v="8"/>
    <x v="7"/>
    <x v="3"/>
    <x v="0"/>
    <x v="1"/>
    <s v="3–8"/>
  </r>
  <r>
    <x v="21"/>
    <x v="12"/>
    <n v="7"/>
    <n v="2"/>
    <n v="1"/>
    <n v="157"/>
    <n v="27"/>
    <n v="6"/>
    <n v="29"/>
    <n v="275312"/>
    <n v="98"/>
    <n v="0"/>
    <n v="1"/>
    <n v="0"/>
    <n v="1"/>
    <n v="1"/>
    <n v="0"/>
    <n v="75"/>
    <n v="185"/>
    <n v="22"/>
    <n v="3"/>
    <x v="7"/>
    <x v="3"/>
    <x v="1"/>
    <x v="2"/>
    <s v="3–8"/>
  </r>
  <r>
    <x v="29"/>
    <x v="6"/>
    <n v="7"/>
    <n v="3"/>
    <n v="1"/>
    <n v="361"/>
    <n v="52"/>
    <n v="3"/>
    <n v="28"/>
    <n v="275312"/>
    <n v="98"/>
    <n v="0"/>
    <n v="1"/>
    <n v="1"/>
    <n v="1"/>
    <n v="0"/>
    <n v="4"/>
    <n v="80"/>
    <n v="172"/>
    <n v="27"/>
    <n v="8"/>
    <x v="7"/>
    <x v="3"/>
    <x v="1"/>
    <x v="1"/>
    <s v="3–8"/>
  </r>
  <r>
    <x v="8"/>
    <x v="8"/>
    <n v="7"/>
    <n v="4"/>
    <n v="1"/>
    <n v="289"/>
    <n v="36"/>
    <n v="13"/>
    <n v="33"/>
    <n v="275312"/>
    <n v="98"/>
    <n v="0"/>
    <n v="1"/>
    <n v="2"/>
    <n v="1"/>
    <n v="0"/>
    <n v="1"/>
    <n v="90"/>
    <n v="172"/>
    <n v="30"/>
    <n v="8"/>
    <x v="7"/>
    <x v="1"/>
    <x v="1"/>
    <x v="0"/>
    <s v="3–8"/>
  </r>
  <r>
    <x v="13"/>
    <x v="8"/>
    <n v="7"/>
    <n v="5"/>
    <n v="1"/>
    <n v="179"/>
    <n v="51"/>
    <n v="18"/>
    <n v="38"/>
    <n v="275312"/>
    <n v="98"/>
    <n v="0"/>
    <n v="1"/>
    <n v="0"/>
    <n v="1"/>
    <n v="0"/>
    <n v="0"/>
    <n v="89"/>
    <n v="170"/>
    <n v="31"/>
    <n v="8"/>
    <x v="7"/>
    <x v="1"/>
    <x v="1"/>
    <x v="0"/>
    <s v="3–8"/>
  </r>
  <r>
    <x v="8"/>
    <x v="2"/>
    <n v="7"/>
    <n v="2"/>
    <n v="1"/>
    <n v="289"/>
    <n v="36"/>
    <n v="13"/>
    <n v="33"/>
    <n v="275312"/>
    <n v="98"/>
    <n v="0"/>
    <n v="1"/>
    <n v="2"/>
    <n v="1"/>
    <n v="0"/>
    <n v="1"/>
    <n v="90"/>
    <n v="172"/>
    <n v="30"/>
    <n v="32"/>
    <x v="7"/>
    <x v="1"/>
    <x v="1"/>
    <x v="0"/>
    <s v="17+"/>
  </r>
  <r>
    <x v="8"/>
    <x v="2"/>
    <n v="7"/>
    <n v="5"/>
    <n v="1"/>
    <n v="289"/>
    <n v="36"/>
    <n v="13"/>
    <n v="33"/>
    <n v="275312"/>
    <n v="98"/>
    <n v="0"/>
    <n v="1"/>
    <n v="2"/>
    <n v="1"/>
    <n v="0"/>
    <n v="1"/>
    <n v="90"/>
    <n v="172"/>
    <n v="30"/>
    <n v="8"/>
    <x v="7"/>
    <x v="1"/>
    <x v="1"/>
    <x v="0"/>
    <s v="3–8"/>
  </r>
  <r>
    <x v="18"/>
    <x v="0"/>
    <n v="7"/>
    <n v="5"/>
    <n v="1"/>
    <n v="260"/>
    <n v="50"/>
    <n v="11"/>
    <n v="36"/>
    <n v="275312"/>
    <n v="98"/>
    <n v="1"/>
    <n v="1"/>
    <n v="4"/>
    <n v="1"/>
    <n v="0"/>
    <n v="0"/>
    <n v="65"/>
    <n v="168"/>
    <n v="23"/>
    <n v="0"/>
    <x v="7"/>
    <x v="1"/>
    <x v="1"/>
    <x v="2"/>
    <s v="0–2"/>
  </r>
  <r>
    <x v="7"/>
    <x v="1"/>
    <n v="7"/>
    <n v="5"/>
    <n v="1"/>
    <n v="179"/>
    <n v="26"/>
    <n v="9"/>
    <n v="30"/>
    <n v="230290"/>
    <n v="92"/>
    <n v="0"/>
    <n v="3"/>
    <n v="0"/>
    <n v="0"/>
    <n v="0"/>
    <n v="0"/>
    <n v="56"/>
    <n v="171"/>
    <n v="19"/>
    <n v="2"/>
    <x v="7"/>
    <x v="1"/>
    <x v="1"/>
    <x v="2"/>
    <s v="0–2"/>
  </r>
  <r>
    <x v="3"/>
    <x v="12"/>
    <n v="7"/>
    <n v="5"/>
    <n v="1"/>
    <n v="225"/>
    <n v="26"/>
    <n v="9"/>
    <n v="28"/>
    <n v="230290"/>
    <n v="92"/>
    <n v="0"/>
    <n v="1"/>
    <n v="1"/>
    <n v="0"/>
    <n v="0"/>
    <n v="2"/>
    <n v="69"/>
    <n v="169"/>
    <n v="24"/>
    <n v="4"/>
    <x v="7"/>
    <x v="3"/>
    <x v="1"/>
    <x v="2"/>
    <s v="3–8"/>
  </r>
  <r>
    <x v="18"/>
    <x v="7"/>
    <n v="7"/>
    <n v="6"/>
    <n v="1"/>
    <n v="260"/>
    <n v="50"/>
    <n v="11"/>
    <n v="36"/>
    <n v="230290"/>
    <n v="92"/>
    <n v="0"/>
    <n v="1"/>
    <n v="4"/>
    <n v="1"/>
    <n v="0"/>
    <n v="0"/>
    <n v="65"/>
    <n v="168"/>
    <n v="23"/>
    <n v="8"/>
    <x v="7"/>
    <x v="1"/>
    <x v="1"/>
    <x v="2"/>
    <s v="3–8"/>
  </r>
  <r>
    <x v="35"/>
    <x v="16"/>
    <n v="7"/>
    <n v="2"/>
    <n v="1"/>
    <n v="268"/>
    <n v="11"/>
    <n v="8"/>
    <n v="33"/>
    <n v="230290"/>
    <n v="92"/>
    <n v="0"/>
    <n v="2"/>
    <n v="0"/>
    <n v="0"/>
    <n v="0"/>
    <n v="0"/>
    <n v="79"/>
    <n v="178"/>
    <n v="25"/>
    <n v="8"/>
    <x v="7"/>
    <x v="1"/>
    <x v="0"/>
    <x v="1"/>
    <s v="3–8"/>
  </r>
  <r>
    <x v="20"/>
    <x v="12"/>
    <n v="7"/>
    <n v="6"/>
    <n v="1"/>
    <n v="330"/>
    <n v="16"/>
    <n v="4"/>
    <n v="28"/>
    <n v="230290"/>
    <n v="92"/>
    <n v="0"/>
    <n v="2"/>
    <n v="0"/>
    <n v="0"/>
    <n v="0"/>
    <n v="0"/>
    <n v="84"/>
    <n v="182"/>
    <n v="25"/>
    <n v="8"/>
    <x v="7"/>
    <x v="3"/>
    <x v="0"/>
    <x v="1"/>
    <s v="3–8"/>
  </r>
  <r>
    <x v="4"/>
    <x v="8"/>
    <n v="7"/>
    <n v="6"/>
    <n v="1"/>
    <n v="118"/>
    <n v="10"/>
    <n v="10"/>
    <n v="37"/>
    <n v="230290"/>
    <n v="92"/>
    <n v="0"/>
    <n v="1"/>
    <n v="0"/>
    <n v="0"/>
    <n v="0"/>
    <n v="0"/>
    <n v="83"/>
    <n v="172"/>
    <n v="28"/>
    <n v="8"/>
    <x v="7"/>
    <x v="1"/>
    <x v="2"/>
    <x v="1"/>
    <s v="3–8"/>
  </r>
  <r>
    <x v="18"/>
    <x v="8"/>
    <n v="7"/>
    <n v="2"/>
    <n v="1"/>
    <n v="260"/>
    <n v="50"/>
    <n v="11"/>
    <n v="36"/>
    <n v="230290"/>
    <n v="92"/>
    <n v="0"/>
    <n v="1"/>
    <n v="4"/>
    <n v="1"/>
    <n v="0"/>
    <n v="0"/>
    <n v="65"/>
    <n v="168"/>
    <n v="23"/>
    <n v="4"/>
    <x v="7"/>
    <x v="1"/>
    <x v="1"/>
    <x v="2"/>
    <s v="3–8"/>
  </r>
  <r>
    <x v="4"/>
    <x v="5"/>
    <n v="7"/>
    <n v="3"/>
    <n v="1"/>
    <n v="118"/>
    <n v="10"/>
    <n v="10"/>
    <n v="37"/>
    <n v="230290"/>
    <n v="92"/>
    <n v="0"/>
    <n v="1"/>
    <n v="0"/>
    <n v="0"/>
    <n v="0"/>
    <n v="0"/>
    <n v="83"/>
    <n v="172"/>
    <n v="28"/>
    <n v="8"/>
    <x v="7"/>
    <x v="1"/>
    <x v="2"/>
    <x v="1"/>
    <s v="3–8"/>
  </r>
  <r>
    <x v="34"/>
    <x v="24"/>
    <n v="7"/>
    <n v="2"/>
    <n v="1"/>
    <n v="300"/>
    <n v="26"/>
    <n v="13"/>
    <n v="43"/>
    <n v="230290"/>
    <n v="92"/>
    <n v="0"/>
    <n v="1"/>
    <n v="2"/>
    <n v="1"/>
    <n v="1"/>
    <n v="1"/>
    <n v="77"/>
    <n v="175"/>
    <n v="25"/>
    <n v="8"/>
    <x v="7"/>
    <x v="0"/>
    <x v="1"/>
    <x v="1"/>
    <s v="3–8"/>
  </r>
  <r>
    <x v="33"/>
    <x v="1"/>
    <n v="7"/>
    <n v="2"/>
    <n v="1"/>
    <n v="235"/>
    <n v="29"/>
    <n v="12"/>
    <n v="48"/>
    <n v="230290"/>
    <n v="92"/>
    <n v="0"/>
    <n v="1"/>
    <n v="1"/>
    <n v="0"/>
    <n v="1"/>
    <n v="5"/>
    <n v="88"/>
    <n v="163"/>
    <n v="33"/>
    <n v="1"/>
    <x v="7"/>
    <x v="0"/>
    <x v="1"/>
    <x v="0"/>
    <s v="0–2"/>
  </r>
  <r>
    <x v="16"/>
    <x v="5"/>
    <n v="7"/>
    <n v="3"/>
    <n v="1"/>
    <n v="246"/>
    <n v="25"/>
    <n v="16"/>
    <n v="41"/>
    <n v="230290"/>
    <n v="92"/>
    <n v="0"/>
    <n v="1"/>
    <n v="0"/>
    <n v="1"/>
    <n v="0"/>
    <n v="0"/>
    <n v="67"/>
    <n v="170"/>
    <n v="23"/>
    <n v="2"/>
    <x v="7"/>
    <x v="0"/>
    <x v="1"/>
    <x v="2"/>
    <s v="0–2"/>
  </r>
  <r>
    <x v="3"/>
    <x v="25"/>
    <n v="7"/>
    <n v="3"/>
    <n v="1"/>
    <n v="225"/>
    <n v="26"/>
    <n v="9"/>
    <n v="28"/>
    <n v="230290"/>
    <n v="92"/>
    <n v="0"/>
    <n v="1"/>
    <n v="1"/>
    <n v="0"/>
    <n v="0"/>
    <n v="2"/>
    <n v="69"/>
    <n v="169"/>
    <n v="24"/>
    <n v="112"/>
    <x v="7"/>
    <x v="3"/>
    <x v="1"/>
    <x v="2"/>
    <s v="17+"/>
  </r>
  <r>
    <x v="13"/>
    <x v="5"/>
    <n v="7"/>
    <n v="3"/>
    <n v="1"/>
    <n v="179"/>
    <n v="51"/>
    <n v="18"/>
    <n v="38"/>
    <n v="230290"/>
    <n v="92"/>
    <n v="0"/>
    <n v="1"/>
    <n v="0"/>
    <n v="1"/>
    <n v="0"/>
    <n v="0"/>
    <n v="89"/>
    <n v="170"/>
    <n v="31"/>
    <n v="1"/>
    <x v="7"/>
    <x v="1"/>
    <x v="1"/>
    <x v="0"/>
    <s v="0–2"/>
  </r>
  <r>
    <x v="12"/>
    <x v="1"/>
    <n v="7"/>
    <n v="6"/>
    <n v="1"/>
    <n v="118"/>
    <n v="13"/>
    <n v="18"/>
    <n v="50"/>
    <n v="230290"/>
    <n v="92"/>
    <n v="0"/>
    <n v="1"/>
    <n v="1"/>
    <n v="1"/>
    <n v="0"/>
    <n v="0"/>
    <n v="98"/>
    <n v="178"/>
    <n v="31"/>
    <n v="1"/>
    <x v="7"/>
    <x v="2"/>
    <x v="0"/>
    <x v="0"/>
    <s v="0–2"/>
  </r>
  <r>
    <x v="29"/>
    <x v="6"/>
    <n v="7"/>
    <n v="6"/>
    <n v="1"/>
    <n v="361"/>
    <n v="52"/>
    <n v="3"/>
    <n v="28"/>
    <n v="230290"/>
    <n v="92"/>
    <n v="0"/>
    <n v="1"/>
    <n v="1"/>
    <n v="1"/>
    <n v="0"/>
    <n v="4"/>
    <n v="80"/>
    <n v="172"/>
    <n v="27"/>
    <n v="8"/>
    <x v="7"/>
    <x v="3"/>
    <x v="1"/>
    <x v="1"/>
    <s v="3–8"/>
  </r>
  <r>
    <x v="8"/>
    <x v="6"/>
    <n v="7"/>
    <n v="2"/>
    <n v="1"/>
    <n v="289"/>
    <n v="36"/>
    <n v="13"/>
    <n v="33"/>
    <n v="230290"/>
    <n v="92"/>
    <n v="0"/>
    <n v="1"/>
    <n v="2"/>
    <n v="1"/>
    <n v="0"/>
    <n v="1"/>
    <n v="90"/>
    <n v="172"/>
    <n v="30"/>
    <n v="8"/>
    <x v="7"/>
    <x v="1"/>
    <x v="1"/>
    <x v="0"/>
    <s v="3–8"/>
  </r>
  <r>
    <x v="11"/>
    <x v="8"/>
    <n v="7"/>
    <n v="2"/>
    <n v="1"/>
    <n v="235"/>
    <n v="20"/>
    <n v="13"/>
    <n v="43"/>
    <n v="230290"/>
    <n v="92"/>
    <n v="0"/>
    <n v="1"/>
    <n v="1"/>
    <n v="1"/>
    <n v="0"/>
    <n v="0"/>
    <n v="106"/>
    <n v="167"/>
    <n v="38"/>
    <n v="8"/>
    <x v="7"/>
    <x v="0"/>
    <x v="0"/>
    <x v="0"/>
    <s v="3–8"/>
  </r>
  <r>
    <x v="16"/>
    <x v="5"/>
    <n v="7"/>
    <n v="3"/>
    <n v="1"/>
    <n v="246"/>
    <n v="25"/>
    <n v="16"/>
    <n v="41"/>
    <n v="230290"/>
    <n v="92"/>
    <n v="0"/>
    <n v="1"/>
    <n v="0"/>
    <n v="1"/>
    <n v="0"/>
    <n v="0"/>
    <n v="67"/>
    <n v="170"/>
    <n v="23"/>
    <n v="2"/>
    <x v="7"/>
    <x v="0"/>
    <x v="1"/>
    <x v="2"/>
    <s v="0–2"/>
  </r>
  <r>
    <x v="10"/>
    <x v="5"/>
    <n v="7"/>
    <n v="5"/>
    <n v="1"/>
    <n v="291"/>
    <n v="31"/>
    <n v="12"/>
    <n v="40"/>
    <n v="230290"/>
    <n v="92"/>
    <n v="0"/>
    <n v="1"/>
    <n v="1"/>
    <n v="1"/>
    <n v="0"/>
    <n v="1"/>
    <n v="73"/>
    <n v="171"/>
    <n v="25"/>
    <n v="1"/>
    <x v="7"/>
    <x v="0"/>
    <x v="1"/>
    <x v="1"/>
    <s v="0–2"/>
  </r>
  <r>
    <x v="27"/>
    <x v="1"/>
    <n v="7"/>
    <n v="5"/>
    <n v="1"/>
    <n v="279"/>
    <n v="5"/>
    <n v="14"/>
    <n v="39"/>
    <n v="230290"/>
    <n v="92"/>
    <n v="0"/>
    <n v="1"/>
    <n v="2"/>
    <n v="1"/>
    <n v="1"/>
    <n v="0"/>
    <n v="68"/>
    <n v="168"/>
    <n v="24"/>
    <n v="2"/>
    <x v="7"/>
    <x v="1"/>
    <x v="3"/>
    <x v="2"/>
    <s v="0–2"/>
  </r>
  <r>
    <x v="11"/>
    <x v="8"/>
    <n v="7"/>
    <n v="4"/>
    <n v="1"/>
    <n v="235"/>
    <n v="20"/>
    <n v="13"/>
    <n v="43"/>
    <n v="264604"/>
    <n v="93"/>
    <n v="0"/>
    <n v="1"/>
    <n v="1"/>
    <n v="1"/>
    <n v="0"/>
    <n v="0"/>
    <n v="106"/>
    <n v="167"/>
    <n v="38"/>
    <n v="4"/>
    <x v="7"/>
    <x v="0"/>
    <x v="0"/>
    <x v="0"/>
    <s v="3–8"/>
  </r>
  <r>
    <x v="24"/>
    <x v="2"/>
    <n v="7"/>
    <n v="6"/>
    <n v="1"/>
    <n v="233"/>
    <n v="51"/>
    <n v="1"/>
    <n v="31"/>
    <n v="264604"/>
    <n v="93"/>
    <n v="0"/>
    <n v="2"/>
    <n v="1"/>
    <n v="1"/>
    <n v="0"/>
    <n v="8"/>
    <n v="68"/>
    <n v="178"/>
    <n v="21"/>
    <n v="2"/>
    <x v="7"/>
    <x v="1"/>
    <x v="1"/>
    <x v="2"/>
    <s v="0–2"/>
  </r>
  <r>
    <x v="31"/>
    <x v="19"/>
    <n v="7"/>
    <n v="2"/>
    <n v="1"/>
    <n v="228"/>
    <n v="14"/>
    <n v="16"/>
    <n v="58"/>
    <n v="264604"/>
    <n v="93"/>
    <n v="0"/>
    <n v="1"/>
    <n v="2"/>
    <n v="0"/>
    <n v="0"/>
    <n v="1"/>
    <n v="65"/>
    <n v="172"/>
    <n v="22"/>
    <n v="8"/>
    <x v="7"/>
    <x v="2"/>
    <x v="0"/>
    <x v="2"/>
    <s v="3–8"/>
  </r>
  <r>
    <x v="4"/>
    <x v="5"/>
    <n v="7"/>
    <n v="2"/>
    <n v="1"/>
    <n v="118"/>
    <n v="10"/>
    <n v="10"/>
    <n v="37"/>
    <n v="264604"/>
    <n v="93"/>
    <n v="0"/>
    <n v="1"/>
    <n v="0"/>
    <n v="0"/>
    <n v="0"/>
    <n v="0"/>
    <n v="83"/>
    <n v="172"/>
    <n v="28"/>
    <n v="4"/>
    <x v="7"/>
    <x v="1"/>
    <x v="2"/>
    <x v="1"/>
    <s v="3–8"/>
  </r>
  <r>
    <x v="31"/>
    <x v="19"/>
    <n v="7"/>
    <n v="3"/>
    <n v="1"/>
    <n v="228"/>
    <n v="14"/>
    <n v="16"/>
    <n v="58"/>
    <n v="264604"/>
    <n v="93"/>
    <n v="0"/>
    <n v="1"/>
    <n v="2"/>
    <n v="0"/>
    <n v="0"/>
    <n v="1"/>
    <n v="65"/>
    <n v="172"/>
    <n v="22"/>
    <n v="120"/>
    <x v="7"/>
    <x v="2"/>
    <x v="0"/>
    <x v="2"/>
    <s v="17+"/>
  </r>
  <r>
    <x v="17"/>
    <x v="6"/>
    <n v="7"/>
    <n v="3"/>
    <n v="1"/>
    <n v="189"/>
    <n v="29"/>
    <n v="13"/>
    <n v="33"/>
    <n v="264604"/>
    <n v="93"/>
    <n v="0"/>
    <n v="1"/>
    <n v="2"/>
    <n v="0"/>
    <n v="0"/>
    <n v="2"/>
    <n v="69"/>
    <n v="167"/>
    <n v="25"/>
    <n v="16"/>
    <x v="7"/>
    <x v="1"/>
    <x v="1"/>
    <x v="1"/>
    <s v="9–16"/>
  </r>
  <r>
    <x v="4"/>
    <x v="1"/>
    <n v="7"/>
    <n v="4"/>
    <n v="1"/>
    <n v="118"/>
    <n v="10"/>
    <n v="10"/>
    <n v="37"/>
    <n v="264604"/>
    <n v="93"/>
    <n v="0"/>
    <n v="1"/>
    <n v="0"/>
    <n v="0"/>
    <n v="0"/>
    <n v="0"/>
    <n v="83"/>
    <n v="172"/>
    <n v="28"/>
    <n v="2"/>
    <x v="7"/>
    <x v="1"/>
    <x v="2"/>
    <x v="1"/>
    <s v="0–2"/>
  </r>
  <r>
    <x v="29"/>
    <x v="6"/>
    <n v="7"/>
    <n v="4"/>
    <n v="1"/>
    <n v="361"/>
    <n v="52"/>
    <n v="3"/>
    <n v="28"/>
    <n v="264604"/>
    <n v="93"/>
    <n v="0"/>
    <n v="1"/>
    <n v="1"/>
    <n v="1"/>
    <n v="0"/>
    <n v="4"/>
    <n v="80"/>
    <n v="172"/>
    <n v="27"/>
    <n v="8"/>
    <x v="7"/>
    <x v="3"/>
    <x v="1"/>
    <x v="1"/>
    <s v="3–8"/>
  </r>
  <r>
    <x v="3"/>
    <x v="6"/>
    <n v="7"/>
    <n v="4"/>
    <n v="1"/>
    <n v="225"/>
    <n v="26"/>
    <n v="9"/>
    <n v="28"/>
    <n v="264604"/>
    <n v="93"/>
    <n v="0"/>
    <n v="1"/>
    <n v="1"/>
    <n v="0"/>
    <n v="0"/>
    <n v="2"/>
    <n v="69"/>
    <n v="169"/>
    <n v="24"/>
    <n v="8"/>
    <x v="7"/>
    <x v="3"/>
    <x v="1"/>
    <x v="2"/>
    <s v="3–8"/>
  </r>
  <r>
    <x v="30"/>
    <x v="7"/>
    <n v="7"/>
    <n v="2"/>
    <n v="1"/>
    <n v="369"/>
    <n v="17"/>
    <n v="12"/>
    <n v="31"/>
    <n v="264604"/>
    <n v="93"/>
    <n v="0"/>
    <n v="1"/>
    <n v="3"/>
    <n v="1"/>
    <n v="0"/>
    <n v="0"/>
    <n v="70"/>
    <n v="169"/>
    <n v="25"/>
    <n v="80"/>
    <x v="7"/>
    <x v="1"/>
    <x v="0"/>
    <x v="1"/>
    <s v="17+"/>
  </r>
  <r>
    <x v="8"/>
    <x v="18"/>
    <n v="7"/>
    <n v="3"/>
    <n v="1"/>
    <n v="289"/>
    <n v="36"/>
    <n v="13"/>
    <n v="33"/>
    <n v="264604"/>
    <n v="93"/>
    <n v="0"/>
    <n v="1"/>
    <n v="2"/>
    <n v="1"/>
    <n v="0"/>
    <n v="1"/>
    <n v="90"/>
    <n v="172"/>
    <n v="30"/>
    <n v="8"/>
    <x v="7"/>
    <x v="1"/>
    <x v="1"/>
    <x v="0"/>
    <s v="3–8"/>
  </r>
  <r>
    <x v="9"/>
    <x v="15"/>
    <n v="7"/>
    <n v="3"/>
    <n v="1"/>
    <n v="235"/>
    <n v="11"/>
    <n v="14"/>
    <n v="37"/>
    <n v="264604"/>
    <n v="93"/>
    <n v="0"/>
    <n v="3"/>
    <n v="1"/>
    <n v="0"/>
    <n v="0"/>
    <n v="1"/>
    <n v="88"/>
    <n v="172"/>
    <n v="29"/>
    <n v="4"/>
    <x v="7"/>
    <x v="1"/>
    <x v="0"/>
    <x v="1"/>
    <s v="3–8"/>
  </r>
  <r>
    <x v="22"/>
    <x v="1"/>
    <n v="8"/>
    <n v="4"/>
    <n v="1"/>
    <n v="248"/>
    <n v="25"/>
    <n v="14"/>
    <n v="47"/>
    <n v="205917"/>
    <n v="92"/>
    <n v="0"/>
    <n v="1"/>
    <n v="2"/>
    <n v="0"/>
    <n v="0"/>
    <n v="1"/>
    <n v="86"/>
    <n v="165"/>
    <n v="32"/>
    <n v="2"/>
    <x v="8"/>
    <x v="0"/>
    <x v="1"/>
    <x v="0"/>
    <s v="0–2"/>
  </r>
  <r>
    <x v="20"/>
    <x v="13"/>
    <n v="8"/>
    <n v="4"/>
    <n v="1"/>
    <n v="330"/>
    <n v="16"/>
    <n v="4"/>
    <n v="28"/>
    <n v="205917"/>
    <n v="92"/>
    <n v="0"/>
    <n v="2"/>
    <n v="0"/>
    <n v="0"/>
    <n v="0"/>
    <n v="0"/>
    <n v="84"/>
    <n v="182"/>
    <n v="25"/>
    <m/>
    <x v="8"/>
    <x v="3"/>
    <x v="0"/>
    <x v="1"/>
    <s v="0–2"/>
  </r>
  <r>
    <x v="13"/>
    <x v="15"/>
    <n v="8"/>
    <n v="2"/>
    <n v="1"/>
    <n v="179"/>
    <n v="51"/>
    <n v="18"/>
    <n v="38"/>
    <n v="205917"/>
    <n v="92"/>
    <n v="0"/>
    <n v="1"/>
    <n v="0"/>
    <n v="1"/>
    <n v="0"/>
    <n v="0"/>
    <n v="89"/>
    <n v="170"/>
    <n v="31"/>
    <n v="1"/>
    <x v="8"/>
    <x v="1"/>
    <x v="1"/>
    <x v="0"/>
    <s v="0–2"/>
  </r>
  <r>
    <x v="29"/>
    <x v="7"/>
    <n v="8"/>
    <n v="2"/>
    <n v="1"/>
    <n v="361"/>
    <n v="52"/>
    <n v="3"/>
    <n v="28"/>
    <n v="205917"/>
    <n v="92"/>
    <n v="0"/>
    <n v="1"/>
    <n v="1"/>
    <n v="1"/>
    <n v="0"/>
    <n v="4"/>
    <n v="80"/>
    <n v="172"/>
    <n v="27"/>
    <n v="40"/>
    <x v="8"/>
    <x v="3"/>
    <x v="1"/>
    <x v="1"/>
    <s v="17+"/>
  </r>
  <r>
    <x v="18"/>
    <x v="5"/>
    <n v="8"/>
    <n v="6"/>
    <n v="1"/>
    <n v="260"/>
    <n v="50"/>
    <n v="11"/>
    <n v="36"/>
    <n v="205917"/>
    <n v="92"/>
    <n v="0"/>
    <n v="1"/>
    <n v="4"/>
    <n v="1"/>
    <n v="0"/>
    <n v="0"/>
    <n v="65"/>
    <n v="168"/>
    <n v="23"/>
    <n v="4"/>
    <x v="8"/>
    <x v="1"/>
    <x v="1"/>
    <x v="2"/>
    <s v="3–8"/>
  </r>
  <r>
    <x v="8"/>
    <x v="4"/>
    <n v="8"/>
    <n v="2"/>
    <n v="1"/>
    <n v="289"/>
    <n v="36"/>
    <n v="13"/>
    <n v="33"/>
    <n v="205917"/>
    <n v="92"/>
    <n v="0"/>
    <n v="1"/>
    <n v="2"/>
    <n v="1"/>
    <n v="0"/>
    <n v="1"/>
    <n v="90"/>
    <n v="172"/>
    <m/>
    <n v="8"/>
    <x v="8"/>
    <x v="1"/>
    <x v="1"/>
    <x v="3"/>
    <s v="3–8"/>
  </r>
  <r>
    <x v="29"/>
    <x v="12"/>
    <n v="8"/>
    <n v="2"/>
    <n v="1"/>
    <n v="361"/>
    <n v="52"/>
    <n v="3"/>
    <n v="28"/>
    <n v="205917"/>
    <n v="92"/>
    <n v="0"/>
    <n v="1"/>
    <n v="1"/>
    <n v="1"/>
    <n v="0"/>
    <n v="4"/>
    <n v="80"/>
    <n v="172"/>
    <n v="27"/>
    <n v="7"/>
    <x v="8"/>
    <x v="3"/>
    <x v="1"/>
    <x v="1"/>
    <s v="3–8"/>
  </r>
  <r>
    <x v="8"/>
    <x v="1"/>
    <n v="8"/>
    <n v="3"/>
    <n v="1"/>
    <n v="289"/>
    <n v="36"/>
    <n v="13"/>
    <n v="33"/>
    <n v="205917"/>
    <n v="92"/>
    <n v="0"/>
    <n v="1"/>
    <n v="2"/>
    <n v="1"/>
    <n v="0"/>
    <n v="1"/>
    <n v="90"/>
    <n v="172"/>
    <n v="30"/>
    <n v="1"/>
    <x v="8"/>
    <x v="1"/>
    <x v="1"/>
    <x v="0"/>
    <s v="0–2"/>
  </r>
  <r>
    <x v="21"/>
    <x v="5"/>
    <n v="8"/>
    <n v="4"/>
    <n v="1"/>
    <n v="157"/>
    <n v="27"/>
    <n v="6"/>
    <n v="29"/>
    <n v="205917"/>
    <n v="92"/>
    <n v="0"/>
    <n v="1"/>
    <n v="0"/>
    <n v="1"/>
    <n v="1"/>
    <n v="0"/>
    <n v="75"/>
    <n v="185"/>
    <m/>
    <n v="4"/>
    <x v="8"/>
    <x v="3"/>
    <x v="1"/>
    <x v="3"/>
    <s v="3–8"/>
  </r>
  <r>
    <x v="8"/>
    <x v="4"/>
    <n v="8"/>
    <n v="4"/>
    <n v="1"/>
    <n v="289"/>
    <n v="36"/>
    <n v="13"/>
    <n v="33"/>
    <n v="205917"/>
    <n v="92"/>
    <n v="0"/>
    <n v="1"/>
    <n v="2"/>
    <n v="1"/>
    <n v="0"/>
    <n v="1"/>
    <n v="90"/>
    <n v="172"/>
    <n v="30"/>
    <n v="8"/>
    <x v="8"/>
    <x v="1"/>
    <x v="1"/>
    <x v="0"/>
    <s v="3–8"/>
  </r>
  <r>
    <x v="13"/>
    <x v="1"/>
    <n v="8"/>
    <n v="6"/>
    <n v="1"/>
    <n v="179"/>
    <n v="51"/>
    <n v="18"/>
    <n v="38"/>
    <n v="205917"/>
    <n v="92"/>
    <n v="0"/>
    <n v="1"/>
    <n v="0"/>
    <n v="1"/>
    <n v="0"/>
    <n v="0"/>
    <n v="89"/>
    <n v="170"/>
    <n v="31"/>
    <n v="2"/>
    <x v="8"/>
    <x v="1"/>
    <x v="1"/>
    <x v="0"/>
    <s v="0–2"/>
  </r>
  <r>
    <x v="13"/>
    <x v="4"/>
    <n v="8"/>
    <n v="2"/>
    <n v="1"/>
    <n v="179"/>
    <n v="51"/>
    <n v="18"/>
    <n v="38"/>
    <n v="205917"/>
    <n v="92"/>
    <n v="0"/>
    <n v="1"/>
    <n v="0"/>
    <n v="1"/>
    <n v="0"/>
    <n v="0"/>
    <n v="89"/>
    <n v="170"/>
    <n v="31"/>
    <n v="8"/>
    <x v="8"/>
    <x v="1"/>
    <x v="1"/>
    <x v="0"/>
    <s v="3–8"/>
  </r>
  <r>
    <x v="33"/>
    <x v="4"/>
    <n v="8"/>
    <n v="5"/>
    <n v="1"/>
    <n v="235"/>
    <n v="29"/>
    <n v="12"/>
    <n v="48"/>
    <n v="205917"/>
    <n v="92"/>
    <n v="0"/>
    <n v="1"/>
    <n v="1"/>
    <n v="0"/>
    <n v="1"/>
    <n v="5"/>
    <n v="88"/>
    <n v="163"/>
    <m/>
    <n v="8"/>
    <x v="8"/>
    <x v="0"/>
    <x v="1"/>
    <x v="3"/>
    <s v="3–8"/>
  </r>
  <r>
    <x v="9"/>
    <x v="1"/>
    <n v="8"/>
    <n v="5"/>
    <n v="1"/>
    <m/>
    <n v="11"/>
    <n v="14"/>
    <n v="37"/>
    <n v="205917"/>
    <n v="92"/>
    <n v="0"/>
    <n v="3"/>
    <n v="1"/>
    <n v="0"/>
    <n v="0"/>
    <n v="1"/>
    <n v="88"/>
    <n v="172"/>
    <n v="29"/>
    <n v="4"/>
    <x v="8"/>
    <x v="1"/>
    <x v="0"/>
    <x v="1"/>
    <s v="3–8"/>
  </r>
  <r>
    <x v="33"/>
    <x v="4"/>
    <n v="8"/>
    <n v="2"/>
    <n v="1"/>
    <n v="235"/>
    <n v="29"/>
    <n v="12"/>
    <n v="48"/>
    <n v="205917"/>
    <n v="92"/>
    <n v="0"/>
    <n v="1"/>
    <n v="1"/>
    <n v="0"/>
    <n v="1"/>
    <n v="5"/>
    <n v="88"/>
    <n v="163"/>
    <n v="33"/>
    <n v="8"/>
    <x v="8"/>
    <x v="0"/>
    <x v="1"/>
    <x v="0"/>
    <s v="3–8"/>
  </r>
  <r>
    <x v="13"/>
    <x v="1"/>
    <n v="8"/>
    <n v="2"/>
    <n v="1"/>
    <n v="179"/>
    <n v="51"/>
    <n v="18"/>
    <n v="38"/>
    <n v="205917"/>
    <n v="92"/>
    <n v="0"/>
    <n v="1"/>
    <n v="0"/>
    <n v="1"/>
    <n v="0"/>
    <n v="0"/>
    <n v="89"/>
    <n v="170"/>
    <n v="31"/>
    <n v="2"/>
    <x v="8"/>
    <x v="1"/>
    <x v="1"/>
    <x v="0"/>
    <s v="0–2"/>
  </r>
  <r>
    <x v="29"/>
    <x v="1"/>
    <n v="8"/>
    <n v="2"/>
    <n v="1"/>
    <n v="361"/>
    <n v="52"/>
    <n v="3"/>
    <n v="28"/>
    <n v="205917"/>
    <n v="92"/>
    <n v="0"/>
    <n v="1"/>
    <n v="1"/>
    <n v="1"/>
    <n v="0"/>
    <n v="4"/>
    <n v="80"/>
    <n v="172"/>
    <n v="27"/>
    <n v="1"/>
    <x v="8"/>
    <x v="3"/>
    <x v="1"/>
    <x v="1"/>
    <s v="0–2"/>
  </r>
  <r>
    <x v="8"/>
    <x v="26"/>
    <n v="8"/>
    <n v="3"/>
    <n v="1"/>
    <n v="289"/>
    <n v="36"/>
    <n v="13"/>
    <n v="33"/>
    <n v="205917"/>
    <n v="92"/>
    <n v="0"/>
    <n v="1"/>
    <n v="2"/>
    <n v="1"/>
    <n v="0"/>
    <n v="1"/>
    <n v="90"/>
    <n v="172"/>
    <n v="30"/>
    <n v="8"/>
    <x v="8"/>
    <x v="1"/>
    <x v="1"/>
    <x v="0"/>
    <s v="3–8"/>
  </r>
  <r>
    <x v="26"/>
    <x v="15"/>
    <n v="8"/>
    <n v="5"/>
    <n v="1"/>
    <n v="291"/>
    <n v="50"/>
    <n v="12"/>
    <n v="32"/>
    <n v="205917"/>
    <n v="92"/>
    <n v="0"/>
    <n v="1"/>
    <n v="0"/>
    <n v="1"/>
    <n v="0"/>
    <n v="0"/>
    <n v="65"/>
    <n v="169"/>
    <m/>
    <n v="4"/>
    <x v="8"/>
    <x v="1"/>
    <x v="1"/>
    <x v="3"/>
    <s v="3–8"/>
  </r>
  <r>
    <x v="33"/>
    <x v="5"/>
    <n v="8"/>
    <n v="6"/>
    <n v="1"/>
    <n v="235"/>
    <n v="29"/>
    <n v="12"/>
    <n v="48"/>
    <n v="205917"/>
    <n v="92"/>
    <n v="0"/>
    <n v="1"/>
    <n v="1"/>
    <n v="0"/>
    <n v="1"/>
    <n v="5"/>
    <n v="88"/>
    <n v="163"/>
    <n v="33"/>
    <n v="8"/>
    <x v="8"/>
    <x v="0"/>
    <x v="1"/>
    <x v="0"/>
    <s v="3–8"/>
  </r>
  <r>
    <x v="18"/>
    <x v="1"/>
    <n v="8"/>
    <n v="6"/>
    <n v="1"/>
    <n v="260"/>
    <n v="50"/>
    <n v="11"/>
    <n v="36"/>
    <n v="205917"/>
    <n v="92"/>
    <n v="0"/>
    <n v="1"/>
    <n v="4"/>
    <n v="1"/>
    <n v="0"/>
    <n v="0"/>
    <n v="65"/>
    <n v="168"/>
    <n v="23"/>
    <n v="4"/>
    <x v="8"/>
    <x v="1"/>
    <x v="1"/>
    <x v="2"/>
    <s v="3–8"/>
  </r>
  <r>
    <x v="8"/>
    <x v="2"/>
    <n v="8"/>
    <n v="6"/>
    <n v="1"/>
    <n v="289"/>
    <n v="36"/>
    <n v="13"/>
    <n v="33"/>
    <n v="265615"/>
    <n v="94"/>
    <n v="0"/>
    <n v="1"/>
    <n v="2"/>
    <n v="1"/>
    <n v="0"/>
    <n v="1"/>
    <n v="90"/>
    <n v="172"/>
    <n v="30"/>
    <n v="8"/>
    <x v="8"/>
    <x v="1"/>
    <x v="1"/>
    <x v="0"/>
    <s v="3–8"/>
  </r>
  <r>
    <x v="21"/>
    <x v="2"/>
    <n v="8"/>
    <n v="6"/>
    <n v="1"/>
    <n v="157"/>
    <n v="27"/>
    <n v="6"/>
    <n v="29"/>
    <n v="265615"/>
    <n v="94"/>
    <n v="0"/>
    <n v="1"/>
    <n v="0"/>
    <n v="1"/>
    <n v="1"/>
    <n v="0"/>
    <n v="75"/>
    <n v="185"/>
    <n v="22"/>
    <n v="3"/>
    <x v="8"/>
    <x v="3"/>
    <x v="1"/>
    <x v="2"/>
    <s v="3–8"/>
  </r>
  <r>
    <x v="8"/>
    <x v="1"/>
    <n v="8"/>
    <n v="2"/>
    <n v="1"/>
    <n v="289"/>
    <n v="36"/>
    <n v="13"/>
    <n v="33"/>
    <n v="265615"/>
    <n v="94"/>
    <n v="0"/>
    <n v="1"/>
    <n v="2"/>
    <n v="1"/>
    <n v="0"/>
    <n v="1"/>
    <n v="90"/>
    <n v="172"/>
    <n v="30"/>
    <n v="1"/>
    <x v="8"/>
    <x v="1"/>
    <x v="1"/>
    <x v="0"/>
    <s v="0–2"/>
  </r>
  <r>
    <x v="31"/>
    <x v="4"/>
    <n v="8"/>
    <n v="3"/>
    <n v="1"/>
    <n v="228"/>
    <n v="14"/>
    <n v="16"/>
    <n v="58"/>
    <n v="265615"/>
    <n v="94"/>
    <n v="0"/>
    <n v="1"/>
    <n v="2"/>
    <n v="0"/>
    <n v="0"/>
    <n v="1"/>
    <n v="65"/>
    <n v="172"/>
    <n v="22"/>
    <n v="8"/>
    <x v="8"/>
    <x v="2"/>
    <x v="0"/>
    <x v="2"/>
    <s v="3–8"/>
  </r>
  <r>
    <x v="34"/>
    <x v="7"/>
    <n v="8"/>
    <n v="5"/>
    <n v="1"/>
    <n v="300"/>
    <n v="26"/>
    <n v="13"/>
    <n v="43"/>
    <n v="265615"/>
    <n v="94"/>
    <n v="0"/>
    <n v="1"/>
    <n v="2"/>
    <n v="1"/>
    <n v="1"/>
    <n v="1"/>
    <n v="77"/>
    <n v="175"/>
    <n v="25"/>
    <n v="1"/>
    <x v="8"/>
    <x v="0"/>
    <x v="1"/>
    <x v="1"/>
    <s v="0–2"/>
  </r>
  <r>
    <x v="34"/>
    <x v="18"/>
    <n v="8"/>
    <n v="5"/>
    <n v="1"/>
    <n v="300"/>
    <n v="26"/>
    <n v="13"/>
    <n v="43"/>
    <n v="265615"/>
    <n v="94"/>
    <n v="0"/>
    <n v="1"/>
    <n v="2"/>
    <n v="1"/>
    <n v="1"/>
    <n v="1"/>
    <n v="77"/>
    <n v="175"/>
    <n v="25"/>
    <n v="2"/>
    <x v="8"/>
    <x v="0"/>
    <x v="1"/>
    <x v="1"/>
    <s v="0–2"/>
  </r>
  <r>
    <x v="18"/>
    <x v="5"/>
    <n v="8"/>
    <n v="6"/>
    <n v="1"/>
    <n v="260"/>
    <n v="50"/>
    <n v="11"/>
    <n v="36"/>
    <n v="265615"/>
    <n v="94"/>
    <n v="0"/>
    <n v="1"/>
    <n v="4"/>
    <n v="1"/>
    <n v="0"/>
    <n v="0"/>
    <n v="65"/>
    <n v="168"/>
    <n v="23"/>
    <n v="4"/>
    <x v="8"/>
    <x v="1"/>
    <x v="1"/>
    <x v="2"/>
    <s v="3–8"/>
  </r>
  <r>
    <x v="8"/>
    <x v="1"/>
    <n v="8"/>
    <n v="3"/>
    <n v="1"/>
    <n v="289"/>
    <n v="36"/>
    <n v="13"/>
    <n v="33"/>
    <n v="265615"/>
    <n v="94"/>
    <n v="0"/>
    <n v="1"/>
    <n v="2"/>
    <n v="1"/>
    <n v="0"/>
    <n v="1"/>
    <n v="90"/>
    <n v="172"/>
    <n v="30"/>
    <n v="4"/>
    <x v="8"/>
    <x v="1"/>
    <x v="1"/>
    <x v="0"/>
    <s v="3–8"/>
  </r>
  <r>
    <x v="22"/>
    <x v="1"/>
    <n v="8"/>
    <n v="4"/>
    <n v="1"/>
    <n v="248"/>
    <n v="25"/>
    <n v="14"/>
    <n v="47"/>
    <n v="265615"/>
    <n v="94"/>
    <n v="0"/>
    <n v="1"/>
    <n v="2"/>
    <n v="0"/>
    <n v="0"/>
    <n v="1"/>
    <n v="86"/>
    <n v="165"/>
    <n v="32"/>
    <n v="1"/>
    <x v="8"/>
    <x v="0"/>
    <x v="1"/>
    <x v="0"/>
    <s v="0–2"/>
  </r>
  <r>
    <x v="35"/>
    <x v="15"/>
    <n v="8"/>
    <n v="5"/>
    <n v="1"/>
    <n v="268"/>
    <n v="11"/>
    <n v="8"/>
    <n v="33"/>
    <n v="265615"/>
    <n v="94"/>
    <n v="0"/>
    <n v="2"/>
    <n v="0"/>
    <n v="0"/>
    <n v="0"/>
    <n v="0"/>
    <n v="79"/>
    <n v="178"/>
    <n v="25"/>
    <n v="8"/>
    <x v="8"/>
    <x v="1"/>
    <x v="0"/>
    <x v="1"/>
    <s v="3–8"/>
  </r>
  <r>
    <x v="7"/>
    <x v="1"/>
    <n v="8"/>
    <n v="5"/>
    <n v="1"/>
    <n v="179"/>
    <n v="26"/>
    <n v="9"/>
    <n v="30"/>
    <n v="265615"/>
    <n v="94"/>
    <n v="0"/>
    <n v="3"/>
    <n v="0"/>
    <n v="0"/>
    <n v="0"/>
    <n v="0"/>
    <n v="56"/>
    <n v="171"/>
    <n v="19"/>
    <n v="1"/>
    <x v="8"/>
    <x v="1"/>
    <x v="1"/>
    <x v="2"/>
    <s v="0–2"/>
  </r>
  <r>
    <x v="12"/>
    <x v="7"/>
    <n v="8"/>
    <n v="5"/>
    <n v="1"/>
    <n v="118"/>
    <n v="13"/>
    <n v="18"/>
    <n v="50"/>
    <n v="265615"/>
    <n v="94"/>
    <n v="0"/>
    <n v="1"/>
    <n v="1"/>
    <n v="1"/>
    <n v="0"/>
    <n v="0"/>
    <n v="98"/>
    <n v="178"/>
    <n v="31"/>
    <n v="3"/>
    <x v="8"/>
    <x v="2"/>
    <x v="0"/>
    <x v="0"/>
    <s v="3–8"/>
  </r>
  <r>
    <x v="22"/>
    <x v="12"/>
    <n v="8"/>
    <n v="2"/>
    <n v="1"/>
    <n v="248"/>
    <n v="25"/>
    <n v="14"/>
    <n v="47"/>
    <n v="265615"/>
    <n v="94"/>
    <n v="0"/>
    <n v="1"/>
    <n v="2"/>
    <n v="0"/>
    <n v="0"/>
    <n v="1"/>
    <n v="86"/>
    <n v="165"/>
    <n v="32"/>
    <n v="2"/>
    <x v="8"/>
    <x v="0"/>
    <x v="1"/>
    <x v="0"/>
    <s v="0–2"/>
  </r>
  <r>
    <x v="9"/>
    <x v="1"/>
    <n v="8"/>
    <n v="3"/>
    <n v="1"/>
    <n v="235"/>
    <n v="11"/>
    <n v="14"/>
    <n v="37"/>
    <n v="265615"/>
    <n v="94"/>
    <n v="0"/>
    <n v="3"/>
    <n v="1"/>
    <n v="0"/>
    <n v="0"/>
    <n v="1"/>
    <n v="88"/>
    <n v="172"/>
    <n v="29"/>
    <n v="1"/>
    <x v="8"/>
    <x v="1"/>
    <x v="0"/>
    <x v="1"/>
    <s v="0–2"/>
  </r>
  <r>
    <x v="12"/>
    <x v="1"/>
    <n v="8"/>
    <n v="5"/>
    <n v="1"/>
    <n v="118"/>
    <n v="13"/>
    <n v="18"/>
    <n v="50"/>
    <n v="265615"/>
    <n v="94"/>
    <n v="0"/>
    <n v="1"/>
    <n v="1"/>
    <n v="1"/>
    <n v="0"/>
    <n v="0"/>
    <n v="98"/>
    <n v="178"/>
    <n v="31"/>
    <n v="1"/>
    <x v="8"/>
    <x v="2"/>
    <x v="0"/>
    <x v="0"/>
    <s v="0–2"/>
  </r>
  <r>
    <x v="9"/>
    <x v="2"/>
    <n v="8"/>
    <n v="5"/>
    <n v="1"/>
    <n v="235"/>
    <n v="11"/>
    <n v="14"/>
    <n v="37"/>
    <n v="265615"/>
    <n v="94"/>
    <n v="0"/>
    <n v="3"/>
    <n v="1"/>
    <n v="0"/>
    <m/>
    <m/>
    <n v="88"/>
    <n v="172"/>
    <n v="29"/>
    <n v="8"/>
    <x v="8"/>
    <x v="1"/>
    <x v="0"/>
    <x v="1"/>
    <s v="3–8"/>
  </r>
  <r>
    <x v="29"/>
    <x v="20"/>
    <n v="8"/>
    <n v="3"/>
    <n v="1"/>
    <n v="361"/>
    <n v="52"/>
    <n v="3"/>
    <n v="28"/>
    <n v="265615"/>
    <n v="94"/>
    <m/>
    <m/>
    <n v="1"/>
    <n v="1"/>
    <n v="0"/>
    <n v="4"/>
    <n v="80"/>
    <m/>
    <n v="27"/>
    <n v="8"/>
    <x v="8"/>
    <x v="3"/>
    <x v="1"/>
    <x v="1"/>
    <s v="3–8"/>
  </r>
  <r>
    <x v="6"/>
    <x v="19"/>
    <n v="8"/>
    <n v="4"/>
    <n v="1"/>
    <n v="184"/>
    <n v="42"/>
    <n v="7"/>
    <n v="27"/>
    <n v="265615"/>
    <n v="94"/>
    <n v="0"/>
    <n v="1"/>
    <n v="0"/>
    <n v="0"/>
    <n v="0"/>
    <n v="0"/>
    <n v="58"/>
    <n v="167"/>
    <n v="21"/>
    <m/>
    <x v="8"/>
    <x v="3"/>
    <x v="1"/>
    <x v="2"/>
    <s v="0–2"/>
  </r>
  <r>
    <x v="13"/>
    <x v="12"/>
    <n v="8"/>
    <n v="5"/>
    <n v="1"/>
    <n v="179"/>
    <n v="51"/>
    <n v="18"/>
    <n v="38"/>
    <n v="249797"/>
    <n v="93"/>
    <n v="0"/>
    <n v="1"/>
    <n v="0"/>
    <n v="1"/>
    <n v="0"/>
    <n v="0"/>
    <n v="89"/>
    <n v="170"/>
    <n v="31"/>
    <n v="4"/>
    <x v="8"/>
    <x v="1"/>
    <x v="1"/>
    <x v="0"/>
    <s v="3–8"/>
  </r>
  <r>
    <x v="14"/>
    <x v="12"/>
    <n v="8"/>
    <n v="2"/>
    <n v="1"/>
    <n v="179"/>
    <n v="22"/>
    <n v="17"/>
    <n v="40"/>
    <n v="249797"/>
    <n v="93"/>
    <n v="0"/>
    <n v="2"/>
    <n v="2"/>
    <n v="0"/>
    <n v="1"/>
    <n v="0"/>
    <n v="63"/>
    <n v="170"/>
    <n v="22"/>
    <n v="1"/>
    <x v="8"/>
    <x v="0"/>
    <x v="1"/>
    <x v="2"/>
    <s v="0–2"/>
  </r>
  <r>
    <x v="16"/>
    <x v="5"/>
    <n v="8"/>
    <n v="3"/>
    <n v="1"/>
    <n v="246"/>
    <n v="25"/>
    <n v="16"/>
    <n v="41"/>
    <n v="249797"/>
    <n v="93"/>
    <n v="0"/>
    <n v="1"/>
    <n v="0"/>
    <n v="1"/>
    <n v="0"/>
    <n v="0"/>
    <n v="67"/>
    <n v="170"/>
    <n v="23"/>
    <n v="4"/>
    <x v="8"/>
    <x v="0"/>
    <x v="1"/>
    <x v="2"/>
    <s v="3–8"/>
  </r>
  <r>
    <x v="4"/>
    <x v="5"/>
    <n v="8"/>
    <n v="3"/>
    <n v="1"/>
    <n v="118"/>
    <n v="10"/>
    <n v="10"/>
    <n v="37"/>
    <n v="249797"/>
    <n v="93"/>
    <n v="0"/>
    <n v="1"/>
    <n v="0"/>
    <n v="0"/>
    <n v="0"/>
    <n v="0"/>
    <n v="83"/>
    <n v="172"/>
    <n v="28"/>
    <n v="4"/>
    <x v="8"/>
    <x v="1"/>
    <x v="2"/>
    <x v="1"/>
    <s v="3–8"/>
  </r>
  <r>
    <x v="8"/>
    <x v="8"/>
    <n v="8"/>
    <n v="3"/>
    <n v="1"/>
    <n v="289"/>
    <n v="36"/>
    <n v="13"/>
    <n v="33"/>
    <n v="249797"/>
    <n v="93"/>
    <n v="0"/>
    <n v="1"/>
    <n v="2"/>
    <n v="1"/>
    <n v="0"/>
    <n v="1"/>
    <n v="90"/>
    <n v="172"/>
    <n v="30"/>
    <n v="8"/>
    <x v="8"/>
    <x v="1"/>
    <x v="1"/>
    <x v="0"/>
    <s v="3–8"/>
  </r>
  <r>
    <x v="11"/>
    <x v="8"/>
    <n v="8"/>
    <n v="3"/>
    <n v="1"/>
    <n v="235"/>
    <n v="20"/>
    <n v="13"/>
    <n v="43"/>
    <n v="249797"/>
    <n v="93"/>
    <n v="0"/>
    <n v="1"/>
    <n v="1"/>
    <n v="1"/>
    <n v="0"/>
    <n v="0"/>
    <n v="106"/>
    <n v="167"/>
    <n v="38"/>
    <n v="8"/>
    <x v="8"/>
    <x v="0"/>
    <x v="0"/>
    <x v="0"/>
    <s v="3–8"/>
  </r>
  <r>
    <x v="10"/>
    <x v="5"/>
    <n v="8"/>
    <n v="5"/>
    <n v="1"/>
    <n v="291"/>
    <n v="31"/>
    <n v="12"/>
    <n v="40"/>
    <n v="249797"/>
    <n v="93"/>
    <n v="0"/>
    <n v="1"/>
    <n v="1"/>
    <n v="1"/>
    <n v="0"/>
    <n v="1"/>
    <n v="73"/>
    <n v="171"/>
    <n v="25"/>
    <n v="4"/>
    <x v="8"/>
    <x v="0"/>
    <x v="1"/>
    <x v="1"/>
    <s v="3–8"/>
  </r>
  <r>
    <x v="13"/>
    <x v="12"/>
    <n v="8"/>
    <n v="2"/>
    <n v="1"/>
    <n v="179"/>
    <n v="51"/>
    <n v="18"/>
    <n v="38"/>
    <n v="249797"/>
    <n v="93"/>
    <n v="0"/>
    <n v="1"/>
    <n v="0"/>
    <n v="1"/>
    <n v="0"/>
    <n v="0"/>
    <n v="89"/>
    <n v="170"/>
    <n v="31"/>
    <n v="4"/>
    <x v="8"/>
    <x v="1"/>
    <x v="1"/>
    <x v="0"/>
    <s v="3–8"/>
  </r>
  <r>
    <x v="14"/>
    <x v="12"/>
    <n v="8"/>
    <n v="3"/>
    <n v="1"/>
    <n v="179"/>
    <n v="22"/>
    <n v="17"/>
    <n v="40"/>
    <n v="249797"/>
    <n v="93"/>
    <n v="0"/>
    <n v="2"/>
    <n v="2"/>
    <n v="0"/>
    <n v="1"/>
    <n v="0"/>
    <n v="63"/>
    <n v="170"/>
    <n v="22"/>
    <n v="8"/>
    <x v="8"/>
    <x v="0"/>
    <x v="1"/>
    <x v="2"/>
    <s v="3–8"/>
  </r>
  <r>
    <x v="20"/>
    <x v="1"/>
    <n v="8"/>
    <n v="5"/>
    <n v="1"/>
    <n v="330"/>
    <n v="16"/>
    <n v="4"/>
    <n v="28"/>
    <n v="249797"/>
    <n v="93"/>
    <n v="0"/>
    <n v="2"/>
    <n v="0"/>
    <n v="0"/>
    <n v="0"/>
    <n v="0"/>
    <n v="84"/>
    <n v="182"/>
    <n v="25"/>
    <n v="16"/>
    <x v="8"/>
    <x v="3"/>
    <x v="0"/>
    <x v="1"/>
    <s v="9–16"/>
  </r>
  <r>
    <x v="9"/>
    <x v="1"/>
    <n v="8"/>
    <n v="3"/>
    <n v="1"/>
    <n v="235"/>
    <n v="11"/>
    <n v="14"/>
    <n v="37"/>
    <n v="249797"/>
    <n v="93"/>
    <n v="0"/>
    <n v="3"/>
    <n v="1"/>
    <n v="0"/>
    <n v="0"/>
    <n v="1"/>
    <n v="88"/>
    <n v="172"/>
    <n v="29"/>
    <n v="4"/>
    <x v="8"/>
    <x v="1"/>
    <x v="0"/>
    <x v="1"/>
    <s v="3–8"/>
  </r>
  <r>
    <x v="16"/>
    <x v="5"/>
    <n v="8"/>
    <n v="3"/>
    <n v="1"/>
    <n v="246"/>
    <n v="25"/>
    <n v="16"/>
    <n v="41"/>
    <n v="249797"/>
    <n v="93"/>
    <n v="0"/>
    <n v="1"/>
    <n v="0"/>
    <n v="1"/>
    <n v="0"/>
    <n v="0"/>
    <n v="67"/>
    <n v="170"/>
    <n v="23"/>
    <n v="1"/>
    <x v="8"/>
    <x v="0"/>
    <x v="1"/>
    <x v="2"/>
    <s v="0–2"/>
  </r>
  <r>
    <x v="4"/>
    <x v="5"/>
    <n v="8"/>
    <n v="3"/>
    <n v="1"/>
    <n v="118"/>
    <n v="10"/>
    <n v="10"/>
    <n v="37"/>
    <n v="249797"/>
    <n v="93"/>
    <n v="0"/>
    <n v="1"/>
    <n v="0"/>
    <n v="0"/>
    <n v="0"/>
    <n v="0"/>
    <n v="83"/>
    <n v="172"/>
    <n v="28"/>
    <n v="5"/>
    <x v="8"/>
    <x v="1"/>
    <x v="2"/>
    <x v="1"/>
    <s v="3–8"/>
  </r>
  <r>
    <x v="10"/>
    <x v="5"/>
    <n v="8"/>
    <n v="5"/>
    <n v="1"/>
    <n v="291"/>
    <n v="31"/>
    <n v="12"/>
    <n v="40"/>
    <n v="249797"/>
    <n v="93"/>
    <n v="0"/>
    <n v="1"/>
    <n v="1"/>
    <n v="1"/>
    <n v="0"/>
    <n v="1"/>
    <n v="73"/>
    <n v="171"/>
    <n v="25"/>
    <n v="2"/>
    <x v="8"/>
    <x v="0"/>
    <x v="1"/>
    <x v="1"/>
    <s v="0–2"/>
  </r>
  <r>
    <x v="18"/>
    <x v="5"/>
    <n v="8"/>
    <n v="2"/>
    <n v="1"/>
    <n v="260"/>
    <n v="50"/>
    <n v="11"/>
    <n v="36"/>
    <n v="249797"/>
    <n v="93"/>
    <n v="0"/>
    <n v="1"/>
    <n v="4"/>
    <n v="1"/>
    <n v="0"/>
    <n v="0"/>
    <n v="65"/>
    <n v="168"/>
    <n v="23"/>
    <n v="3"/>
    <x v="8"/>
    <x v="1"/>
    <x v="1"/>
    <x v="2"/>
    <s v="3–8"/>
  </r>
  <r>
    <x v="6"/>
    <x v="1"/>
    <n v="9"/>
    <n v="3"/>
    <n v="1"/>
    <n v="184"/>
    <n v="42"/>
    <n v="7"/>
    <n v="27"/>
    <n v="241476"/>
    <n v="92"/>
    <n v="0"/>
    <n v="1"/>
    <n v="0"/>
    <n v="0"/>
    <n v="0"/>
    <n v="0"/>
    <n v="58"/>
    <n v="167"/>
    <n v="21"/>
    <n v="2"/>
    <x v="9"/>
    <x v="3"/>
    <x v="1"/>
    <x v="2"/>
    <s v="0–2"/>
  </r>
  <r>
    <x v="4"/>
    <x v="1"/>
    <n v="9"/>
    <n v="2"/>
    <n v="1"/>
    <n v="118"/>
    <n v="10"/>
    <n v="10"/>
    <n v="37"/>
    <n v="241476"/>
    <n v="92"/>
    <n v="0"/>
    <n v="1"/>
    <n v="0"/>
    <n v="0"/>
    <n v="0"/>
    <n v="0"/>
    <n v="83"/>
    <n v="172"/>
    <m/>
    <n v="4"/>
    <x v="9"/>
    <x v="1"/>
    <x v="2"/>
    <x v="3"/>
    <s v="3–8"/>
  </r>
  <r>
    <x v="13"/>
    <x v="1"/>
    <n v="9"/>
    <n v="3"/>
    <n v="1"/>
    <n v="179"/>
    <n v="51"/>
    <n v="18"/>
    <n v="38"/>
    <n v="241476"/>
    <n v="92"/>
    <n v="0"/>
    <n v="1"/>
    <n v="0"/>
    <n v="1"/>
    <n v="0"/>
    <n v="0"/>
    <n v="89"/>
    <n v="170"/>
    <m/>
    <n v="4"/>
    <x v="9"/>
    <x v="1"/>
    <x v="1"/>
    <x v="3"/>
    <s v="3–8"/>
  </r>
  <r>
    <x v="11"/>
    <x v="2"/>
    <n v="9"/>
    <n v="3"/>
    <n v="1"/>
    <n v="235"/>
    <n v="20"/>
    <n v="13"/>
    <n v="43"/>
    <n v="241476"/>
    <n v="92"/>
    <n v="0"/>
    <n v="1"/>
    <n v="1"/>
    <n v="1"/>
    <n v="0"/>
    <n v="0"/>
    <n v="106"/>
    <n v="167"/>
    <n v="38"/>
    <n v="8"/>
    <x v="9"/>
    <x v="0"/>
    <x v="0"/>
    <x v="0"/>
    <s v="3–8"/>
  </r>
  <r>
    <x v="5"/>
    <x v="1"/>
    <n v="9"/>
    <n v="4"/>
    <n v="1"/>
    <n v="155"/>
    <n v="12"/>
    <n v="14"/>
    <n v="34"/>
    <n v="241476"/>
    <n v="92"/>
    <n v="0"/>
    <n v="1"/>
    <n v="2"/>
    <n v="1"/>
    <n v="0"/>
    <n v="0"/>
    <n v="95"/>
    <n v="196"/>
    <n v="25"/>
    <n v="2"/>
    <x v="9"/>
    <x v="1"/>
    <x v="0"/>
    <x v="1"/>
    <s v="0–2"/>
  </r>
  <r>
    <x v="4"/>
    <x v="1"/>
    <n v="9"/>
    <n v="2"/>
    <n v="1"/>
    <n v="118"/>
    <m/>
    <n v="10"/>
    <n v="37"/>
    <n v="241476"/>
    <n v="92"/>
    <n v="0"/>
    <n v="1"/>
    <n v="0"/>
    <n v="0"/>
    <n v="0"/>
    <n v="0"/>
    <n v="83"/>
    <n v="172"/>
    <n v="28"/>
    <n v="3"/>
    <x v="9"/>
    <x v="1"/>
    <x v="3"/>
    <x v="1"/>
    <s v="3–8"/>
  </r>
  <r>
    <x v="13"/>
    <x v="1"/>
    <n v="9"/>
    <n v="3"/>
    <n v="1"/>
    <n v="179"/>
    <n v="51"/>
    <n v="18"/>
    <n v="38"/>
    <n v="241476"/>
    <n v="92"/>
    <n v="0"/>
    <n v="1"/>
    <n v="0"/>
    <n v="1"/>
    <n v="0"/>
    <n v="0"/>
    <n v="89"/>
    <n v="170"/>
    <n v="31"/>
    <n v="3"/>
    <x v="9"/>
    <x v="1"/>
    <x v="1"/>
    <x v="0"/>
    <s v="3–8"/>
  </r>
  <r>
    <x v="10"/>
    <x v="1"/>
    <n v="9"/>
    <n v="5"/>
    <n v="1"/>
    <n v="291"/>
    <n v="31"/>
    <n v="12"/>
    <n v="40"/>
    <n v="241476"/>
    <n v="92"/>
    <n v="0"/>
    <n v="1"/>
    <n v="1"/>
    <n v="1"/>
    <n v="0"/>
    <n v="1"/>
    <n v="73"/>
    <n v="171"/>
    <n v="25"/>
    <n v="4"/>
    <x v="9"/>
    <x v="0"/>
    <x v="1"/>
    <x v="1"/>
    <s v="3–8"/>
  </r>
  <r>
    <x v="18"/>
    <x v="6"/>
    <n v="9"/>
    <n v="6"/>
    <n v="1"/>
    <n v="260"/>
    <n v="50"/>
    <n v="11"/>
    <n v="36"/>
    <n v="241476"/>
    <n v="92"/>
    <n v="0"/>
    <n v="1"/>
    <n v="4"/>
    <n v="1"/>
    <n v="0"/>
    <n v="0"/>
    <n v="65"/>
    <n v="168"/>
    <n v="23"/>
    <m/>
    <x v="9"/>
    <x v="1"/>
    <x v="1"/>
    <x v="2"/>
    <s v="0–2"/>
  </r>
  <r>
    <x v="10"/>
    <x v="18"/>
    <n v="9"/>
    <n v="2"/>
    <n v="4"/>
    <m/>
    <n v="31"/>
    <n v="12"/>
    <n v="40"/>
    <n v="241476"/>
    <n v="92"/>
    <n v="0"/>
    <n v="1"/>
    <n v="1"/>
    <n v="1"/>
    <n v="0"/>
    <n v="1"/>
    <n v="73"/>
    <n v="171"/>
    <n v="25"/>
    <n v="32"/>
    <x v="9"/>
    <x v="0"/>
    <x v="1"/>
    <x v="1"/>
    <s v="17+"/>
  </r>
  <r>
    <x v="18"/>
    <x v="0"/>
    <n v="9"/>
    <n v="2"/>
    <n v="4"/>
    <m/>
    <n v="50"/>
    <n v="11"/>
    <n v="36"/>
    <n v="241476"/>
    <n v="92"/>
    <m/>
    <n v="1"/>
    <n v="4"/>
    <n v="1"/>
    <n v="0"/>
    <n v="0"/>
    <n v="65"/>
    <n v="168"/>
    <n v="23"/>
    <m/>
    <x v="9"/>
    <x v="1"/>
    <x v="1"/>
    <x v="2"/>
    <s v="0–2"/>
  </r>
  <r>
    <x v="23"/>
    <x v="0"/>
    <n v="9"/>
    <n v="2"/>
    <n v="4"/>
    <n v="225"/>
    <n v="26"/>
    <n v="9"/>
    <n v="28"/>
    <n v="241476"/>
    <n v="92"/>
    <n v="1"/>
    <n v="1"/>
    <n v="1"/>
    <n v="0"/>
    <n v="0"/>
    <n v="2"/>
    <n v="69"/>
    <n v="169"/>
    <n v="24"/>
    <n v="0"/>
    <x v="9"/>
    <x v="3"/>
    <x v="1"/>
    <x v="2"/>
    <s v="0–2"/>
  </r>
  <r>
    <x v="3"/>
    <x v="1"/>
    <n v="9"/>
    <n v="3"/>
    <n v="4"/>
    <n v="225"/>
    <n v="26"/>
    <n v="9"/>
    <n v="28"/>
    <n v="241476"/>
    <n v="92"/>
    <n v="0"/>
    <n v="1"/>
    <n v="1"/>
    <n v="0"/>
    <n v="0"/>
    <n v="2"/>
    <n v="69"/>
    <n v="169"/>
    <m/>
    <n v="2"/>
    <x v="9"/>
    <x v="3"/>
    <x v="1"/>
    <x v="3"/>
    <s v="0–2"/>
  </r>
  <r>
    <x v="4"/>
    <x v="1"/>
    <n v="9"/>
    <n v="3"/>
    <n v="4"/>
    <n v="118"/>
    <n v="10"/>
    <n v="10"/>
    <n v="37"/>
    <n v="241476"/>
    <n v="92"/>
    <n v="0"/>
    <n v="1"/>
    <n v="0"/>
    <n v="0"/>
    <n v="0"/>
    <n v="0"/>
    <n v="83"/>
    <n v="172"/>
    <m/>
    <n v="2"/>
    <x v="9"/>
    <x v="1"/>
    <x v="2"/>
    <x v="3"/>
    <s v="0–2"/>
  </r>
  <r>
    <x v="8"/>
    <x v="0"/>
    <n v="9"/>
    <n v="3"/>
    <n v="4"/>
    <n v="289"/>
    <n v="36"/>
    <n v="13"/>
    <n v="33"/>
    <n v="241476"/>
    <n v="92"/>
    <n v="1"/>
    <n v="1"/>
    <n v="2"/>
    <n v="1"/>
    <n v="0"/>
    <n v="1"/>
    <n v="90"/>
    <n v="172"/>
    <n v="30"/>
    <n v="0"/>
    <x v="9"/>
    <x v="1"/>
    <x v="1"/>
    <x v="0"/>
    <s v="0–2"/>
  </r>
  <r>
    <x v="12"/>
    <x v="0"/>
    <n v="9"/>
    <n v="3"/>
    <n v="4"/>
    <n v="118"/>
    <n v="13"/>
    <n v="18"/>
    <n v="50"/>
    <m/>
    <n v="92"/>
    <n v="1"/>
    <n v="1"/>
    <n v="1"/>
    <n v="1"/>
    <n v="0"/>
    <n v="0"/>
    <n v="98"/>
    <n v="178"/>
    <n v="31"/>
    <m/>
    <x v="9"/>
    <x v="2"/>
    <x v="0"/>
    <x v="0"/>
    <s v="0–2"/>
  </r>
  <r>
    <x v="3"/>
    <x v="4"/>
    <n v="9"/>
    <n v="4"/>
    <n v="4"/>
    <n v="225"/>
    <n v="26"/>
    <n v="9"/>
    <n v="28"/>
    <n v="241476"/>
    <n v="92"/>
    <n v="0"/>
    <n v="1"/>
    <n v="1"/>
    <n v="0"/>
    <n v="0"/>
    <n v="2"/>
    <n v="69"/>
    <n v="169"/>
    <m/>
    <n v="3"/>
    <x v="9"/>
    <x v="3"/>
    <x v="1"/>
    <x v="3"/>
    <s v="3–8"/>
  </r>
  <r>
    <x v="13"/>
    <x v="1"/>
    <n v="9"/>
    <n v="4"/>
    <n v="4"/>
    <n v="179"/>
    <n v="51"/>
    <n v="18"/>
    <n v="38"/>
    <n v="241476"/>
    <n v="92"/>
    <n v="0"/>
    <n v="1"/>
    <n v="0"/>
    <n v="1"/>
    <n v="0"/>
    <n v="0"/>
    <n v="89"/>
    <n v="170"/>
    <m/>
    <n v="3"/>
    <x v="9"/>
    <x v="1"/>
    <x v="1"/>
    <x v="3"/>
    <s v="3–8"/>
  </r>
  <r>
    <x v="30"/>
    <x v="0"/>
    <n v="9"/>
    <n v="4"/>
    <n v="4"/>
    <n v="369"/>
    <n v="17"/>
    <n v="12"/>
    <n v="31"/>
    <n v="241476"/>
    <n v="92"/>
    <n v="1"/>
    <n v="1"/>
    <n v="3"/>
    <n v="1"/>
    <n v="0"/>
    <n v="0"/>
    <n v="70"/>
    <n v="169"/>
    <m/>
    <n v="0"/>
    <x v="9"/>
    <x v="1"/>
    <x v="0"/>
    <x v="3"/>
    <s v="0–2"/>
  </r>
  <r>
    <x v="22"/>
    <x v="1"/>
    <n v="9"/>
    <n v="6"/>
    <n v="4"/>
    <n v="248"/>
    <n v="25"/>
    <n v="14"/>
    <n v="47"/>
    <n v="241476"/>
    <n v="92"/>
    <n v="0"/>
    <n v="1"/>
    <n v="2"/>
    <n v="0"/>
    <n v="0"/>
    <n v="1"/>
    <n v="86"/>
    <n v="165"/>
    <n v="32"/>
    <n v="1"/>
    <x v="9"/>
    <x v="0"/>
    <x v="1"/>
    <x v="0"/>
    <s v="0–2"/>
  </r>
  <r>
    <x v="13"/>
    <x v="1"/>
    <n v="9"/>
    <n v="6"/>
    <n v="4"/>
    <n v="179"/>
    <n v="51"/>
    <n v="18"/>
    <n v="38"/>
    <n v="241476"/>
    <n v="92"/>
    <n v="0"/>
    <n v="1"/>
    <n v="0"/>
    <n v="1"/>
    <n v="0"/>
    <n v="0"/>
    <n v="89"/>
    <n v="170"/>
    <n v="31"/>
    <n v="3"/>
    <x v="9"/>
    <x v="1"/>
    <x v="1"/>
    <x v="0"/>
    <s v="3–8"/>
  </r>
  <r>
    <x v="18"/>
    <x v="1"/>
    <n v="9"/>
    <n v="6"/>
    <n v="4"/>
    <n v="260"/>
    <n v="50"/>
    <n v="11"/>
    <n v="36"/>
    <n v="241476"/>
    <n v="92"/>
    <n v="0"/>
    <n v="1"/>
    <n v="4"/>
    <n v="1"/>
    <n v="0"/>
    <n v="0"/>
    <n v="65"/>
    <n v="168"/>
    <n v="23"/>
    <n v="4"/>
    <x v="9"/>
    <x v="1"/>
    <x v="1"/>
    <x v="2"/>
    <s v="3–8"/>
  </r>
  <r>
    <x v="13"/>
    <x v="15"/>
    <n v="9"/>
    <n v="2"/>
    <n v="1"/>
    <n v="179"/>
    <n v="51"/>
    <n v="18"/>
    <n v="38"/>
    <n v="294217"/>
    <n v="81"/>
    <n v="0"/>
    <n v="1"/>
    <n v="0"/>
    <n v="1"/>
    <n v="0"/>
    <n v="0"/>
    <n v="89"/>
    <n v="170"/>
    <n v="31"/>
    <n v="8"/>
    <x v="9"/>
    <x v="1"/>
    <x v="1"/>
    <x v="0"/>
    <s v="3–8"/>
  </r>
  <r>
    <x v="13"/>
    <x v="1"/>
    <n v="9"/>
    <n v="6"/>
    <n v="1"/>
    <n v="179"/>
    <n v="51"/>
    <n v="18"/>
    <n v="38"/>
    <n v="294217"/>
    <n v="81"/>
    <n v="0"/>
    <n v="1"/>
    <n v="0"/>
    <n v="1"/>
    <n v="0"/>
    <n v="0"/>
    <n v="89"/>
    <n v="170"/>
    <n v="31"/>
    <n v="3"/>
    <x v="9"/>
    <x v="1"/>
    <x v="1"/>
    <x v="0"/>
    <s v="3–8"/>
  </r>
  <r>
    <x v="8"/>
    <x v="2"/>
    <n v="9"/>
    <n v="4"/>
    <n v="1"/>
    <n v="289"/>
    <n v="36"/>
    <n v="13"/>
    <n v="33"/>
    <n v="294217"/>
    <n v="81"/>
    <n v="0"/>
    <n v="1"/>
    <n v="2"/>
    <n v="1"/>
    <m/>
    <n v="1"/>
    <n v="90"/>
    <m/>
    <m/>
    <n v="24"/>
    <x v="9"/>
    <x v="1"/>
    <x v="1"/>
    <x v="3"/>
    <s v="17+"/>
  </r>
  <r>
    <x v="11"/>
    <x v="0"/>
    <n v="9"/>
    <n v="5"/>
    <n v="1"/>
    <n v="235"/>
    <n v="20"/>
    <n v="13"/>
    <n v="43"/>
    <n v="294217"/>
    <n v="81"/>
    <n v="1"/>
    <n v="1"/>
    <n v="1"/>
    <n v="1"/>
    <n v="0"/>
    <n v="0"/>
    <n v="106"/>
    <m/>
    <m/>
    <n v="0"/>
    <x v="9"/>
    <x v="0"/>
    <x v="0"/>
    <x v="3"/>
    <s v="0–2"/>
  </r>
  <r>
    <x v="16"/>
    <x v="25"/>
    <n v="9"/>
    <n v="2"/>
    <n v="1"/>
    <n v="246"/>
    <n v="25"/>
    <n v="16"/>
    <n v="41"/>
    <n v="294217"/>
    <n v="81"/>
    <n v="0"/>
    <m/>
    <n v="0"/>
    <n v="1"/>
    <n v="0"/>
    <n v="0"/>
    <n v="67"/>
    <n v="170"/>
    <n v="23"/>
    <n v="16"/>
    <x v="9"/>
    <x v="0"/>
    <x v="1"/>
    <x v="2"/>
    <s v="9–16"/>
  </r>
  <r>
    <x v="10"/>
    <x v="5"/>
    <n v="9"/>
    <n v="3"/>
    <n v="1"/>
    <n v="291"/>
    <n v="31"/>
    <n v="12"/>
    <n v="40"/>
    <n v="294217"/>
    <n v="81"/>
    <n v="0"/>
    <n v="1"/>
    <n v="1"/>
    <n v="1"/>
    <m/>
    <n v="1"/>
    <n v="73"/>
    <n v="171"/>
    <n v="25"/>
    <n v="3"/>
    <x v="9"/>
    <x v="0"/>
    <x v="1"/>
    <x v="1"/>
    <s v="3–8"/>
  </r>
  <r>
    <x v="1"/>
    <x v="0"/>
    <n v="9"/>
    <n v="3"/>
    <n v="1"/>
    <n v="231"/>
    <n v="35"/>
    <n v="14"/>
    <n v="39"/>
    <n v="294217"/>
    <n v="81"/>
    <n v="1"/>
    <n v="1"/>
    <n v="2"/>
    <n v="1"/>
    <n v="0"/>
    <n v="2"/>
    <n v="100"/>
    <n v="170"/>
    <n v="35"/>
    <n v="0"/>
    <x v="9"/>
    <x v="1"/>
    <x v="1"/>
    <x v="0"/>
    <s v="0–2"/>
  </r>
  <r>
    <x v="26"/>
    <x v="0"/>
    <n v="9"/>
    <n v="3"/>
    <n v="1"/>
    <n v="291"/>
    <n v="50"/>
    <n v="12"/>
    <n v="32"/>
    <n v="294217"/>
    <n v="81"/>
    <n v="1"/>
    <n v="1"/>
    <n v="0"/>
    <n v="1"/>
    <n v="0"/>
    <n v="0"/>
    <n v="65"/>
    <n v="169"/>
    <n v="23"/>
    <n v="0"/>
    <x v="9"/>
    <x v="1"/>
    <x v="1"/>
    <x v="2"/>
    <s v="0–2"/>
  </r>
  <r>
    <x v="13"/>
    <x v="7"/>
    <n v="9"/>
    <n v="4"/>
    <n v="1"/>
    <n v="179"/>
    <n v="51"/>
    <n v="18"/>
    <n v="38"/>
    <n v="294217"/>
    <n v="81"/>
    <n v="0"/>
    <n v="1"/>
    <n v="0"/>
    <n v="1"/>
    <n v="0"/>
    <n v="0"/>
    <n v="89"/>
    <n v="170"/>
    <n v="31"/>
    <n v="8"/>
    <x v="9"/>
    <x v="1"/>
    <x v="1"/>
    <x v="0"/>
    <s v="3–8"/>
  </r>
  <r>
    <x v="16"/>
    <x v="25"/>
    <n v="9"/>
    <n v="4"/>
    <n v="1"/>
    <n v="246"/>
    <n v="25"/>
    <n v="16"/>
    <n v="41"/>
    <n v="294217"/>
    <n v="81"/>
    <n v="0"/>
    <n v="1"/>
    <n v="0"/>
    <n v="1"/>
    <n v="0"/>
    <n v="0"/>
    <n v="67"/>
    <n v="170"/>
    <n v="23"/>
    <n v="32"/>
    <x v="9"/>
    <x v="0"/>
    <x v="1"/>
    <x v="2"/>
    <s v="17+"/>
  </r>
  <r>
    <x v="13"/>
    <x v="1"/>
    <n v="9"/>
    <n v="5"/>
    <n v="1"/>
    <n v="179"/>
    <n v="51"/>
    <n v="18"/>
    <n v="38"/>
    <n v="294217"/>
    <n v="81"/>
    <n v="0"/>
    <n v="1"/>
    <n v="0"/>
    <n v="1"/>
    <n v="0"/>
    <n v="0"/>
    <n v="89"/>
    <n v="170"/>
    <n v="31"/>
    <n v="1"/>
    <x v="9"/>
    <x v="1"/>
    <x v="1"/>
    <x v="0"/>
    <s v="0–2"/>
  </r>
  <r>
    <x v="10"/>
    <x v="5"/>
    <n v="9"/>
    <n v="6"/>
    <n v="1"/>
    <n v="291"/>
    <n v="31"/>
    <n v="12"/>
    <n v="40"/>
    <n v="294217"/>
    <n v="81"/>
    <n v="0"/>
    <n v="1"/>
    <n v="1"/>
    <n v="1"/>
    <n v="0"/>
    <n v="1"/>
    <n v="73"/>
    <n v="171"/>
    <n v="25"/>
    <n v="4"/>
    <x v="9"/>
    <x v="0"/>
    <x v="1"/>
    <x v="1"/>
    <s v="3–8"/>
  </r>
  <r>
    <x v="18"/>
    <x v="5"/>
    <n v="9"/>
    <n v="6"/>
    <n v="1"/>
    <n v="260"/>
    <n v="50"/>
    <n v="11"/>
    <n v="36"/>
    <n v="294217"/>
    <n v="81"/>
    <n v="0"/>
    <n v="1"/>
    <n v="4"/>
    <n v="1"/>
    <n v="0"/>
    <n v="0"/>
    <n v="65"/>
    <n v="168"/>
    <n v="23"/>
    <n v="4"/>
    <x v="9"/>
    <x v="1"/>
    <x v="1"/>
    <x v="2"/>
    <s v="3–8"/>
  </r>
  <r>
    <x v="11"/>
    <x v="8"/>
    <n v="9"/>
    <n v="4"/>
    <n v="4"/>
    <n v="235"/>
    <n v="20"/>
    <n v="13"/>
    <n v="43"/>
    <n v="294217"/>
    <n v="81"/>
    <n v="0"/>
    <n v="1"/>
    <n v="1"/>
    <n v="1"/>
    <n v="0"/>
    <n v="0"/>
    <n v="106"/>
    <n v="167"/>
    <n v="38"/>
    <n v="8"/>
    <x v="9"/>
    <x v="0"/>
    <x v="0"/>
    <x v="0"/>
    <s v="3–8"/>
  </r>
  <r>
    <x v="12"/>
    <x v="5"/>
    <n v="9"/>
    <n v="5"/>
    <n v="4"/>
    <n v="118"/>
    <n v="13"/>
    <n v="18"/>
    <n v="50"/>
    <n v="294217"/>
    <n v="81"/>
    <n v="0"/>
    <n v="1"/>
    <n v="1"/>
    <n v="1"/>
    <n v="0"/>
    <n v="0"/>
    <n v="98"/>
    <n v="178"/>
    <n v="31"/>
    <n v="1"/>
    <x v="9"/>
    <x v="2"/>
    <x v="0"/>
    <x v="0"/>
    <s v="0–2"/>
  </r>
  <r>
    <x v="11"/>
    <x v="0"/>
    <n v="9"/>
    <n v="5"/>
    <n v="4"/>
    <n v="235"/>
    <n v="20"/>
    <n v="13"/>
    <n v="43"/>
    <n v="294217"/>
    <n v="81"/>
    <n v="1"/>
    <n v="1"/>
    <n v="1"/>
    <n v="1"/>
    <n v="0"/>
    <n v="0"/>
    <n v="106"/>
    <n v="167"/>
    <n v="38"/>
    <n v="0"/>
    <x v="9"/>
    <x v="0"/>
    <x v="0"/>
    <x v="0"/>
    <s v="0–2"/>
  </r>
  <r>
    <x v="10"/>
    <x v="5"/>
    <n v="9"/>
    <n v="6"/>
    <n v="4"/>
    <n v="291"/>
    <n v="31"/>
    <n v="12"/>
    <n v="40"/>
    <n v="294217"/>
    <n v="81"/>
    <n v="0"/>
    <n v="1"/>
    <n v="1"/>
    <n v="1"/>
    <n v="0"/>
    <n v="1"/>
    <n v="73"/>
    <n v="171"/>
    <n v="25"/>
    <n v="3"/>
    <x v="9"/>
    <x v="0"/>
    <x v="1"/>
    <x v="1"/>
    <s v="3–8"/>
  </r>
  <r>
    <x v="10"/>
    <x v="16"/>
    <n v="9"/>
    <n v="2"/>
    <n v="4"/>
    <n v="291"/>
    <n v="31"/>
    <n v="12"/>
    <n v="40"/>
    <n v="294217"/>
    <n v="81"/>
    <n v="0"/>
    <n v="1"/>
    <n v="1"/>
    <n v="1"/>
    <n v="0"/>
    <n v="1"/>
    <n v="73"/>
    <n v="171"/>
    <n v="25"/>
    <n v="40"/>
    <x v="9"/>
    <x v="0"/>
    <x v="1"/>
    <x v="1"/>
    <s v="17+"/>
  </r>
  <r>
    <x v="13"/>
    <x v="7"/>
    <n v="9"/>
    <n v="2"/>
    <n v="4"/>
    <n v="179"/>
    <n v="51"/>
    <n v="18"/>
    <n v="38"/>
    <n v="294217"/>
    <n v="81"/>
    <n v="0"/>
    <n v="1"/>
    <n v="0"/>
    <n v="1"/>
    <n v="0"/>
    <n v="0"/>
    <n v="89"/>
    <n v="170"/>
    <n v="31"/>
    <n v="8"/>
    <x v="9"/>
    <x v="1"/>
    <x v="1"/>
    <x v="0"/>
    <s v="3–8"/>
  </r>
  <r>
    <x v="16"/>
    <x v="5"/>
    <n v="9"/>
    <n v="3"/>
    <n v="1"/>
    <n v="246"/>
    <n v="25"/>
    <n v="16"/>
    <n v="41"/>
    <n v="261756"/>
    <n v="87"/>
    <n v="0"/>
    <n v="1"/>
    <n v="0"/>
    <n v="1"/>
    <n v="0"/>
    <n v="0"/>
    <n v="67"/>
    <n v="170"/>
    <n v="23"/>
    <n v="1"/>
    <x v="9"/>
    <x v="0"/>
    <x v="1"/>
    <x v="2"/>
    <s v="0–2"/>
  </r>
  <r>
    <x v="16"/>
    <x v="5"/>
    <n v="9"/>
    <n v="3"/>
    <n v="1"/>
    <n v="246"/>
    <n v="25"/>
    <n v="16"/>
    <n v="41"/>
    <n v="261756"/>
    <n v="87"/>
    <n v="0"/>
    <n v="1"/>
    <n v="0"/>
    <n v="1"/>
    <n v="0"/>
    <n v="0"/>
    <n v="67"/>
    <n v="170"/>
    <n v="23"/>
    <n v="1"/>
    <x v="9"/>
    <x v="0"/>
    <x v="1"/>
    <x v="2"/>
    <s v="0–2"/>
  </r>
  <r>
    <x v="4"/>
    <x v="5"/>
    <n v="9"/>
    <n v="3"/>
    <n v="1"/>
    <n v="118"/>
    <n v="10"/>
    <n v="10"/>
    <n v="37"/>
    <n v="261756"/>
    <n v="87"/>
    <n v="0"/>
    <n v="1"/>
    <n v="0"/>
    <n v="0"/>
    <n v="0"/>
    <n v="0"/>
    <n v="83"/>
    <n v="172"/>
    <n v="28"/>
    <n v="3"/>
    <x v="9"/>
    <x v="1"/>
    <x v="2"/>
    <x v="1"/>
    <s v="3–8"/>
  </r>
  <r>
    <x v="5"/>
    <x v="1"/>
    <n v="9"/>
    <n v="3"/>
    <n v="1"/>
    <n v="155"/>
    <n v="12"/>
    <n v="14"/>
    <n v="34"/>
    <n v="261756"/>
    <n v="87"/>
    <n v="0"/>
    <n v="1"/>
    <n v="2"/>
    <n v="1"/>
    <n v="0"/>
    <n v="0"/>
    <n v="95"/>
    <n v="196"/>
    <n v="25"/>
    <n v="2"/>
    <x v="9"/>
    <x v="1"/>
    <x v="0"/>
    <x v="1"/>
    <s v="0–2"/>
  </r>
  <r>
    <x v="10"/>
    <x v="5"/>
    <n v="9"/>
    <n v="5"/>
    <n v="1"/>
    <n v="291"/>
    <n v="31"/>
    <n v="12"/>
    <n v="40"/>
    <n v="261756"/>
    <n v="87"/>
    <n v="0"/>
    <n v="1"/>
    <n v="1"/>
    <n v="1"/>
    <n v="0"/>
    <n v="1"/>
    <n v="73"/>
    <n v="171"/>
    <n v="25"/>
    <n v="2"/>
    <x v="9"/>
    <x v="0"/>
    <x v="1"/>
    <x v="1"/>
    <s v="0–2"/>
  </r>
  <r>
    <x v="7"/>
    <x v="1"/>
    <n v="9"/>
    <n v="6"/>
    <n v="1"/>
    <n v="179"/>
    <n v="26"/>
    <n v="9"/>
    <n v="30"/>
    <n v="261756"/>
    <n v="87"/>
    <n v="0"/>
    <n v="3"/>
    <n v="0"/>
    <n v="0"/>
    <n v="0"/>
    <n v="0"/>
    <n v="56"/>
    <n v="171"/>
    <n v="19"/>
    <n v="8"/>
    <x v="9"/>
    <x v="1"/>
    <x v="1"/>
    <x v="2"/>
    <s v="3–8"/>
  </r>
  <r>
    <x v="22"/>
    <x v="1"/>
    <n v="9"/>
    <n v="6"/>
    <n v="1"/>
    <n v="248"/>
    <n v="25"/>
    <n v="14"/>
    <n v="47"/>
    <n v="261756"/>
    <n v="87"/>
    <n v="0"/>
    <n v="1"/>
    <n v="2"/>
    <n v="0"/>
    <n v="0"/>
    <n v="1"/>
    <n v="86"/>
    <n v="165"/>
    <n v="32"/>
    <n v="1"/>
    <x v="9"/>
    <x v="0"/>
    <x v="1"/>
    <x v="0"/>
    <s v="0–2"/>
  </r>
  <r>
    <x v="13"/>
    <x v="1"/>
    <n v="9"/>
    <n v="2"/>
    <n v="1"/>
    <n v="179"/>
    <n v="51"/>
    <n v="18"/>
    <n v="38"/>
    <n v="261756"/>
    <n v="87"/>
    <n v="0"/>
    <n v="1"/>
    <n v="0"/>
    <n v="1"/>
    <n v="0"/>
    <n v="0"/>
    <n v="89"/>
    <n v="170"/>
    <n v="31"/>
    <n v="4"/>
    <x v="9"/>
    <x v="1"/>
    <x v="1"/>
    <x v="0"/>
    <s v="3–8"/>
  </r>
  <r>
    <x v="3"/>
    <x v="1"/>
    <n v="9"/>
    <n v="4"/>
    <n v="1"/>
    <n v="225"/>
    <n v="26"/>
    <n v="9"/>
    <n v="28"/>
    <n v="261756"/>
    <n v="87"/>
    <n v="0"/>
    <n v="1"/>
    <n v="1"/>
    <n v="0"/>
    <n v="0"/>
    <n v="2"/>
    <n v="69"/>
    <n v="169"/>
    <n v="24"/>
    <n v="1"/>
    <x v="9"/>
    <x v="3"/>
    <x v="1"/>
    <x v="2"/>
    <s v="0–2"/>
  </r>
  <r>
    <x v="7"/>
    <x v="1"/>
    <n v="9"/>
    <n v="2"/>
    <n v="1"/>
    <n v="179"/>
    <n v="26"/>
    <n v="9"/>
    <n v="30"/>
    <n v="261756"/>
    <n v="87"/>
    <n v="0"/>
    <n v="3"/>
    <n v="0"/>
    <n v="0"/>
    <n v="0"/>
    <n v="0"/>
    <n v="56"/>
    <m/>
    <n v="19"/>
    <n v="2"/>
    <x v="9"/>
    <x v="1"/>
    <x v="1"/>
    <x v="2"/>
    <s v="0–2"/>
  </r>
  <r>
    <x v="30"/>
    <x v="1"/>
    <n v="9"/>
    <n v="3"/>
    <n v="4"/>
    <n v="369"/>
    <n v="17"/>
    <n v="12"/>
    <n v="31"/>
    <n v="261756"/>
    <n v="87"/>
    <n v="0"/>
    <n v="1"/>
    <n v="3"/>
    <n v="1"/>
    <n v="0"/>
    <n v="0"/>
    <n v="70"/>
    <m/>
    <n v="25"/>
    <n v="8"/>
    <x v="9"/>
    <x v="1"/>
    <x v="0"/>
    <x v="1"/>
    <s v="3–8"/>
  </r>
  <r>
    <x v="29"/>
    <x v="6"/>
    <n v="9"/>
    <n v="3"/>
    <n v="4"/>
    <n v="361"/>
    <n v="52"/>
    <n v="3"/>
    <n v="28"/>
    <n v="261756"/>
    <n v="87"/>
    <n v="0"/>
    <n v="1"/>
    <n v="1"/>
    <n v="1"/>
    <n v="0"/>
    <n v="4"/>
    <n v="80"/>
    <n v="172"/>
    <n v="27"/>
    <n v="8"/>
    <x v="9"/>
    <x v="3"/>
    <x v="1"/>
    <x v="1"/>
    <s v="3–8"/>
  </r>
  <r>
    <x v="13"/>
    <x v="1"/>
    <n v="10"/>
    <n v="3"/>
    <n v="4"/>
    <n v="179"/>
    <n v="51"/>
    <n v="18"/>
    <n v="38"/>
    <n v="253465"/>
    <n v="93"/>
    <n v="0"/>
    <n v="1"/>
    <n v="0"/>
    <n v="1"/>
    <n v="0"/>
    <n v="0"/>
    <n v="89"/>
    <n v="170"/>
    <n v="31"/>
    <n v="3"/>
    <x v="10"/>
    <x v="1"/>
    <x v="1"/>
    <x v="0"/>
    <s v="3–8"/>
  </r>
  <r>
    <x v="4"/>
    <x v="1"/>
    <n v="10"/>
    <n v="3"/>
    <n v="4"/>
    <n v="118"/>
    <n v="10"/>
    <n v="10"/>
    <n v="37"/>
    <n v="253465"/>
    <n v="93"/>
    <n v="0"/>
    <n v="1"/>
    <n v="0"/>
    <n v="0"/>
    <n v="0"/>
    <n v="0"/>
    <n v="83"/>
    <n v="172"/>
    <n v="28"/>
    <m/>
    <x v="10"/>
    <x v="1"/>
    <x v="2"/>
    <x v="1"/>
    <s v="0–2"/>
  </r>
  <r>
    <x v="12"/>
    <x v="0"/>
    <n v="10"/>
    <n v="4"/>
    <n v="4"/>
    <n v="118"/>
    <n v="13"/>
    <n v="18"/>
    <n v="50"/>
    <n v="253465"/>
    <n v="93"/>
    <n v="1"/>
    <n v="1"/>
    <n v="1"/>
    <n v="1"/>
    <n v="0"/>
    <n v="0"/>
    <n v="98"/>
    <n v="178"/>
    <m/>
    <m/>
    <x v="10"/>
    <x v="2"/>
    <x v="0"/>
    <x v="3"/>
    <s v="0–2"/>
  </r>
  <r>
    <x v="7"/>
    <x v="1"/>
    <n v="10"/>
    <n v="5"/>
    <n v="4"/>
    <m/>
    <m/>
    <n v="9"/>
    <n v="30"/>
    <n v="253465"/>
    <n v="93"/>
    <n v="0"/>
    <n v="3"/>
    <n v="0"/>
    <n v="0"/>
    <n v="0"/>
    <n v="0"/>
    <n v="56"/>
    <n v="171"/>
    <n v="19"/>
    <n v="1"/>
    <x v="10"/>
    <x v="1"/>
    <x v="3"/>
    <x v="2"/>
    <s v="0–2"/>
  </r>
  <r>
    <x v="3"/>
    <x v="1"/>
    <n v="10"/>
    <n v="6"/>
    <n v="4"/>
    <n v="225"/>
    <n v="26"/>
    <n v="9"/>
    <n v="28"/>
    <n v="253465"/>
    <n v="93"/>
    <n v="0"/>
    <n v="1"/>
    <n v="1"/>
    <n v="0"/>
    <n v="0"/>
    <n v="2"/>
    <n v="69"/>
    <n v="169"/>
    <n v="24"/>
    <n v="3"/>
    <x v="10"/>
    <x v="3"/>
    <x v="1"/>
    <x v="2"/>
    <s v="3–8"/>
  </r>
  <r>
    <x v="4"/>
    <x v="1"/>
    <n v="10"/>
    <n v="3"/>
    <n v="4"/>
    <n v="118"/>
    <n v="10"/>
    <n v="10"/>
    <n v="37"/>
    <n v="253465"/>
    <n v="93"/>
    <n v="0"/>
    <n v="1"/>
    <n v="0"/>
    <n v="0"/>
    <n v="0"/>
    <n v="0"/>
    <n v="83"/>
    <n v="172"/>
    <n v="28"/>
    <n v="3"/>
    <x v="10"/>
    <x v="1"/>
    <x v="2"/>
    <x v="1"/>
    <s v="3–8"/>
  </r>
  <r>
    <x v="3"/>
    <x v="1"/>
    <n v="10"/>
    <n v="4"/>
    <n v="4"/>
    <n v="225"/>
    <n v="26"/>
    <n v="9"/>
    <n v="28"/>
    <n v="253465"/>
    <n v="93"/>
    <n v="0"/>
    <n v="1"/>
    <n v="1"/>
    <n v="0"/>
    <n v="0"/>
    <n v="2"/>
    <n v="69"/>
    <n v="169"/>
    <n v="24"/>
    <n v="2"/>
    <x v="10"/>
    <x v="3"/>
    <x v="1"/>
    <x v="2"/>
    <s v="0–2"/>
  </r>
  <r>
    <x v="22"/>
    <x v="1"/>
    <n v="10"/>
    <n v="4"/>
    <n v="4"/>
    <n v="248"/>
    <n v="25"/>
    <n v="14"/>
    <n v="47"/>
    <n v="253465"/>
    <n v="93"/>
    <n v="0"/>
    <n v="1"/>
    <n v="2"/>
    <n v="0"/>
    <n v="0"/>
    <n v="1"/>
    <n v="86"/>
    <n v="165"/>
    <n v="32"/>
    <n v="2"/>
    <x v="10"/>
    <x v="0"/>
    <x v="1"/>
    <x v="0"/>
    <s v="0–2"/>
  </r>
  <r>
    <x v="10"/>
    <x v="1"/>
    <n v="10"/>
    <n v="5"/>
    <n v="4"/>
    <n v="291"/>
    <n v="31"/>
    <n v="12"/>
    <n v="40"/>
    <n v="253465"/>
    <n v="93"/>
    <n v="0"/>
    <n v="1"/>
    <n v="1"/>
    <n v="1"/>
    <n v="0"/>
    <n v="1"/>
    <n v="73"/>
    <n v="171"/>
    <n v="25"/>
    <n v="5"/>
    <x v="10"/>
    <x v="0"/>
    <x v="1"/>
    <x v="1"/>
    <s v="3–8"/>
  </r>
  <r>
    <x v="13"/>
    <x v="1"/>
    <n v="10"/>
    <n v="4"/>
    <n v="4"/>
    <n v="179"/>
    <n v="51"/>
    <n v="18"/>
    <n v="38"/>
    <n v="253465"/>
    <n v="93"/>
    <n v="0"/>
    <n v="1"/>
    <n v="0"/>
    <n v="1"/>
    <n v="0"/>
    <n v="0"/>
    <n v="89"/>
    <n v="170"/>
    <n v="31"/>
    <n v="8"/>
    <x v="10"/>
    <x v="1"/>
    <x v="1"/>
    <x v="0"/>
    <s v="3–8"/>
  </r>
  <r>
    <x v="3"/>
    <x v="1"/>
    <n v="10"/>
    <n v="4"/>
    <n v="4"/>
    <n v="225"/>
    <n v="26"/>
    <n v="9"/>
    <n v="28"/>
    <n v="253465"/>
    <n v="93"/>
    <n v="0"/>
    <n v="1"/>
    <n v="1"/>
    <n v="0"/>
    <n v="0"/>
    <n v="2"/>
    <n v="69"/>
    <n v="169"/>
    <n v="24"/>
    <n v="3"/>
    <x v="10"/>
    <x v="3"/>
    <x v="1"/>
    <x v="2"/>
    <s v="3–8"/>
  </r>
  <r>
    <x v="18"/>
    <x v="2"/>
    <n v="10"/>
    <n v="5"/>
    <n v="4"/>
    <n v="260"/>
    <n v="50"/>
    <n v="11"/>
    <n v="36"/>
    <n v="253465"/>
    <n v="93"/>
    <n v="0"/>
    <n v="1"/>
    <n v="4"/>
    <n v="1"/>
    <n v="0"/>
    <n v="0"/>
    <n v="65"/>
    <m/>
    <n v="23"/>
    <n v="16"/>
    <x v="10"/>
    <x v="1"/>
    <x v="1"/>
    <x v="2"/>
    <s v="9–16"/>
  </r>
  <r>
    <x v="10"/>
    <x v="18"/>
    <n v="10"/>
    <n v="3"/>
    <n v="4"/>
    <n v="291"/>
    <n v="31"/>
    <n v="12"/>
    <n v="40"/>
    <n v="253465"/>
    <n v="93"/>
    <n v="0"/>
    <n v="1"/>
    <n v="1"/>
    <n v="1"/>
    <n v="0"/>
    <n v="1"/>
    <n v="73"/>
    <n v="171"/>
    <n v="25"/>
    <n v="8"/>
    <x v="10"/>
    <x v="0"/>
    <x v="1"/>
    <x v="1"/>
    <s v="3–8"/>
  </r>
  <r>
    <x v="3"/>
    <x v="5"/>
    <n v="10"/>
    <n v="3"/>
    <n v="4"/>
    <n v="225"/>
    <n v="26"/>
    <n v="9"/>
    <n v="28"/>
    <n v="253465"/>
    <n v="93"/>
    <n v="0"/>
    <n v="1"/>
    <n v="1"/>
    <n v="0"/>
    <n v="0"/>
    <n v="2"/>
    <n v="69"/>
    <n v="169"/>
    <n v="24"/>
    <n v="2"/>
    <x v="10"/>
    <x v="3"/>
    <x v="1"/>
    <x v="2"/>
    <s v="0–2"/>
  </r>
  <r>
    <x v="8"/>
    <x v="8"/>
    <n v="10"/>
    <n v="4"/>
    <n v="4"/>
    <n v="289"/>
    <n v="36"/>
    <n v="13"/>
    <n v="33"/>
    <m/>
    <n v="93"/>
    <n v="0"/>
    <m/>
    <n v="2"/>
    <n v="1"/>
    <n v="0"/>
    <n v="1"/>
    <n v="90"/>
    <n v="172"/>
    <m/>
    <n v="8"/>
    <x v="10"/>
    <x v="1"/>
    <x v="1"/>
    <x v="3"/>
    <s v="3–8"/>
  </r>
  <r>
    <x v="29"/>
    <x v="1"/>
    <n v="10"/>
    <n v="6"/>
    <n v="4"/>
    <n v="361"/>
    <n v="52"/>
    <n v="3"/>
    <n v="28"/>
    <n v="253465"/>
    <n v="93"/>
    <n v="0"/>
    <n v="1"/>
    <n v="1"/>
    <m/>
    <n v="0"/>
    <n v="4"/>
    <n v="80"/>
    <n v="172"/>
    <n v="27"/>
    <n v="1"/>
    <x v="10"/>
    <x v="3"/>
    <x v="1"/>
    <x v="1"/>
    <s v="0–2"/>
  </r>
  <r>
    <x v="18"/>
    <x v="5"/>
    <n v="10"/>
    <n v="6"/>
    <n v="4"/>
    <m/>
    <n v="50"/>
    <n v="11"/>
    <n v="36"/>
    <n v="253465"/>
    <n v="93"/>
    <n v="0"/>
    <n v="1"/>
    <m/>
    <n v="1"/>
    <n v="0"/>
    <n v="0"/>
    <n v="65"/>
    <n v="168"/>
    <n v="23"/>
    <n v="3"/>
    <x v="10"/>
    <x v="1"/>
    <x v="1"/>
    <x v="2"/>
    <s v="3–8"/>
  </r>
  <r>
    <x v="8"/>
    <x v="26"/>
    <n v="10"/>
    <n v="2"/>
    <n v="4"/>
    <n v="289"/>
    <n v="36"/>
    <n v="13"/>
    <n v="33"/>
    <n v="265017"/>
    <n v="88"/>
    <n v="0"/>
    <n v="1"/>
    <n v="2"/>
    <n v="1"/>
    <n v="0"/>
    <n v="1"/>
    <n v="90"/>
    <n v="172"/>
    <n v="30"/>
    <n v="8"/>
    <x v="10"/>
    <x v="1"/>
    <x v="1"/>
    <x v="0"/>
    <s v="3–8"/>
  </r>
  <r>
    <x v="9"/>
    <x v="8"/>
    <n v="10"/>
    <n v="2"/>
    <n v="4"/>
    <n v="235"/>
    <n v="11"/>
    <n v="14"/>
    <n v="37"/>
    <n v="265017"/>
    <n v="88"/>
    <n v="0"/>
    <n v="3"/>
    <n v="1"/>
    <n v="0"/>
    <n v="0"/>
    <n v="1"/>
    <n v="88"/>
    <n v="172"/>
    <n v="29"/>
    <n v="4"/>
    <x v="10"/>
    <x v="1"/>
    <x v="0"/>
    <x v="1"/>
    <s v="3–8"/>
  </r>
  <r>
    <x v="8"/>
    <x v="8"/>
    <n v="10"/>
    <n v="2"/>
    <n v="4"/>
    <n v="289"/>
    <n v="36"/>
    <n v="13"/>
    <n v="33"/>
    <n v="265017"/>
    <n v="88"/>
    <n v="0"/>
    <n v="1"/>
    <n v="2"/>
    <n v="1"/>
    <n v="0"/>
    <n v="1"/>
    <n v="90"/>
    <n v="172"/>
    <n v="30"/>
    <n v="8"/>
    <x v="10"/>
    <x v="1"/>
    <x v="1"/>
    <x v="0"/>
    <s v="3–8"/>
  </r>
  <r>
    <x v="8"/>
    <x v="6"/>
    <n v="10"/>
    <n v="6"/>
    <n v="4"/>
    <n v="289"/>
    <n v="36"/>
    <n v="13"/>
    <n v="33"/>
    <n v="265017"/>
    <n v="88"/>
    <n v="0"/>
    <n v="1"/>
    <n v="2"/>
    <n v="1"/>
    <n v="0"/>
    <n v="1"/>
    <n v="90"/>
    <n v="172"/>
    <n v="30"/>
    <n v="8"/>
    <x v="10"/>
    <x v="1"/>
    <x v="1"/>
    <x v="0"/>
    <s v="3–8"/>
  </r>
  <r>
    <x v="12"/>
    <x v="0"/>
    <n v="10"/>
    <n v="6"/>
    <n v="4"/>
    <n v="118"/>
    <n v="13"/>
    <n v="18"/>
    <n v="50"/>
    <n v="265017"/>
    <n v="88"/>
    <n v="1"/>
    <n v="1"/>
    <n v="1"/>
    <n v="1"/>
    <n v="0"/>
    <n v="0"/>
    <n v="98"/>
    <n v="178"/>
    <n v="31"/>
    <n v="0"/>
    <x v="10"/>
    <x v="2"/>
    <x v="0"/>
    <x v="0"/>
    <s v="0–2"/>
  </r>
  <r>
    <x v="22"/>
    <x v="0"/>
    <n v="10"/>
    <n v="6"/>
    <n v="4"/>
    <n v="248"/>
    <n v="25"/>
    <n v="14"/>
    <n v="47"/>
    <n v="265017"/>
    <n v="88"/>
    <n v="1"/>
    <n v="1"/>
    <n v="2"/>
    <n v="0"/>
    <n v="0"/>
    <n v="1"/>
    <n v="86"/>
    <n v="165"/>
    <n v="32"/>
    <n v="0"/>
    <x v="10"/>
    <x v="0"/>
    <x v="1"/>
    <x v="0"/>
    <s v="0–2"/>
  </r>
  <r>
    <x v="7"/>
    <x v="14"/>
    <n v="10"/>
    <n v="2"/>
    <n v="4"/>
    <n v="179"/>
    <n v="26"/>
    <n v="9"/>
    <n v="30"/>
    <n v="265017"/>
    <n v="88"/>
    <n v="0"/>
    <n v="3"/>
    <n v="0"/>
    <n v="0"/>
    <n v="0"/>
    <n v="0"/>
    <n v="56"/>
    <n v="171"/>
    <n v="19"/>
    <n v="8"/>
    <x v="10"/>
    <x v="1"/>
    <x v="1"/>
    <x v="2"/>
    <s v="3–8"/>
  </r>
  <r>
    <x v="4"/>
    <x v="16"/>
    <n v="10"/>
    <n v="2"/>
    <n v="4"/>
    <n v="118"/>
    <n v="10"/>
    <n v="10"/>
    <n v="37"/>
    <n v="265017"/>
    <n v="88"/>
    <n v="0"/>
    <n v="1"/>
    <n v="0"/>
    <n v="0"/>
    <n v="0"/>
    <n v="0"/>
    <n v="83"/>
    <n v="172"/>
    <n v="28"/>
    <n v="3"/>
    <x v="10"/>
    <x v="1"/>
    <x v="2"/>
    <x v="1"/>
    <s v="3–8"/>
  </r>
  <r>
    <x v="30"/>
    <x v="6"/>
    <n v="10"/>
    <n v="2"/>
    <n v="4"/>
    <n v="369"/>
    <n v="17"/>
    <n v="12"/>
    <n v="31"/>
    <n v="265017"/>
    <n v="88"/>
    <n v="0"/>
    <n v="1"/>
    <n v="3"/>
    <n v="1"/>
    <n v="0"/>
    <n v="0"/>
    <n v="70"/>
    <n v="169"/>
    <n v="25"/>
    <n v="8"/>
    <x v="10"/>
    <x v="1"/>
    <x v="0"/>
    <x v="1"/>
    <s v="3–8"/>
  </r>
  <r>
    <x v="13"/>
    <x v="5"/>
    <n v="10"/>
    <n v="4"/>
    <n v="4"/>
    <n v="179"/>
    <n v="51"/>
    <n v="18"/>
    <n v="38"/>
    <n v="265017"/>
    <n v="88"/>
    <n v="0"/>
    <n v="1"/>
    <n v="0"/>
    <n v="1"/>
    <n v="0"/>
    <n v="0"/>
    <n v="89"/>
    <n v="170"/>
    <n v="31"/>
    <n v="1"/>
    <x v="10"/>
    <x v="1"/>
    <x v="1"/>
    <x v="0"/>
    <s v="0–2"/>
  </r>
  <r>
    <x v="7"/>
    <x v="14"/>
    <n v="10"/>
    <n v="4"/>
    <n v="4"/>
    <n v="179"/>
    <n v="26"/>
    <n v="9"/>
    <n v="30"/>
    <n v="265017"/>
    <n v="88"/>
    <n v="0"/>
    <n v="3"/>
    <n v="0"/>
    <n v="0"/>
    <n v="0"/>
    <n v="0"/>
    <n v="56"/>
    <n v="171"/>
    <n v="19"/>
    <n v="64"/>
    <x v="10"/>
    <x v="1"/>
    <x v="1"/>
    <x v="2"/>
    <s v="17+"/>
  </r>
  <r>
    <x v="11"/>
    <x v="0"/>
    <n v="10"/>
    <n v="4"/>
    <n v="4"/>
    <n v="235"/>
    <n v="20"/>
    <n v="13"/>
    <n v="43"/>
    <n v="265017"/>
    <n v="88"/>
    <n v="1"/>
    <n v="1"/>
    <n v="1"/>
    <n v="1"/>
    <n v="0"/>
    <n v="0"/>
    <n v="106"/>
    <n v="167"/>
    <n v="38"/>
    <n v="0"/>
    <x v="10"/>
    <x v="0"/>
    <x v="0"/>
    <x v="0"/>
    <s v="0–2"/>
  </r>
  <r>
    <x v="8"/>
    <x v="2"/>
    <n v="10"/>
    <n v="5"/>
    <n v="4"/>
    <n v="289"/>
    <n v="36"/>
    <n v="13"/>
    <n v="33"/>
    <n v="265017"/>
    <n v="88"/>
    <n v="0"/>
    <n v="1"/>
    <n v="2"/>
    <n v="1"/>
    <n v="0"/>
    <n v="1"/>
    <n v="90"/>
    <n v="172"/>
    <n v="30"/>
    <n v="16"/>
    <x v="10"/>
    <x v="1"/>
    <x v="1"/>
    <x v="0"/>
    <s v="9–16"/>
  </r>
  <r>
    <x v="18"/>
    <x v="5"/>
    <n v="10"/>
    <n v="6"/>
    <n v="4"/>
    <n v="260"/>
    <n v="50"/>
    <n v="11"/>
    <n v="36"/>
    <n v="265017"/>
    <n v="88"/>
    <n v="0"/>
    <n v="1"/>
    <n v="4"/>
    <n v="1"/>
    <n v="0"/>
    <n v="0"/>
    <n v="65"/>
    <n v="168"/>
    <n v="23"/>
    <m/>
    <x v="10"/>
    <x v="1"/>
    <x v="1"/>
    <x v="2"/>
    <s v="0–2"/>
  </r>
  <r>
    <x v="11"/>
    <x v="0"/>
    <n v="10"/>
    <n v="6"/>
    <n v="4"/>
    <n v="235"/>
    <n v="20"/>
    <n v="13"/>
    <n v="43"/>
    <n v="265017"/>
    <n v="88"/>
    <n v="1"/>
    <n v="1"/>
    <n v="1"/>
    <n v="1"/>
    <n v="0"/>
    <n v="0"/>
    <n v="106"/>
    <n v="167"/>
    <n v="38"/>
    <n v="0"/>
    <x v="10"/>
    <x v="0"/>
    <x v="0"/>
    <x v="0"/>
    <s v="0–2"/>
  </r>
  <r>
    <x v="11"/>
    <x v="1"/>
    <n v="10"/>
    <n v="2"/>
    <n v="4"/>
    <n v="235"/>
    <n v="20"/>
    <n v="13"/>
    <n v="43"/>
    <n v="265017"/>
    <n v="88"/>
    <n v="0"/>
    <n v="1"/>
    <n v="1"/>
    <n v="1"/>
    <n v="0"/>
    <n v="0"/>
    <n v="106"/>
    <n v="167"/>
    <n v="38"/>
    <n v="2"/>
    <x v="10"/>
    <x v="0"/>
    <x v="0"/>
    <x v="0"/>
    <s v="0–2"/>
  </r>
  <r>
    <x v="11"/>
    <x v="1"/>
    <n v="10"/>
    <n v="2"/>
    <n v="4"/>
    <n v="235"/>
    <n v="20"/>
    <n v="13"/>
    <n v="43"/>
    <n v="265017"/>
    <n v="88"/>
    <n v="0"/>
    <n v="1"/>
    <n v="1"/>
    <n v="1"/>
    <n v="0"/>
    <n v="0"/>
    <n v="106"/>
    <n v="167"/>
    <n v="38"/>
    <n v="2"/>
    <x v="10"/>
    <x v="0"/>
    <x v="0"/>
    <x v="0"/>
    <s v="0–2"/>
  </r>
  <r>
    <x v="12"/>
    <x v="5"/>
    <n v="10"/>
    <n v="3"/>
    <n v="4"/>
    <n v="118"/>
    <n v="13"/>
    <n v="18"/>
    <n v="50"/>
    <n v="265017"/>
    <n v="88"/>
    <n v="0"/>
    <n v="1"/>
    <n v="1"/>
    <n v="1"/>
    <n v="0"/>
    <n v="0"/>
    <n v="98"/>
    <n v="178"/>
    <n v="31"/>
    <n v="1"/>
    <x v="10"/>
    <x v="2"/>
    <x v="0"/>
    <x v="0"/>
    <s v="0–2"/>
  </r>
  <r>
    <x v="10"/>
    <x v="5"/>
    <n v="10"/>
    <n v="3"/>
    <n v="4"/>
    <n v="291"/>
    <n v="31"/>
    <n v="12"/>
    <n v="40"/>
    <n v="265017"/>
    <n v="88"/>
    <n v="0"/>
    <n v="1"/>
    <n v="1"/>
    <n v="1"/>
    <n v="0"/>
    <n v="1"/>
    <n v="73"/>
    <n v="171"/>
    <n v="25"/>
    <n v="4"/>
    <x v="10"/>
    <x v="0"/>
    <x v="1"/>
    <x v="1"/>
    <s v="3–8"/>
  </r>
  <r>
    <x v="7"/>
    <x v="1"/>
    <n v="10"/>
    <n v="5"/>
    <n v="4"/>
    <n v="179"/>
    <n v="26"/>
    <n v="9"/>
    <n v="30"/>
    <n v="265017"/>
    <n v="88"/>
    <n v="0"/>
    <n v="3"/>
    <n v="0"/>
    <n v="0"/>
    <n v="0"/>
    <n v="0"/>
    <n v="56"/>
    <n v="171"/>
    <n v="19"/>
    <n v="16"/>
    <x v="10"/>
    <x v="1"/>
    <x v="1"/>
    <x v="2"/>
    <s v="9–16"/>
  </r>
  <r>
    <x v="12"/>
    <x v="5"/>
    <n v="10"/>
    <n v="5"/>
    <n v="4"/>
    <n v="118"/>
    <n v="13"/>
    <n v="18"/>
    <n v="50"/>
    <n v="265017"/>
    <n v="88"/>
    <n v="0"/>
    <n v="1"/>
    <n v="1"/>
    <n v="1"/>
    <n v="0"/>
    <n v="0"/>
    <n v="98"/>
    <n v="178"/>
    <n v="31"/>
    <n v="1"/>
    <x v="10"/>
    <x v="2"/>
    <x v="0"/>
    <x v="0"/>
    <s v="0–2"/>
  </r>
  <r>
    <x v="29"/>
    <x v="13"/>
    <n v="10"/>
    <n v="2"/>
    <n v="4"/>
    <n v="361"/>
    <n v="52"/>
    <n v="3"/>
    <n v="28"/>
    <n v="265017"/>
    <n v="88"/>
    <n v="0"/>
    <n v="1"/>
    <n v="1"/>
    <n v="1"/>
    <n v="0"/>
    <n v="4"/>
    <n v="80"/>
    <n v="172"/>
    <n v="27"/>
    <n v="8"/>
    <x v="10"/>
    <x v="3"/>
    <x v="1"/>
    <x v="1"/>
    <s v="3–8"/>
  </r>
  <r>
    <x v="18"/>
    <x v="0"/>
    <n v="10"/>
    <n v="3"/>
    <n v="4"/>
    <n v="260"/>
    <n v="50"/>
    <n v="11"/>
    <n v="36"/>
    <n v="265017"/>
    <n v="88"/>
    <n v="1"/>
    <n v="1"/>
    <n v="4"/>
    <n v="1"/>
    <n v="0"/>
    <n v="0"/>
    <n v="65"/>
    <n v="168"/>
    <n v="23"/>
    <n v="0"/>
    <x v="10"/>
    <x v="1"/>
    <x v="1"/>
    <x v="2"/>
    <s v="0–2"/>
  </r>
  <r>
    <x v="10"/>
    <x v="0"/>
    <n v="10"/>
    <n v="3"/>
    <n v="4"/>
    <n v="291"/>
    <n v="31"/>
    <n v="12"/>
    <n v="40"/>
    <n v="265017"/>
    <n v="88"/>
    <n v="1"/>
    <n v="1"/>
    <n v="1"/>
    <n v="1"/>
    <n v="0"/>
    <n v="1"/>
    <n v="73"/>
    <n v="171"/>
    <n v="25"/>
    <n v="0"/>
    <x v="10"/>
    <x v="0"/>
    <x v="1"/>
    <x v="1"/>
    <s v="0–2"/>
  </r>
  <r>
    <x v="21"/>
    <x v="0"/>
    <n v="10"/>
    <n v="3"/>
    <n v="4"/>
    <n v="157"/>
    <n v="27"/>
    <n v="6"/>
    <n v="29"/>
    <n v="265017"/>
    <n v="88"/>
    <n v="1"/>
    <n v="1"/>
    <n v="0"/>
    <n v="1"/>
    <n v="1"/>
    <n v="0"/>
    <n v="75"/>
    <n v="185"/>
    <n v="22"/>
    <m/>
    <x v="10"/>
    <x v="3"/>
    <x v="1"/>
    <x v="2"/>
    <s v="0–2"/>
  </r>
  <r>
    <x v="7"/>
    <x v="14"/>
    <n v="10"/>
    <n v="4"/>
    <n v="4"/>
    <n v="179"/>
    <n v="26"/>
    <n v="9"/>
    <n v="30"/>
    <n v="265017"/>
    <n v="88"/>
    <n v="0"/>
    <n v="3"/>
    <n v="0"/>
    <n v="0"/>
    <n v="0"/>
    <n v="0"/>
    <n v="56"/>
    <n v="171"/>
    <n v="19"/>
    <n v="5"/>
    <x v="10"/>
    <x v="1"/>
    <x v="1"/>
    <x v="2"/>
    <s v="3–8"/>
  </r>
  <r>
    <x v="7"/>
    <x v="16"/>
    <n v="10"/>
    <n v="4"/>
    <n v="4"/>
    <n v="179"/>
    <n v="26"/>
    <n v="9"/>
    <n v="30"/>
    <n v="265017"/>
    <n v="88"/>
    <n v="0"/>
    <n v="3"/>
    <n v="0"/>
    <n v="0"/>
    <n v="0"/>
    <n v="0"/>
    <n v="56"/>
    <n v="171"/>
    <n v="19"/>
    <n v="5"/>
    <x v="10"/>
    <x v="1"/>
    <x v="1"/>
    <x v="2"/>
    <s v="3–8"/>
  </r>
  <r>
    <x v="12"/>
    <x v="1"/>
    <n v="10"/>
    <n v="5"/>
    <n v="4"/>
    <n v="118"/>
    <n v="13"/>
    <n v="18"/>
    <n v="50"/>
    <n v="265017"/>
    <n v="88"/>
    <n v="0"/>
    <n v="1"/>
    <n v="1"/>
    <n v="1"/>
    <n v="0"/>
    <n v="0"/>
    <n v="98"/>
    <n v="178"/>
    <n v="31"/>
    <n v="1"/>
    <x v="10"/>
    <x v="2"/>
    <x v="0"/>
    <x v="0"/>
    <s v="0–2"/>
  </r>
  <r>
    <x v="15"/>
    <x v="27"/>
    <n v="10"/>
    <n v="5"/>
    <n v="4"/>
    <n v="289"/>
    <n v="48"/>
    <n v="29"/>
    <n v="49"/>
    <n v="284853"/>
    <n v="91"/>
    <n v="0"/>
    <n v="1"/>
    <n v="0"/>
    <n v="0"/>
    <n v="0"/>
    <n v="2"/>
    <n v="108"/>
    <n v="172"/>
    <n v="36"/>
    <n v="1"/>
    <x v="10"/>
    <x v="0"/>
    <x v="1"/>
    <x v="0"/>
    <s v="0–2"/>
  </r>
  <r>
    <x v="25"/>
    <x v="15"/>
    <n v="10"/>
    <n v="5"/>
    <n v="4"/>
    <n v="235"/>
    <n v="16"/>
    <n v="8"/>
    <n v="32"/>
    <n v="284853"/>
    <n v="91"/>
    <n v="0"/>
    <n v="3"/>
    <n v="0"/>
    <n v="0"/>
    <n v="0"/>
    <n v="0"/>
    <n v="75"/>
    <n v="178"/>
    <n v="25"/>
    <n v="3"/>
    <x v="10"/>
    <x v="1"/>
    <x v="0"/>
    <x v="1"/>
    <s v="3–8"/>
  </r>
  <r>
    <x v="16"/>
    <x v="8"/>
    <n v="10"/>
    <n v="6"/>
    <n v="4"/>
    <n v="246"/>
    <n v="25"/>
    <n v="16"/>
    <n v="41"/>
    <n v="284853"/>
    <n v="91"/>
    <n v="0"/>
    <n v="1"/>
    <n v="0"/>
    <n v="1"/>
    <n v="0"/>
    <n v="0"/>
    <n v="67"/>
    <m/>
    <n v="23"/>
    <n v="8"/>
    <x v="10"/>
    <x v="0"/>
    <x v="1"/>
    <x v="2"/>
    <s v="3–8"/>
  </r>
  <r>
    <x v="15"/>
    <x v="18"/>
    <n v="10"/>
    <n v="4"/>
    <n v="4"/>
    <n v="289"/>
    <n v="48"/>
    <n v="29"/>
    <n v="49"/>
    <n v="284853"/>
    <n v="91"/>
    <n v="0"/>
    <n v="1"/>
    <n v="0"/>
    <n v="0"/>
    <n v="0"/>
    <n v="2"/>
    <n v="108"/>
    <m/>
    <n v="36"/>
    <n v="3"/>
    <x v="10"/>
    <x v="0"/>
    <x v="1"/>
    <x v="0"/>
    <s v="3–8"/>
  </r>
  <r>
    <x v="10"/>
    <x v="5"/>
    <n v="10"/>
    <n v="4"/>
    <n v="4"/>
    <n v="291"/>
    <n v="31"/>
    <n v="12"/>
    <n v="40"/>
    <n v="284853"/>
    <n v="91"/>
    <n v="0"/>
    <n v="1"/>
    <n v="1"/>
    <n v="1"/>
    <n v="0"/>
    <n v="1"/>
    <n v="73"/>
    <n v="171"/>
    <n v="25"/>
    <n v="2"/>
    <x v="10"/>
    <x v="0"/>
    <x v="1"/>
    <x v="1"/>
    <s v="0–2"/>
  </r>
  <r>
    <x v="4"/>
    <x v="1"/>
    <n v="10"/>
    <n v="3"/>
    <n v="4"/>
    <n v="118"/>
    <n v="10"/>
    <n v="10"/>
    <n v="37"/>
    <n v="284853"/>
    <n v="91"/>
    <n v="0"/>
    <n v="1"/>
    <n v="0"/>
    <n v="0"/>
    <n v="0"/>
    <n v="0"/>
    <n v="83"/>
    <n v="172"/>
    <n v="28"/>
    <n v="2"/>
    <x v="10"/>
    <x v="1"/>
    <x v="2"/>
    <x v="1"/>
    <s v="0–2"/>
  </r>
  <r>
    <x v="15"/>
    <x v="1"/>
    <n v="10"/>
    <n v="5"/>
    <n v="4"/>
    <n v="289"/>
    <n v="48"/>
    <n v="29"/>
    <n v="49"/>
    <n v="284853"/>
    <n v="91"/>
    <n v="0"/>
    <n v="1"/>
    <n v="0"/>
    <n v="0"/>
    <n v="0"/>
    <n v="2"/>
    <n v="108"/>
    <n v="172"/>
    <n v="36"/>
    <n v="2"/>
    <x v="10"/>
    <x v="0"/>
    <x v="1"/>
    <x v="0"/>
    <s v="0–2"/>
  </r>
  <r>
    <x v="10"/>
    <x v="1"/>
    <n v="10"/>
    <n v="6"/>
    <n v="4"/>
    <n v="291"/>
    <n v="31"/>
    <n v="12"/>
    <n v="40"/>
    <n v="284853"/>
    <n v="91"/>
    <n v="0"/>
    <n v="1"/>
    <n v="1"/>
    <n v="1"/>
    <n v="0"/>
    <n v="1"/>
    <n v="73"/>
    <n v="171"/>
    <n v="25"/>
    <n v="1"/>
    <x v="10"/>
    <x v="0"/>
    <x v="1"/>
    <x v="1"/>
    <s v="0–2"/>
  </r>
  <r>
    <x v="3"/>
    <x v="1"/>
    <n v="10"/>
    <n v="3"/>
    <n v="4"/>
    <n v="225"/>
    <n v="26"/>
    <n v="9"/>
    <n v="28"/>
    <n v="284853"/>
    <n v="91"/>
    <n v="0"/>
    <n v="1"/>
    <n v="1"/>
    <n v="0"/>
    <n v="0"/>
    <n v="2"/>
    <n v="69"/>
    <n v="169"/>
    <n v="24"/>
    <n v="2"/>
    <x v="10"/>
    <x v="3"/>
    <x v="1"/>
    <x v="2"/>
    <s v="0–2"/>
  </r>
  <r>
    <x v="30"/>
    <x v="1"/>
    <n v="10"/>
    <n v="3"/>
    <n v="4"/>
    <n v="369"/>
    <n v="17"/>
    <n v="12"/>
    <n v="31"/>
    <n v="284853"/>
    <n v="91"/>
    <n v="0"/>
    <n v="1"/>
    <n v="3"/>
    <n v="1"/>
    <n v="0"/>
    <n v="0"/>
    <n v="70"/>
    <n v="169"/>
    <n v="25"/>
    <n v="8"/>
    <x v="10"/>
    <x v="1"/>
    <x v="0"/>
    <x v="1"/>
    <s v="3–8"/>
  </r>
  <r>
    <x v="30"/>
    <x v="1"/>
    <n v="10"/>
    <n v="3"/>
    <n v="4"/>
    <n v="369"/>
    <n v="17"/>
    <n v="12"/>
    <n v="31"/>
    <n v="284853"/>
    <n v="91"/>
    <n v="0"/>
    <n v="1"/>
    <n v="3"/>
    <n v="1"/>
    <n v="0"/>
    <m/>
    <n v="70"/>
    <n v="169"/>
    <n v="25"/>
    <n v="3"/>
    <x v="10"/>
    <x v="1"/>
    <x v="0"/>
    <x v="1"/>
    <s v="3–8"/>
  </r>
  <r>
    <x v="3"/>
    <x v="1"/>
    <n v="10"/>
    <n v="3"/>
    <n v="4"/>
    <n v="225"/>
    <n v="26"/>
    <n v="9"/>
    <n v="28"/>
    <n v="284853"/>
    <n v="91"/>
    <n v="0"/>
    <n v="1"/>
    <n v="1"/>
    <n v="0"/>
    <n v="0"/>
    <n v="2"/>
    <n v="69"/>
    <m/>
    <n v="24"/>
    <n v="4"/>
    <x v="10"/>
    <x v="3"/>
    <x v="1"/>
    <x v="2"/>
    <s v="3–8"/>
  </r>
  <r>
    <x v="30"/>
    <x v="8"/>
    <n v="10"/>
    <n v="3"/>
    <n v="4"/>
    <n v="369"/>
    <n v="17"/>
    <n v="12"/>
    <n v="31"/>
    <n v="284853"/>
    <n v="91"/>
    <n v="0"/>
    <n v="1"/>
    <n v="3"/>
    <n v="1"/>
    <n v="0"/>
    <n v="0"/>
    <n v="70"/>
    <n v="169"/>
    <n v="25"/>
    <n v="8"/>
    <x v="10"/>
    <x v="1"/>
    <x v="0"/>
    <x v="1"/>
    <s v="3–8"/>
  </r>
  <r>
    <x v="13"/>
    <x v="5"/>
    <n v="10"/>
    <n v="4"/>
    <n v="4"/>
    <n v="179"/>
    <n v="51"/>
    <n v="18"/>
    <n v="38"/>
    <n v="284853"/>
    <n v="91"/>
    <n v="0"/>
    <n v="1"/>
    <n v="0"/>
    <n v="1"/>
    <n v="0"/>
    <n v="0"/>
    <n v="89"/>
    <n v="170"/>
    <n v="31"/>
    <n v="3"/>
    <x v="10"/>
    <x v="1"/>
    <x v="1"/>
    <x v="0"/>
    <s v="3–8"/>
  </r>
  <r>
    <x v="31"/>
    <x v="14"/>
    <n v="10"/>
    <n v="4"/>
    <n v="4"/>
    <n v="228"/>
    <n v="14"/>
    <n v="16"/>
    <n v="58"/>
    <n v="284853"/>
    <n v="91"/>
    <n v="0"/>
    <n v="1"/>
    <n v="2"/>
    <n v="0"/>
    <n v="0"/>
    <n v="1"/>
    <n v="65"/>
    <n v="172"/>
    <n v="22"/>
    <n v="1"/>
    <x v="10"/>
    <x v="2"/>
    <x v="0"/>
    <x v="2"/>
    <s v="0–2"/>
  </r>
  <r>
    <x v="10"/>
    <x v="1"/>
    <n v="10"/>
    <n v="4"/>
    <n v="4"/>
    <n v="291"/>
    <n v="31"/>
    <n v="12"/>
    <n v="40"/>
    <n v="284853"/>
    <n v="91"/>
    <n v="0"/>
    <n v="1"/>
    <n v="1"/>
    <n v="1"/>
    <n v="0"/>
    <n v="1"/>
    <n v="73"/>
    <n v="171"/>
    <n v="25"/>
    <n v="1"/>
    <x v="10"/>
    <x v="0"/>
    <x v="1"/>
    <x v="1"/>
    <s v="0–2"/>
  </r>
  <r>
    <x v="30"/>
    <x v="13"/>
    <n v="10"/>
    <n v="5"/>
    <n v="4"/>
    <n v="369"/>
    <n v="17"/>
    <n v="12"/>
    <n v="31"/>
    <n v="284853"/>
    <n v="91"/>
    <n v="0"/>
    <n v="1"/>
    <n v="3"/>
    <n v="1"/>
    <n v="0"/>
    <n v="0"/>
    <n v="70"/>
    <n v="169"/>
    <n v="25"/>
    <n v="8"/>
    <x v="10"/>
    <x v="1"/>
    <x v="0"/>
    <x v="1"/>
    <s v="3–8"/>
  </r>
  <r>
    <x v="3"/>
    <x v="7"/>
    <n v="10"/>
    <n v="5"/>
    <n v="4"/>
    <n v="225"/>
    <n v="26"/>
    <n v="9"/>
    <n v="28"/>
    <n v="284853"/>
    <n v="91"/>
    <n v="0"/>
    <n v="1"/>
    <n v="1"/>
    <n v="0"/>
    <n v="0"/>
    <n v="2"/>
    <n v="69"/>
    <n v="169"/>
    <n v="24"/>
    <n v="1"/>
    <x v="10"/>
    <x v="3"/>
    <x v="1"/>
    <x v="2"/>
    <s v="0–2"/>
  </r>
  <r>
    <x v="30"/>
    <x v="13"/>
    <n v="10"/>
    <n v="6"/>
    <n v="4"/>
    <n v="369"/>
    <n v="17"/>
    <n v="12"/>
    <n v="31"/>
    <n v="284853"/>
    <n v="91"/>
    <n v="0"/>
    <n v="1"/>
    <n v="3"/>
    <n v="1"/>
    <n v="0"/>
    <n v="0"/>
    <n v="70"/>
    <n v="169"/>
    <n v="25"/>
    <n v="8"/>
    <x v="10"/>
    <x v="1"/>
    <x v="0"/>
    <x v="1"/>
    <s v="3–8"/>
  </r>
  <r>
    <x v="3"/>
    <x v="13"/>
    <n v="10"/>
    <n v="6"/>
    <n v="4"/>
    <n v="225"/>
    <n v="26"/>
    <n v="9"/>
    <n v="28"/>
    <n v="284853"/>
    <n v="91"/>
    <n v="0"/>
    <n v="1"/>
    <n v="1"/>
    <n v="0"/>
    <n v="0"/>
    <n v="2"/>
    <n v="69"/>
    <n v="169"/>
    <n v="24"/>
    <n v="3"/>
    <x v="10"/>
    <x v="3"/>
    <x v="1"/>
    <x v="2"/>
    <s v="3–8"/>
  </r>
  <r>
    <x v="17"/>
    <x v="1"/>
    <n v="10"/>
    <n v="2"/>
    <n v="4"/>
    <n v="189"/>
    <n v="29"/>
    <n v="13"/>
    <n v="33"/>
    <n v="284853"/>
    <n v="91"/>
    <n v="0"/>
    <n v="1"/>
    <n v="2"/>
    <n v="0"/>
    <n v="0"/>
    <n v="2"/>
    <n v="69"/>
    <n v="167"/>
    <n v="25"/>
    <n v="8"/>
    <x v="10"/>
    <x v="1"/>
    <x v="1"/>
    <x v="1"/>
    <s v="3–8"/>
  </r>
  <r>
    <x v="25"/>
    <x v="19"/>
    <n v="10"/>
    <n v="2"/>
    <n v="4"/>
    <n v="235"/>
    <n v="16"/>
    <n v="8"/>
    <n v="32"/>
    <n v="284853"/>
    <n v="91"/>
    <n v="0"/>
    <n v="3"/>
    <n v="0"/>
    <n v="0"/>
    <n v="0"/>
    <n v="0"/>
    <n v="75"/>
    <n v="178"/>
    <n v="25"/>
    <n v="8"/>
    <x v="10"/>
    <x v="1"/>
    <x v="0"/>
    <x v="1"/>
    <s v="3–8"/>
  </r>
  <r>
    <x v="22"/>
    <x v="13"/>
    <n v="10"/>
    <n v="2"/>
    <n v="4"/>
    <n v="248"/>
    <n v="25"/>
    <n v="14"/>
    <n v="47"/>
    <n v="284853"/>
    <n v="91"/>
    <n v="0"/>
    <n v="1"/>
    <n v="2"/>
    <n v="0"/>
    <n v="0"/>
    <n v="1"/>
    <n v="86"/>
    <n v="165"/>
    <n v="32"/>
    <n v="8"/>
    <x v="10"/>
    <x v="0"/>
    <x v="1"/>
    <x v="0"/>
    <s v="3–8"/>
  </r>
  <r>
    <x v="3"/>
    <x v="0"/>
    <n v="10"/>
    <n v="2"/>
    <n v="4"/>
    <n v="225"/>
    <n v="26"/>
    <n v="9"/>
    <n v="28"/>
    <n v="284853"/>
    <n v="91"/>
    <n v="1"/>
    <n v="1"/>
    <n v="1"/>
    <n v="0"/>
    <n v="0"/>
    <n v="2"/>
    <n v="69"/>
    <n v="169"/>
    <n v="24"/>
    <n v="0"/>
    <x v="10"/>
    <x v="3"/>
    <x v="1"/>
    <x v="2"/>
    <s v="0–2"/>
  </r>
  <r>
    <x v="3"/>
    <x v="7"/>
    <n v="10"/>
    <n v="3"/>
    <n v="4"/>
    <n v="225"/>
    <n v="26"/>
    <n v="9"/>
    <n v="28"/>
    <n v="284853"/>
    <n v="91"/>
    <n v="0"/>
    <n v="1"/>
    <n v="1"/>
    <n v="0"/>
    <n v="0"/>
    <n v="2"/>
    <n v="69"/>
    <n v="169"/>
    <n v="24"/>
    <n v="3"/>
    <x v="10"/>
    <x v="3"/>
    <x v="1"/>
    <x v="2"/>
    <s v="3–8"/>
  </r>
  <r>
    <x v="13"/>
    <x v="1"/>
    <n v="11"/>
    <n v="5"/>
    <n v="4"/>
    <n v="179"/>
    <n v="51"/>
    <n v="18"/>
    <n v="38"/>
    <n v="306345"/>
    <n v="93"/>
    <n v="0"/>
    <n v="1"/>
    <n v="0"/>
    <n v="1"/>
    <n v="0"/>
    <n v="0"/>
    <n v="89"/>
    <n v="170"/>
    <n v="31"/>
    <n v="1"/>
    <x v="11"/>
    <x v="1"/>
    <x v="1"/>
    <x v="0"/>
    <s v="0–2"/>
  </r>
  <r>
    <x v="3"/>
    <x v="1"/>
    <n v="11"/>
    <n v="4"/>
    <n v="4"/>
    <n v="225"/>
    <m/>
    <n v="9"/>
    <n v="28"/>
    <n v="306345"/>
    <n v="93"/>
    <n v="0"/>
    <n v="1"/>
    <n v="1"/>
    <n v="0"/>
    <n v="0"/>
    <n v="2"/>
    <n v="69"/>
    <n v="169"/>
    <n v="24"/>
    <n v="1"/>
    <x v="11"/>
    <x v="3"/>
    <x v="3"/>
    <x v="2"/>
    <s v="0–2"/>
  </r>
  <r>
    <x v="13"/>
    <x v="7"/>
    <n v="11"/>
    <n v="5"/>
    <n v="4"/>
    <n v="179"/>
    <n v="51"/>
    <n v="18"/>
    <n v="38"/>
    <n v="306345"/>
    <m/>
    <n v="0"/>
    <n v="1"/>
    <n v="0"/>
    <n v="1"/>
    <n v="0"/>
    <n v="0"/>
    <n v="89"/>
    <n v="170"/>
    <n v="31"/>
    <n v="8"/>
    <x v="11"/>
    <x v="1"/>
    <x v="1"/>
    <x v="0"/>
    <s v="3–8"/>
  </r>
  <r>
    <x v="14"/>
    <x v="21"/>
    <n v="11"/>
    <n v="5"/>
    <n v="4"/>
    <n v="179"/>
    <n v="22"/>
    <n v="17"/>
    <n v="40"/>
    <n v="306345"/>
    <n v="93"/>
    <n v="0"/>
    <n v="2"/>
    <n v="2"/>
    <n v="0"/>
    <n v="1"/>
    <n v="0"/>
    <n v="63"/>
    <n v="170"/>
    <n v="22"/>
    <n v="8"/>
    <x v="11"/>
    <x v="0"/>
    <x v="1"/>
    <x v="2"/>
    <s v="3–8"/>
  </r>
  <r>
    <x v="10"/>
    <x v="1"/>
    <n v="11"/>
    <n v="5"/>
    <n v="4"/>
    <n v="291"/>
    <n v="31"/>
    <n v="12"/>
    <n v="40"/>
    <m/>
    <n v="93"/>
    <n v="0"/>
    <n v="1"/>
    <n v="1"/>
    <n v="1"/>
    <n v="0"/>
    <n v="1"/>
    <n v="73"/>
    <n v="171"/>
    <n v="25"/>
    <n v="5"/>
    <x v="11"/>
    <x v="0"/>
    <x v="1"/>
    <x v="1"/>
    <s v="3–8"/>
  </r>
  <r>
    <x v="5"/>
    <x v="13"/>
    <n v="11"/>
    <n v="2"/>
    <n v="4"/>
    <n v="155"/>
    <n v="12"/>
    <n v="14"/>
    <n v="34"/>
    <n v="306345"/>
    <n v="93"/>
    <n v="0"/>
    <n v="1"/>
    <m/>
    <m/>
    <n v="0"/>
    <n v="0"/>
    <n v="95"/>
    <n v="196"/>
    <n v="25"/>
    <n v="32"/>
    <x v="11"/>
    <x v="1"/>
    <x v="0"/>
    <x v="1"/>
    <s v="17+"/>
  </r>
  <r>
    <x v="17"/>
    <x v="6"/>
    <n v="11"/>
    <n v="2"/>
    <n v="4"/>
    <n v="189"/>
    <n v="29"/>
    <n v="13"/>
    <n v="33"/>
    <n v="306345"/>
    <n v="93"/>
    <n v="0"/>
    <n v="1"/>
    <n v="2"/>
    <n v="0"/>
    <n v="0"/>
    <n v="2"/>
    <n v="69"/>
    <n v="167"/>
    <n v="25"/>
    <n v="8"/>
    <x v="11"/>
    <x v="1"/>
    <x v="1"/>
    <x v="1"/>
    <s v="3–8"/>
  </r>
  <r>
    <x v="10"/>
    <x v="18"/>
    <n v="11"/>
    <n v="2"/>
    <n v="4"/>
    <n v="291"/>
    <n v="31"/>
    <n v="12"/>
    <n v="40"/>
    <n v="306345"/>
    <n v="93"/>
    <n v="0"/>
    <n v="1"/>
    <n v="1"/>
    <n v="1"/>
    <n v="0"/>
    <n v="1"/>
    <n v="73"/>
    <n v="171"/>
    <n v="25"/>
    <n v="40"/>
    <x v="11"/>
    <x v="0"/>
    <x v="1"/>
    <x v="1"/>
    <s v="17+"/>
  </r>
  <r>
    <x v="3"/>
    <x v="1"/>
    <n v="11"/>
    <n v="4"/>
    <n v="4"/>
    <n v="225"/>
    <n v="26"/>
    <n v="9"/>
    <n v="28"/>
    <n v="306345"/>
    <n v="93"/>
    <n v="0"/>
    <n v="1"/>
    <n v="1"/>
    <n v="0"/>
    <n v="0"/>
    <n v="2"/>
    <n v="69"/>
    <n v="169"/>
    <n v="24"/>
    <n v="1"/>
    <x v="11"/>
    <x v="3"/>
    <x v="1"/>
    <x v="2"/>
    <s v="0–2"/>
  </r>
  <r>
    <x v="5"/>
    <x v="19"/>
    <n v="11"/>
    <n v="6"/>
    <n v="4"/>
    <n v="155"/>
    <n v="12"/>
    <n v="14"/>
    <n v="34"/>
    <n v="306345"/>
    <n v="93"/>
    <n v="0"/>
    <n v="1"/>
    <n v="2"/>
    <n v="1"/>
    <n v="0"/>
    <n v="0"/>
    <n v="95"/>
    <n v="196"/>
    <m/>
    <n v="8"/>
    <x v="11"/>
    <x v="1"/>
    <x v="0"/>
    <x v="3"/>
    <s v="3–8"/>
  </r>
  <r>
    <x v="3"/>
    <x v="1"/>
    <n v="11"/>
    <n v="4"/>
    <n v="4"/>
    <n v="225"/>
    <n v="26"/>
    <n v="9"/>
    <n v="28"/>
    <n v="306345"/>
    <n v="93"/>
    <n v="0"/>
    <n v="1"/>
    <n v="1"/>
    <n v="0"/>
    <n v="0"/>
    <n v="2"/>
    <n v="69"/>
    <n v="169"/>
    <n v="24"/>
    <n v="3"/>
    <x v="11"/>
    <x v="3"/>
    <x v="1"/>
    <x v="2"/>
    <s v="3–8"/>
  </r>
  <r>
    <x v="14"/>
    <x v="21"/>
    <n v="11"/>
    <n v="4"/>
    <n v="4"/>
    <n v="179"/>
    <n v="22"/>
    <n v="17"/>
    <n v="40"/>
    <n v="306345"/>
    <m/>
    <n v="0"/>
    <n v="2"/>
    <n v="2"/>
    <m/>
    <n v="1"/>
    <n v="0"/>
    <n v="63"/>
    <n v="170"/>
    <n v="22"/>
    <n v="8"/>
    <x v="11"/>
    <x v="0"/>
    <x v="1"/>
    <x v="2"/>
    <s v="3–8"/>
  </r>
  <r>
    <x v="3"/>
    <x v="7"/>
    <n v="11"/>
    <n v="6"/>
    <n v="4"/>
    <n v="225"/>
    <n v="26"/>
    <n v="9"/>
    <n v="28"/>
    <n v="306345"/>
    <n v="93"/>
    <n v="0"/>
    <n v="1"/>
    <n v="1"/>
    <n v="0"/>
    <n v="0"/>
    <n v="2"/>
    <n v="69"/>
    <n v="169"/>
    <n v="24"/>
    <n v="3"/>
    <x v="11"/>
    <x v="3"/>
    <x v="1"/>
    <x v="2"/>
    <s v="3–8"/>
  </r>
  <r>
    <x v="18"/>
    <x v="5"/>
    <n v="11"/>
    <n v="6"/>
    <n v="4"/>
    <n v="260"/>
    <n v="50"/>
    <n v="11"/>
    <n v="36"/>
    <m/>
    <n v="93"/>
    <n v="0"/>
    <n v="1"/>
    <n v="4"/>
    <n v="1"/>
    <n v="0"/>
    <n v="0"/>
    <n v="65"/>
    <n v="168"/>
    <n v="23"/>
    <n v="4"/>
    <x v="11"/>
    <x v="1"/>
    <x v="1"/>
    <x v="2"/>
    <s v="3–8"/>
  </r>
  <r>
    <x v="22"/>
    <x v="5"/>
    <n v="11"/>
    <n v="2"/>
    <n v="4"/>
    <n v="248"/>
    <n v="25"/>
    <n v="14"/>
    <n v="47"/>
    <n v="306345"/>
    <n v="93"/>
    <n v="0"/>
    <n v="1"/>
    <n v="2"/>
    <n v="0"/>
    <n v="0"/>
    <n v="1"/>
    <n v="86"/>
    <n v="165"/>
    <n v="32"/>
    <n v="1"/>
    <x v="11"/>
    <x v="0"/>
    <x v="1"/>
    <x v="0"/>
    <s v="0–2"/>
  </r>
  <r>
    <x v="3"/>
    <x v="5"/>
    <n v="11"/>
    <n v="3"/>
    <n v="4"/>
    <n v="225"/>
    <n v="26"/>
    <n v="9"/>
    <n v="28"/>
    <n v="306345"/>
    <n v="93"/>
    <n v="0"/>
    <n v="1"/>
    <n v="1"/>
    <n v="0"/>
    <n v="0"/>
    <n v="2"/>
    <n v="69"/>
    <n v="169"/>
    <n v="24"/>
    <n v="3"/>
    <x v="11"/>
    <x v="3"/>
    <x v="1"/>
    <x v="2"/>
    <s v="3–8"/>
  </r>
  <r>
    <x v="8"/>
    <x v="16"/>
    <n v="11"/>
    <n v="4"/>
    <n v="4"/>
    <n v="289"/>
    <n v="36"/>
    <n v="13"/>
    <n v="33"/>
    <n v="306345"/>
    <n v="93"/>
    <n v="0"/>
    <n v="1"/>
    <n v="2"/>
    <n v="1"/>
    <n v="0"/>
    <n v="1"/>
    <n v="90"/>
    <n v="172"/>
    <n v="30"/>
    <n v="24"/>
    <x v="11"/>
    <x v="1"/>
    <x v="1"/>
    <x v="0"/>
    <s v="17+"/>
  </r>
  <r>
    <x v="10"/>
    <x v="1"/>
    <n v="11"/>
    <n v="5"/>
    <n v="4"/>
    <n v="291"/>
    <n v="31"/>
    <n v="12"/>
    <n v="40"/>
    <n v="306345"/>
    <n v="93"/>
    <n v="0"/>
    <n v="1"/>
    <n v="1"/>
    <n v="1"/>
    <n v="0"/>
    <n v="1"/>
    <n v="73"/>
    <n v="171"/>
    <n v="25"/>
    <n v="3"/>
    <x v="11"/>
    <x v="0"/>
    <x v="1"/>
    <x v="1"/>
    <s v="3–8"/>
  </r>
  <r>
    <x v="4"/>
    <x v="15"/>
    <n v="11"/>
    <n v="2"/>
    <n v="4"/>
    <n v="118"/>
    <n v="10"/>
    <n v="10"/>
    <n v="37"/>
    <n v="284031"/>
    <n v="97"/>
    <n v="0"/>
    <n v="1"/>
    <n v="0"/>
    <n v="0"/>
    <n v="0"/>
    <n v="0"/>
    <n v="83"/>
    <n v="172"/>
    <n v="28"/>
    <n v="8"/>
    <x v="11"/>
    <x v="1"/>
    <x v="2"/>
    <x v="1"/>
    <s v="3–8"/>
  </r>
  <r>
    <x v="22"/>
    <x v="1"/>
    <n v="11"/>
    <n v="2"/>
    <n v="4"/>
    <n v="248"/>
    <n v="25"/>
    <n v="14"/>
    <n v="47"/>
    <n v="284031"/>
    <n v="97"/>
    <n v="0"/>
    <n v="1"/>
    <n v="2"/>
    <n v="0"/>
    <n v="0"/>
    <n v="1"/>
    <n v="86"/>
    <n v="165"/>
    <n v="32"/>
    <n v="2"/>
    <x v="11"/>
    <x v="0"/>
    <x v="1"/>
    <x v="0"/>
    <s v="0–2"/>
  </r>
  <r>
    <x v="13"/>
    <x v="19"/>
    <n v="11"/>
    <n v="3"/>
    <n v="4"/>
    <n v="179"/>
    <n v="51"/>
    <n v="18"/>
    <n v="38"/>
    <n v="284031"/>
    <n v="97"/>
    <n v="0"/>
    <n v="1"/>
    <n v="0"/>
    <n v="1"/>
    <n v="0"/>
    <n v="0"/>
    <n v="89"/>
    <n v="170"/>
    <n v="31"/>
    <n v="8"/>
    <x v="11"/>
    <x v="1"/>
    <x v="1"/>
    <x v="0"/>
    <s v="3–8"/>
  </r>
  <r>
    <x v="18"/>
    <x v="5"/>
    <n v="11"/>
    <n v="6"/>
    <n v="4"/>
    <n v="260"/>
    <n v="50"/>
    <n v="11"/>
    <n v="36"/>
    <n v="284031"/>
    <n v="97"/>
    <n v="0"/>
    <n v="1"/>
    <n v="4"/>
    <n v="1"/>
    <n v="0"/>
    <n v="0"/>
    <n v="65"/>
    <n v="168"/>
    <n v="23"/>
    <n v="3"/>
    <x v="11"/>
    <x v="1"/>
    <x v="1"/>
    <x v="2"/>
    <s v="3–8"/>
  </r>
  <r>
    <x v="10"/>
    <x v="1"/>
    <n v="11"/>
    <n v="2"/>
    <n v="4"/>
    <n v="291"/>
    <n v="31"/>
    <n v="12"/>
    <n v="40"/>
    <n v="284031"/>
    <n v="97"/>
    <n v="0"/>
    <n v="1"/>
    <n v="1"/>
    <n v="1"/>
    <n v="0"/>
    <n v="1"/>
    <n v="73"/>
    <n v="171"/>
    <n v="25"/>
    <n v="1"/>
    <x v="11"/>
    <x v="0"/>
    <x v="1"/>
    <x v="1"/>
    <s v="0–2"/>
  </r>
  <r>
    <x v="28"/>
    <x v="14"/>
    <n v="11"/>
    <n v="2"/>
    <n v="4"/>
    <n v="378"/>
    <n v="49"/>
    <n v="11"/>
    <n v="36"/>
    <n v="284031"/>
    <n v="97"/>
    <n v="0"/>
    <n v="1"/>
    <n v="2"/>
    <n v="0"/>
    <n v="1"/>
    <n v="4"/>
    <n v="65"/>
    <n v="174"/>
    <n v="21"/>
    <n v="8"/>
    <x v="11"/>
    <x v="1"/>
    <x v="1"/>
    <x v="2"/>
    <s v="3–8"/>
  </r>
  <r>
    <x v="5"/>
    <x v="15"/>
    <n v="11"/>
    <n v="2"/>
    <n v="4"/>
    <n v="155"/>
    <n v="12"/>
    <n v="14"/>
    <n v="34"/>
    <n v="284031"/>
    <n v="97"/>
    <n v="0"/>
    <n v="1"/>
    <n v="2"/>
    <n v="1"/>
    <n v="0"/>
    <n v="0"/>
    <n v="95"/>
    <n v="196"/>
    <n v="25"/>
    <m/>
    <x v="11"/>
    <x v="1"/>
    <x v="0"/>
    <x v="1"/>
    <s v="0–2"/>
  </r>
  <r>
    <x v="11"/>
    <x v="8"/>
    <n v="11"/>
    <n v="2"/>
    <n v="4"/>
    <n v="235"/>
    <n v="20"/>
    <n v="13"/>
    <n v="43"/>
    <n v="284031"/>
    <n v="97"/>
    <n v="0"/>
    <n v="1"/>
    <n v="1"/>
    <n v="1"/>
    <n v="0"/>
    <n v="0"/>
    <n v="106"/>
    <n v="167"/>
    <n v="38"/>
    <n v="8"/>
    <x v="11"/>
    <x v="0"/>
    <x v="0"/>
    <x v="0"/>
    <s v="3–8"/>
  </r>
  <r>
    <x v="20"/>
    <x v="0"/>
    <n v="11"/>
    <n v="3"/>
    <n v="4"/>
    <n v="330"/>
    <n v="16"/>
    <n v="4"/>
    <n v="28"/>
    <n v="284031"/>
    <n v="97"/>
    <n v="1"/>
    <n v="2"/>
    <n v="0"/>
    <n v="0"/>
    <n v="0"/>
    <n v="0"/>
    <n v="84"/>
    <n v="182"/>
    <n v="25"/>
    <n v="0"/>
    <x v="11"/>
    <x v="3"/>
    <x v="0"/>
    <x v="1"/>
    <s v="0–2"/>
  </r>
  <r>
    <x v="9"/>
    <x v="4"/>
    <n v="11"/>
    <n v="4"/>
    <n v="4"/>
    <n v="235"/>
    <n v="11"/>
    <n v="14"/>
    <n v="37"/>
    <n v="284031"/>
    <n v="97"/>
    <n v="0"/>
    <n v="3"/>
    <n v="1"/>
    <n v="0"/>
    <n v="0"/>
    <n v="1"/>
    <n v="88"/>
    <n v="172"/>
    <n v="29"/>
    <n v="1"/>
    <x v="11"/>
    <x v="1"/>
    <x v="0"/>
    <x v="1"/>
    <s v="0–2"/>
  </r>
  <r>
    <x v="4"/>
    <x v="15"/>
    <n v="11"/>
    <n v="4"/>
    <n v="4"/>
    <n v="118"/>
    <n v="10"/>
    <n v="10"/>
    <n v="37"/>
    <n v="284031"/>
    <n v="97"/>
    <n v="0"/>
    <n v="1"/>
    <n v="0"/>
    <n v="0"/>
    <n v="0"/>
    <n v="0"/>
    <n v="83"/>
    <n v="172"/>
    <n v="28"/>
    <n v="3"/>
    <x v="11"/>
    <x v="1"/>
    <x v="2"/>
    <x v="1"/>
    <s v="3–8"/>
  </r>
  <r>
    <x v="9"/>
    <x v="12"/>
    <n v="11"/>
    <n v="5"/>
    <n v="4"/>
    <n v="235"/>
    <n v="11"/>
    <n v="14"/>
    <n v="37"/>
    <n v="284031"/>
    <n v="97"/>
    <n v="0"/>
    <n v="3"/>
    <n v="1"/>
    <n v="0"/>
    <n v="0"/>
    <n v="1"/>
    <n v="88"/>
    <n v="172"/>
    <n v="29"/>
    <n v="2"/>
    <x v="11"/>
    <x v="1"/>
    <x v="0"/>
    <x v="1"/>
    <s v="0–2"/>
  </r>
  <r>
    <x v="13"/>
    <x v="5"/>
    <n v="11"/>
    <n v="5"/>
    <n v="4"/>
    <n v="179"/>
    <n v="51"/>
    <n v="18"/>
    <n v="38"/>
    <n v="284031"/>
    <n v="97"/>
    <n v="0"/>
    <n v="1"/>
    <n v="0"/>
    <n v="1"/>
    <n v="0"/>
    <n v="0"/>
    <n v="89"/>
    <n v="170"/>
    <n v="31"/>
    <n v="3"/>
    <x v="11"/>
    <x v="1"/>
    <x v="1"/>
    <x v="0"/>
    <s v="3–8"/>
  </r>
  <r>
    <x v="16"/>
    <x v="7"/>
    <n v="11"/>
    <n v="6"/>
    <n v="4"/>
    <n v="246"/>
    <n v="25"/>
    <n v="16"/>
    <n v="41"/>
    <n v="284031"/>
    <n v="97"/>
    <n v="0"/>
    <n v="1"/>
    <n v="0"/>
    <n v="1"/>
    <n v="0"/>
    <n v="0"/>
    <n v="67"/>
    <n v="170"/>
    <n v="23"/>
    <n v="8"/>
    <x v="11"/>
    <x v="0"/>
    <x v="1"/>
    <x v="2"/>
    <s v="3–8"/>
  </r>
  <r>
    <x v="10"/>
    <x v="11"/>
    <n v="11"/>
    <n v="6"/>
    <n v="4"/>
    <n v="291"/>
    <n v="31"/>
    <n v="12"/>
    <n v="40"/>
    <n v="284031"/>
    <n v="97"/>
    <n v="0"/>
    <n v="1"/>
    <n v="1"/>
    <n v="1"/>
    <n v="0"/>
    <n v="1"/>
    <n v="73"/>
    <n v="171"/>
    <n v="25"/>
    <n v="4"/>
    <x v="11"/>
    <x v="0"/>
    <x v="1"/>
    <x v="1"/>
    <s v="3–8"/>
  </r>
  <r>
    <x v="16"/>
    <x v="7"/>
    <n v="11"/>
    <n v="2"/>
    <n v="4"/>
    <n v="246"/>
    <n v="25"/>
    <n v="16"/>
    <n v="41"/>
    <n v="284031"/>
    <n v="97"/>
    <n v="0"/>
    <n v="1"/>
    <n v="0"/>
    <n v="1"/>
    <n v="0"/>
    <n v="0"/>
    <n v="67"/>
    <n v="170"/>
    <n v="23"/>
    <n v="8"/>
    <x v="11"/>
    <x v="0"/>
    <x v="1"/>
    <x v="2"/>
    <s v="3–8"/>
  </r>
  <r>
    <x v="13"/>
    <x v="5"/>
    <n v="11"/>
    <n v="3"/>
    <n v="4"/>
    <n v="179"/>
    <n v="51"/>
    <n v="18"/>
    <n v="38"/>
    <n v="284031"/>
    <n v="97"/>
    <n v="0"/>
    <n v="1"/>
    <n v="0"/>
    <n v="1"/>
    <n v="0"/>
    <n v="0"/>
    <n v="89"/>
    <n v="170"/>
    <n v="31"/>
    <n v="1"/>
    <x v="11"/>
    <x v="1"/>
    <x v="1"/>
    <x v="0"/>
    <s v="0–2"/>
  </r>
  <r>
    <x v="18"/>
    <x v="13"/>
    <n v="11"/>
    <n v="4"/>
    <n v="4"/>
    <n v="260"/>
    <n v="50"/>
    <n v="11"/>
    <n v="36"/>
    <n v="284031"/>
    <n v="97"/>
    <n v="0"/>
    <n v="1"/>
    <n v="4"/>
    <n v="1"/>
    <n v="0"/>
    <n v="0"/>
    <n v="65"/>
    <n v="168"/>
    <n v="23"/>
    <n v="8"/>
    <x v="11"/>
    <x v="1"/>
    <x v="1"/>
    <x v="2"/>
    <s v="3–8"/>
  </r>
  <r>
    <x v="18"/>
    <x v="24"/>
    <n v="11"/>
    <n v="6"/>
    <n v="4"/>
    <n v="260"/>
    <n v="50"/>
    <n v="11"/>
    <n v="36"/>
    <n v="284031"/>
    <n v="97"/>
    <n v="0"/>
    <n v="1"/>
    <n v="4"/>
    <n v="1"/>
    <n v="0"/>
    <n v="0"/>
    <n v="65"/>
    <n v="168"/>
    <n v="23"/>
    <n v="8"/>
    <x v="11"/>
    <x v="1"/>
    <x v="1"/>
    <x v="2"/>
    <s v="3–8"/>
  </r>
  <r>
    <x v="28"/>
    <x v="0"/>
    <n v="11"/>
    <n v="6"/>
    <n v="4"/>
    <n v="378"/>
    <n v="49"/>
    <n v="11"/>
    <n v="36"/>
    <n v="284031"/>
    <n v="97"/>
    <n v="1"/>
    <n v="1"/>
    <n v="2"/>
    <n v="0"/>
    <n v="1"/>
    <n v="4"/>
    <n v="65"/>
    <n v="174"/>
    <n v="21"/>
    <n v="0"/>
    <x v="11"/>
    <x v="1"/>
    <x v="1"/>
    <x v="2"/>
    <s v="0–2"/>
  </r>
  <r>
    <x v="27"/>
    <x v="0"/>
    <n v="11"/>
    <n v="3"/>
    <n v="4"/>
    <n v="279"/>
    <n v="5"/>
    <n v="14"/>
    <n v="39"/>
    <n v="284031"/>
    <n v="97"/>
    <n v="1"/>
    <n v="1"/>
    <n v="2"/>
    <n v="1"/>
    <n v="1"/>
    <n v="0"/>
    <n v="68"/>
    <n v="168"/>
    <n v="24"/>
    <n v="120"/>
    <x v="11"/>
    <x v="1"/>
    <x v="3"/>
    <x v="2"/>
    <s v="17+"/>
  </r>
  <r>
    <x v="13"/>
    <x v="1"/>
    <n v="11"/>
    <n v="5"/>
    <n v="4"/>
    <n v="179"/>
    <n v="51"/>
    <n v="18"/>
    <n v="38"/>
    <n v="284031"/>
    <n v="97"/>
    <n v="0"/>
    <n v="1"/>
    <n v="0"/>
    <n v="1"/>
    <n v="0"/>
    <n v="0"/>
    <n v="89"/>
    <n v="170"/>
    <n v="31"/>
    <n v="1"/>
    <x v="11"/>
    <x v="1"/>
    <x v="1"/>
    <x v="0"/>
    <s v="0–2"/>
  </r>
  <r>
    <x v="13"/>
    <x v="21"/>
    <n v="11"/>
    <n v="3"/>
    <n v="4"/>
    <n v="179"/>
    <n v="51"/>
    <n v="18"/>
    <n v="38"/>
    <n v="268519"/>
    <n v="93"/>
    <n v="0"/>
    <n v="1"/>
    <n v="0"/>
    <n v="1"/>
    <n v="0"/>
    <n v="0"/>
    <n v="89"/>
    <n v="170"/>
    <n v="31"/>
    <n v="1"/>
    <x v="11"/>
    <x v="1"/>
    <x v="1"/>
    <x v="0"/>
    <s v="0–2"/>
  </r>
  <r>
    <x v="4"/>
    <x v="5"/>
    <n v="11"/>
    <n v="4"/>
    <n v="4"/>
    <n v="118"/>
    <n v="10"/>
    <n v="10"/>
    <n v="37"/>
    <n v="268519"/>
    <n v="93"/>
    <n v="0"/>
    <n v="1"/>
    <n v="0"/>
    <n v="0"/>
    <n v="0"/>
    <n v="0"/>
    <n v="83"/>
    <n v="172"/>
    <n v="28"/>
    <n v="3"/>
    <x v="11"/>
    <x v="1"/>
    <x v="2"/>
    <x v="1"/>
    <s v="3–8"/>
  </r>
  <r>
    <x v="20"/>
    <x v="28"/>
    <n v="11"/>
    <n v="4"/>
    <n v="4"/>
    <n v="330"/>
    <n v="16"/>
    <n v="4"/>
    <n v="28"/>
    <n v="268519"/>
    <n v="93"/>
    <n v="0"/>
    <n v="2"/>
    <n v="0"/>
    <n v="0"/>
    <n v="0"/>
    <n v="0"/>
    <n v="84"/>
    <n v="182"/>
    <n v="25"/>
    <n v="24"/>
    <x v="11"/>
    <x v="3"/>
    <x v="0"/>
    <x v="1"/>
    <s v="17+"/>
  </r>
  <r>
    <x v="13"/>
    <x v="5"/>
    <n v="11"/>
    <n v="6"/>
    <n v="4"/>
    <n v="179"/>
    <n v="51"/>
    <n v="18"/>
    <n v="38"/>
    <n v="268519"/>
    <n v="93"/>
    <n v="0"/>
    <n v="1"/>
    <n v="0"/>
    <n v="1"/>
    <n v="0"/>
    <n v="0"/>
    <n v="89"/>
    <n v="170"/>
    <n v="31"/>
    <n v="1"/>
    <x v="11"/>
    <x v="1"/>
    <x v="1"/>
    <x v="0"/>
    <s v="0–2"/>
  </r>
  <r>
    <x v="4"/>
    <x v="25"/>
    <n v="11"/>
    <n v="3"/>
    <n v="4"/>
    <n v="118"/>
    <n v="10"/>
    <n v="10"/>
    <n v="37"/>
    <n v="268519"/>
    <n v="93"/>
    <n v="0"/>
    <n v="1"/>
    <n v="0"/>
    <n v="0"/>
    <n v="0"/>
    <n v="0"/>
    <n v="83"/>
    <n v="172"/>
    <n v="28"/>
    <n v="8"/>
    <x v="11"/>
    <x v="1"/>
    <x v="2"/>
    <x v="1"/>
    <s v="3–8"/>
  </r>
  <r>
    <x v="8"/>
    <x v="26"/>
    <n v="11"/>
    <n v="4"/>
    <n v="4"/>
    <n v="289"/>
    <n v="36"/>
    <n v="13"/>
    <n v="33"/>
    <n v="268519"/>
    <n v="93"/>
    <n v="0"/>
    <n v="1"/>
    <n v="2"/>
    <n v="1"/>
    <n v="0"/>
    <n v="1"/>
    <n v="90"/>
    <n v="172"/>
    <n v="30"/>
    <n v="8"/>
    <x v="11"/>
    <x v="1"/>
    <x v="1"/>
    <x v="0"/>
    <s v="3–8"/>
  </r>
  <r>
    <x v="25"/>
    <x v="14"/>
    <n v="11"/>
    <n v="6"/>
    <n v="4"/>
    <n v="235"/>
    <n v="16"/>
    <n v="8"/>
    <n v="32"/>
    <n v="268519"/>
    <n v="93"/>
    <n v="0"/>
    <n v="3"/>
    <n v="0"/>
    <n v="0"/>
    <n v="0"/>
    <n v="0"/>
    <n v="75"/>
    <n v="178"/>
    <n v="25"/>
    <n v="8"/>
    <x v="11"/>
    <x v="1"/>
    <x v="0"/>
    <x v="1"/>
    <s v="3–8"/>
  </r>
  <r>
    <x v="3"/>
    <x v="1"/>
    <n v="11"/>
    <n v="6"/>
    <n v="4"/>
    <n v="225"/>
    <n v="26"/>
    <n v="9"/>
    <n v="28"/>
    <n v="268519"/>
    <n v="93"/>
    <n v="0"/>
    <n v="1"/>
    <n v="1"/>
    <n v="0"/>
    <n v="0"/>
    <n v="2"/>
    <n v="69"/>
    <n v="169"/>
    <n v="24"/>
    <n v="4"/>
    <x v="11"/>
    <x v="3"/>
    <x v="1"/>
    <x v="2"/>
    <s v="3–8"/>
  </r>
  <r>
    <x v="29"/>
    <x v="6"/>
    <n v="11"/>
    <n v="3"/>
    <n v="4"/>
    <n v="361"/>
    <n v="52"/>
    <n v="3"/>
    <n v="28"/>
    <n v="268519"/>
    <n v="93"/>
    <n v="0"/>
    <n v="1"/>
    <n v="1"/>
    <n v="1"/>
    <n v="0"/>
    <n v="4"/>
    <n v="80"/>
    <n v="172"/>
    <n v="27"/>
    <n v="8"/>
    <x v="11"/>
    <x v="3"/>
    <x v="1"/>
    <x v="1"/>
    <s v="3–8"/>
  </r>
  <r>
    <x v="10"/>
    <x v="5"/>
    <n v="11"/>
    <n v="4"/>
    <n v="4"/>
    <n v="291"/>
    <n v="31"/>
    <n v="12"/>
    <n v="40"/>
    <n v="268519"/>
    <n v="93"/>
    <n v="0"/>
    <n v="1"/>
    <n v="1"/>
    <n v="1"/>
    <n v="0"/>
    <n v="1"/>
    <n v="73"/>
    <n v="171"/>
    <n v="25"/>
    <n v="2"/>
    <x v="11"/>
    <x v="0"/>
    <x v="1"/>
    <x v="1"/>
    <s v="0–2"/>
  </r>
  <r>
    <x v="4"/>
    <x v="7"/>
    <n v="11"/>
    <n v="5"/>
    <n v="4"/>
    <n v="118"/>
    <n v="10"/>
    <n v="10"/>
    <n v="37"/>
    <n v="268519"/>
    <n v="93"/>
    <n v="0"/>
    <n v="1"/>
    <n v="0"/>
    <n v="0"/>
    <n v="0"/>
    <n v="0"/>
    <n v="83"/>
    <n v="172"/>
    <n v="28"/>
    <n v="2"/>
    <x v="11"/>
    <x v="1"/>
    <x v="2"/>
    <x v="1"/>
    <s v="0–2"/>
  </r>
  <r>
    <x v="3"/>
    <x v="18"/>
    <n v="11"/>
    <n v="5"/>
    <n v="4"/>
    <n v="225"/>
    <n v="26"/>
    <n v="9"/>
    <n v="28"/>
    <n v="268519"/>
    <n v="93"/>
    <n v="0"/>
    <n v="1"/>
    <n v="1"/>
    <n v="0"/>
    <n v="0"/>
    <n v="2"/>
    <n v="69"/>
    <n v="169"/>
    <n v="24"/>
    <n v="3"/>
    <x v="11"/>
    <x v="3"/>
    <x v="1"/>
    <x v="2"/>
    <s v="3–8"/>
  </r>
  <r>
    <x v="13"/>
    <x v="5"/>
    <n v="11"/>
    <n v="2"/>
    <n v="4"/>
    <n v="179"/>
    <n v="51"/>
    <n v="18"/>
    <n v="38"/>
    <n v="268519"/>
    <n v="93"/>
    <n v="0"/>
    <n v="1"/>
    <n v="0"/>
    <n v="1"/>
    <n v="0"/>
    <n v="0"/>
    <n v="89"/>
    <n v="170"/>
    <n v="31"/>
    <n v="1"/>
    <x v="11"/>
    <x v="1"/>
    <x v="1"/>
    <x v="0"/>
    <s v="0–2"/>
  </r>
  <r>
    <x v="4"/>
    <x v="1"/>
    <n v="11"/>
    <n v="2"/>
    <n v="4"/>
    <n v="118"/>
    <n v="10"/>
    <n v="10"/>
    <n v="37"/>
    <n v="268519"/>
    <n v="93"/>
    <n v="0"/>
    <n v="1"/>
    <n v="0"/>
    <n v="0"/>
    <n v="0"/>
    <n v="0"/>
    <n v="83"/>
    <n v="172"/>
    <n v="28"/>
    <n v="8"/>
    <x v="11"/>
    <x v="1"/>
    <x v="2"/>
    <x v="1"/>
    <s v="3–8"/>
  </r>
  <r>
    <x v="4"/>
    <x v="20"/>
    <n v="11"/>
    <n v="3"/>
    <n v="4"/>
    <n v="118"/>
    <n v="10"/>
    <n v="10"/>
    <n v="37"/>
    <n v="268519"/>
    <n v="93"/>
    <n v="0"/>
    <n v="1"/>
    <n v="0"/>
    <n v="0"/>
    <n v="0"/>
    <n v="0"/>
    <n v="83"/>
    <n v="172"/>
    <n v="28"/>
    <n v="8"/>
    <x v="11"/>
    <x v="1"/>
    <x v="2"/>
    <x v="1"/>
    <s v="3–8"/>
  </r>
  <r>
    <x v="3"/>
    <x v="1"/>
    <n v="11"/>
    <n v="3"/>
    <n v="4"/>
    <n v="225"/>
    <n v="26"/>
    <n v="9"/>
    <n v="28"/>
    <n v="268519"/>
    <n v="93"/>
    <n v="0"/>
    <n v="1"/>
    <n v="1"/>
    <n v="0"/>
    <n v="0"/>
    <n v="2"/>
    <n v="69"/>
    <n v="169"/>
    <n v="24"/>
    <n v="2"/>
    <x v="11"/>
    <x v="3"/>
    <x v="1"/>
    <x v="2"/>
    <s v="0–2"/>
  </r>
  <r>
    <x v="10"/>
    <x v="0"/>
    <n v="11"/>
    <n v="3"/>
    <n v="4"/>
    <n v="291"/>
    <n v="31"/>
    <n v="12"/>
    <n v="40"/>
    <n v="268519"/>
    <n v="93"/>
    <n v="1"/>
    <n v="1"/>
    <n v="1"/>
    <n v="1"/>
    <n v="0"/>
    <n v="1"/>
    <n v="73"/>
    <n v="171"/>
    <n v="25"/>
    <n v="0"/>
    <x v="11"/>
    <x v="0"/>
    <x v="1"/>
    <x v="1"/>
    <s v="0–2"/>
  </r>
  <r>
    <x v="8"/>
    <x v="0"/>
    <n v="11"/>
    <n v="4"/>
    <n v="4"/>
    <n v="289"/>
    <n v="36"/>
    <n v="13"/>
    <n v="33"/>
    <n v="268519"/>
    <n v="93"/>
    <n v="1"/>
    <n v="1"/>
    <n v="2"/>
    <n v="1"/>
    <n v="0"/>
    <n v="1"/>
    <n v="90"/>
    <n v="172"/>
    <n v="30"/>
    <n v="0"/>
    <x v="11"/>
    <x v="1"/>
    <x v="1"/>
    <x v="0"/>
    <s v="0–2"/>
  </r>
  <r>
    <x v="22"/>
    <x v="18"/>
    <n v="11"/>
    <n v="5"/>
    <n v="4"/>
    <n v="248"/>
    <n v="25"/>
    <n v="14"/>
    <n v="47"/>
    <n v="268519"/>
    <n v="93"/>
    <n v="0"/>
    <n v="1"/>
    <n v="2"/>
    <n v="0"/>
    <n v="0"/>
    <n v="1"/>
    <n v="86"/>
    <n v="165"/>
    <n v="32"/>
    <n v="4"/>
    <x v="11"/>
    <x v="0"/>
    <x v="1"/>
    <x v="0"/>
    <s v="3–8"/>
  </r>
  <r>
    <x v="11"/>
    <x v="0"/>
    <n v="11"/>
    <n v="5"/>
    <n v="4"/>
    <n v="235"/>
    <n v="20"/>
    <n v="13"/>
    <n v="43"/>
    <n v="268519"/>
    <n v="93"/>
    <n v="1"/>
    <n v="1"/>
    <n v="1"/>
    <n v="1"/>
    <n v="0"/>
    <n v="0"/>
    <n v="106"/>
    <n v="167"/>
    <n v="38"/>
    <m/>
    <x v="11"/>
    <x v="0"/>
    <x v="0"/>
    <x v="0"/>
    <s v="0–2"/>
  </r>
  <r>
    <x v="3"/>
    <x v="1"/>
    <n v="11"/>
    <n v="6"/>
    <n v="4"/>
    <n v="225"/>
    <n v="26"/>
    <n v="9"/>
    <n v="28"/>
    <n v="268519"/>
    <n v="93"/>
    <n v="0"/>
    <n v="1"/>
    <n v="1"/>
    <n v="0"/>
    <n v="0"/>
    <n v="2"/>
    <n v="69"/>
    <n v="169"/>
    <n v="24"/>
    <m/>
    <x v="11"/>
    <x v="3"/>
    <x v="1"/>
    <x v="2"/>
    <s v="0–2"/>
  </r>
  <r>
    <x v="30"/>
    <x v="8"/>
    <n v="11"/>
    <n v="6"/>
    <n v="4"/>
    <n v="369"/>
    <n v="17"/>
    <n v="12"/>
    <n v="31"/>
    <n v="268519"/>
    <n v="93"/>
    <n v="0"/>
    <n v="1"/>
    <n v="3"/>
    <n v="1"/>
    <n v="0"/>
    <n v="0"/>
    <n v="70"/>
    <n v="169"/>
    <n v="25"/>
    <m/>
    <x v="11"/>
    <x v="1"/>
    <x v="0"/>
    <x v="1"/>
    <s v="0–2"/>
  </r>
  <r>
    <x v="29"/>
    <x v="5"/>
    <n v="11"/>
    <n v="2"/>
    <n v="4"/>
    <n v="361"/>
    <n v="52"/>
    <n v="3"/>
    <n v="28"/>
    <n v="268519"/>
    <n v="93"/>
    <n v="0"/>
    <n v="1"/>
    <n v="1"/>
    <n v="1"/>
    <n v="0"/>
    <n v="4"/>
    <n v="80"/>
    <n v="172"/>
    <n v="27"/>
    <n v="2"/>
    <x v="11"/>
    <x v="3"/>
    <x v="1"/>
    <x v="1"/>
    <s v="0–2"/>
  </r>
  <r>
    <x v="22"/>
    <x v="1"/>
    <n v="12"/>
    <n v="3"/>
    <n v="4"/>
    <n v="248"/>
    <n v="25"/>
    <n v="14"/>
    <n v="47"/>
    <n v="261306"/>
    <n v="97"/>
    <n v="0"/>
    <n v="1"/>
    <n v="2"/>
    <n v="0"/>
    <n v="0"/>
    <n v="1"/>
    <n v="86"/>
    <n v="165"/>
    <n v="32"/>
    <n v="1"/>
    <x v="12"/>
    <x v="0"/>
    <x v="1"/>
    <x v="0"/>
    <s v="0–2"/>
  </r>
  <r>
    <x v="4"/>
    <x v="2"/>
    <n v="12"/>
    <n v="3"/>
    <n v="4"/>
    <n v="118"/>
    <n v="10"/>
    <n v="10"/>
    <n v="37"/>
    <n v="261306"/>
    <n v="97"/>
    <n v="0"/>
    <n v="1"/>
    <n v="0"/>
    <n v="0"/>
    <n v="0"/>
    <n v="0"/>
    <n v="83"/>
    <n v="172"/>
    <m/>
    <n v="64"/>
    <x v="12"/>
    <x v="1"/>
    <x v="2"/>
    <x v="3"/>
    <s v="17+"/>
  </r>
  <r>
    <x v="12"/>
    <x v="1"/>
    <n v="12"/>
    <n v="4"/>
    <n v="4"/>
    <n v="118"/>
    <n v="13"/>
    <n v="18"/>
    <n v="50"/>
    <n v="261306"/>
    <n v="97"/>
    <n v="0"/>
    <n v="1"/>
    <n v="1"/>
    <n v="1"/>
    <n v="0"/>
    <n v="0"/>
    <n v="98"/>
    <n v="178"/>
    <m/>
    <n v="2"/>
    <x v="12"/>
    <x v="2"/>
    <x v="0"/>
    <x v="3"/>
    <s v="0–2"/>
  </r>
  <r>
    <x v="9"/>
    <x v="8"/>
    <n v="12"/>
    <n v="4"/>
    <n v="4"/>
    <n v="235"/>
    <n v="11"/>
    <n v="14"/>
    <n v="37"/>
    <n v="261306"/>
    <n v="97"/>
    <n v="0"/>
    <n v="3"/>
    <n v="1"/>
    <n v="0"/>
    <n v="0"/>
    <n v="1"/>
    <n v="88"/>
    <n v="172"/>
    <n v="29"/>
    <n v="8"/>
    <x v="12"/>
    <x v="1"/>
    <x v="0"/>
    <x v="1"/>
    <s v="3–8"/>
  </r>
  <r>
    <x v="3"/>
    <x v="1"/>
    <n v="12"/>
    <n v="5"/>
    <n v="4"/>
    <n v="225"/>
    <n v="26"/>
    <n v="9"/>
    <n v="28"/>
    <n v="261306"/>
    <n v="97"/>
    <n v="0"/>
    <n v="1"/>
    <n v="1"/>
    <n v="0"/>
    <n v="0"/>
    <n v="2"/>
    <n v="69"/>
    <n v="169"/>
    <n v="24"/>
    <n v="2"/>
    <x v="12"/>
    <x v="3"/>
    <x v="1"/>
    <x v="2"/>
    <s v="0–2"/>
  </r>
  <r>
    <x v="18"/>
    <x v="8"/>
    <n v="12"/>
    <n v="6"/>
    <n v="4"/>
    <n v="260"/>
    <n v="50"/>
    <n v="11"/>
    <n v="36"/>
    <n v="261306"/>
    <n v="97"/>
    <n v="0"/>
    <n v="1"/>
    <n v="4"/>
    <n v="1"/>
    <n v="0"/>
    <n v="0"/>
    <n v="65"/>
    <n v="168"/>
    <n v="23"/>
    <n v="8"/>
    <x v="12"/>
    <x v="1"/>
    <x v="1"/>
    <x v="2"/>
    <s v="3–8"/>
  </r>
  <r>
    <x v="4"/>
    <x v="2"/>
    <n v="12"/>
    <n v="3"/>
    <n v="4"/>
    <n v="118"/>
    <n v="10"/>
    <n v="10"/>
    <n v="37"/>
    <m/>
    <n v="97"/>
    <n v="0"/>
    <n v="1"/>
    <n v="0"/>
    <n v="0"/>
    <n v="0"/>
    <n v="0"/>
    <n v="83"/>
    <n v="172"/>
    <n v="28"/>
    <n v="56"/>
    <x v="12"/>
    <x v="1"/>
    <x v="2"/>
    <x v="1"/>
    <s v="17+"/>
  </r>
  <r>
    <x v="29"/>
    <x v="6"/>
    <n v="12"/>
    <n v="4"/>
    <n v="4"/>
    <n v="361"/>
    <n v="52"/>
    <n v="3"/>
    <n v="28"/>
    <m/>
    <n v="97"/>
    <n v="0"/>
    <n v="1"/>
    <n v="1"/>
    <n v="1"/>
    <n v="0"/>
    <n v="4"/>
    <n v="80"/>
    <n v="172"/>
    <n v="27"/>
    <n v="8"/>
    <x v="12"/>
    <x v="3"/>
    <x v="1"/>
    <x v="1"/>
    <s v="3–8"/>
  </r>
  <r>
    <x v="3"/>
    <x v="5"/>
    <n v="12"/>
    <n v="5"/>
    <n v="4"/>
    <n v="225"/>
    <n v="26"/>
    <m/>
    <n v="28"/>
    <n v="261306"/>
    <n v="97"/>
    <n v="0"/>
    <n v="1"/>
    <n v="1"/>
    <n v="0"/>
    <n v="0"/>
    <n v="2"/>
    <n v="69"/>
    <n v="169"/>
    <m/>
    <n v="3"/>
    <x v="12"/>
    <x v="3"/>
    <x v="1"/>
    <x v="3"/>
    <s v="3–8"/>
  </r>
  <r>
    <x v="18"/>
    <x v="5"/>
    <n v="12"/>
    <n v="6"/>
    <n v="4"/>
    <n v="260"/>
    <n v="50"/>
    <n v="11"/>
    <n v="36"/>
    <n v="261306"/>
    <n v="97"/>
    <n v="0"/>
    <n v="1"/>
    <n v="4"/>
    <n v="1"/>
    <n v="0"/>
    <n v="0"/>
    <n v="65"/>
    <n v="168"/>
    <m/>
    <n v="3"/>
    <x v="12"/>
    <x v="1"/>
    <x v="1"/>
    <x v="3"/>
    <s v="3–8"/>
  </r>
  <r>
    <x v="3"/>
    <x v="1"/>
    <n v="12"/>
    <n v="3"/>
    <n v="4"/>
    <n v="225"/>
    <n v="26"/>
    <n v="9"/>
    <n v="28"/>
    <n v="261306"/>
    <n v="97"/>
    <n v="0"/>
    <n v="1"/>
    <n v="1"/>
    <n v="0"/>
    <n v="0"/>
    <n v="2"/>
    <n v="69"/>
    <n v="169"/>
    <m/>
    <n v="2"/>
    <x v="12"/>
    <x v="3"/>
    <x v="1"/>
    <x v="3"/>
    <s v="0–2"/>
  </r>
  <r>
    <x v="29"/>
    <x v="6"/>
    <n v="12"/>
    <n v="4"/>
    <n v="4"/>
    <n v="361"/>
    <n v="52"/>
    <n v="3"/>
    <n v="28"/>
    <n v="261306"/>
    <n v="97"/>
    <m/>
    <m/>
    <n v="1"/>
    <n v="1"/>
    <n v="0"/>
    <n v="4"/>
    <n v="80"/>
    <m/>
    <n v="27"/>
    <n v="8"/>
    <x v="12"/>
    <x v="3"/>
    <x v="1"/>
    <x v="1"/>
    <s v="3–8"/>
  </r>
  <r>
    <x v="4"/>
    <x v="3"/>
    <n v="12"/>
    <n v="6"/>
    <n v="4"/>
    <n v="118"/>
    <n v="10"/>
    <n v="10"/>
    <n v="37"/>
    <n v="261306"/>
    <n v="97"/>
    <m/>
    <m/>
    <n v="0"/>
    <n v="0"/>
    <n v="0"/>
    <n v="0"/>
    <n v="83"/>
    <n v="172"/>
    <n v="28"/>
    <n v="2"/>
    <x v="12"/>
    <x v="1"/>
    <x v="2"/>
    <x v="1"/>
    <s v="0–2"/>
  </r>
  <r>
    <x v="16"/>
    <x v="2"/>
    <n v="12"/>
    <n v="6"/>
    <n v="2"/>
    <n v="246"/>
    <n v="25"/>
    <n v="16"/>
    <n v="41"/>
    <n v="261306"/>
    <n v="97"/>
    <n v="0"/>
    <n v="1"/>
    <n v="0"/>
    <n v="1"/>
    <n v="0"/>
    <n v="0"/>
    <n v="67"/>
    <n v="170"/>
    <n v="23"/>
    <n v="8"/>
    <x v="12"/>
    <x v="0"/>
    <x v="1"/>
    <x v="2"/>
    <s v="3–8"/>
  </r>
  <r>
    <x v="3"/>
    <x v="1"/>
    <n v="12"/>
    <n v="6"/>
    <n v="2"/>
    <n v="225"/>
    <n v="26"/>
    <n v="9"/>
    <m/>
    <n v="261306"/>
    <m/>
    <n v="0"/>
    <n v="1"/>
    <n v="1"/>
    <n v="0"/>
    <n v="0"/>
    <n v="2"/>
    <n v="69"/>
    <n v="169"/>
    <n v="24"/>
    <n v="2"/>
    <x v="12"/>
    <x v="3"/>
    <x v="1"/>
    <x v="2"/>
    <s v="0–2"/>
  </r>
  <r>
    <x v="3"/>
    <x v="11"/>
    <n v="12"/>
    <n v="2"/>
    <n v="4"/>
    <n v="225"/>
    <n v="26"/>
    <n v="9"/>
    <n v="28"/>
    <n v="236629"/>
    <n v="93"/>
    <n v="0"/>
    <n v="1"/>
    <n v="1"/>
    <n v="0"/>
    <n v="0"/>
    <n v="2"/>
    <n v="69"/>
    <n v="169"/>
    <n v="24"/>
    <n v="3"/>
    <x v="12"/>
    <x v="3"/>
    <x v="1"/>
    <x v="2"/>
    <s v="3–8"/>
  </r>
  <r>
    <x v="13"/>
    <x v="5"/>
    <n v="12"/>
    <n v="2"/>
    <n v="4"/>
    <n v="179"/>
    <n v="51"/>
    <n v="18"/>
    <n v="38"/>
    <n v="236629"/>
    <n v="93"/>
    <n v="0"/>
    <n v="1"/>
    <n v="0"/>
    <n v="1"/>
    <n v="0"/>
    <n v="0"/>
    <n v="89"/>
    <n v="170"/>
    <n v="31"/>
    <n v="2"/>
    <x v="12"/>
    <x v="1"/>
    <x v="1"/>
    <x v="0"/>
    <s v="0–2"/>
  </r>
  <r>
    <x v="13"/>
    <x v="5"/>
    <n v="12"/>
    <n v="2"/>
    <n v="4"/>
    <n v="179"/>
    <n v="51"/>
    <n v="18"/>
    <n v="38"/>
    <n v="236629"/>
    <n v="93"/>
    <n v="0"/>
    <n v="1"/>
    <n v="0"/>
    <n v="1"/>
    <n v="0"/>
    <n v="0"/>
    <n v="89"/>
    <n v="170"/>
    <n v="31"/>
    <n v="1"/>
    <x v="12"/>
    <x v="1"/>
    <x v="1"/>
    <x v="0"/>
    <s v="0–2"/>
  </r>
  <r>
    <x v="9"/>
    <x v="1"/>
    <n v="12"/>
    <n v="2"/>
    <n v="4"/>
    <n v="235"/>
    <n v="11"/>
    <n v="14"/>
    <n v="37"/>
    <n v="236629"/>
    <n v="93"/>
    <n v="0"/>
    <n v="3"/>
    <n v="1"/>
    <n v="0"/>
    <n v="0"/>
    <n v="1"/>
    <n v="88"/>
    <n v="172"/>
    <n v="29"/>
    <n v="3"/>
    <x v="12"/>
    <x v="1"/>
    <x v="0"/>
    <x v="1"/>
    <s v="3–8"/>
  </r>
  <r>
    <x v="12"/>
    <x v="5"/>
    <n v="12"/>
    <n v="3"/>
    <n v="4"/>
    <n v="118"/>
    <n v="13"/>
    <n v="18"/>
    <n v="50"/>
    <n v="236629"/>
    <n v="93"/>
    <n v="0"/>
    <n v="1"/>
    <n v="1"/>
    <n v="1"/>
    <n v="0"/>
    <n v="0"/>
    <n v="98"/>
    <n v="178"/>
    <n v="31"/>
    <n v="1"/>
    <x v="12"/>
    <x v="2"/>
    <x v="0"/>
    <x v="0"/>
    <s v="0–2"/>
  </r>
  <r>
    <x v="18"/>
    <x v="5"/>
    <n v="12"/>
    <n v="6"/>
    <n v="4"/>
    <n v="260"/>
    <n v="50"/>
    <n v="11"/>
    <n v="36"/>
    <n v="236629"/>
    <n v="93"/>
    <n v="0"/>
    <n v="1"/>
    <n v="4"/>
    <n v="1"/>
    <n v="0"/>
    <n v="0"/>
    <n v="65"/>
    <n v="168"/>
    <n v="23"/>
    <n v="4"/>
    <x v="12"/>
    <x v="1"/>
    <x v="1"/>
    <x v="2"/>
    <s v="3–8"/>
  </r>
  <r>
    <x v="16"/>
    <x v="27"/>
    <n v="12"/>
    <n v="5"/>
    <n v="4"/>
    <n v="246"/>
    <n v="25"/>
    <n v="16"/>
    <n v="41"/>
    <n v="236629"/>
    <n v="93"/>
    <n v="0"/>
    <n v="1"/>
    <n v="0"/>
    <n v="1"/>
    <n v="0"/>
    <n v="0"/>
    <n v="67"/>
    <n v="170"/>
    <n v="23"/>
    <n v="8"/>
    <x v="12"/>
    <x v="0"/>
    <x v="1"/>
    <x v="2"/>
    <s v="3–8"/>
  </r>
  <r>
    <x v="13"/>
    <x v="5"/>
    <n v="12"/>
    <n v="5"/>
    <n v="4"/>
    <n v="179"/>
    <n v="51"/>
    <n v="18"/>
    <n v="38"/>
    <n v="236629"/>
    <n v="93"/>
    <n v="0"/>
    <n v="1"/>
    <n v="0"/>
    <n v="1"/>
    <n v="0"/>
    <n v="0"/>
    <n v="89"/>
    <n v="170"/>
    <n v="31"/>
    <n v="1"/>
    <x v="12"/>
    <x v="1"/>
    <x v="1"/>
    <x v="0"/>
    <s v="0–2"/>
  </r>
  <r>
    <x v="13"/>
    <x v="5"/>
    <n v="12"/>
    <n v="6"/>
    <n v="4"/>
    <n v="179"/>
    <n v="51"/>
    <n v="18"/>
    <n v="38"/>
    <n v="236629"/>
    <n v="93"/>
    <n v="0"/>
    <n v="1"/>
    <n v="0"/>
    <n v="1"/>
    <n v="0"/>
    <n v="0"/>
    <n v="89"/>
    <n v="170"/>
    <n v="31"/>
    <n v="1"/>
    <x v="12"/>
    <x v="1"/>
    <x v="1"/>
    <x v="0"/>
    <s v="0–2"/>
  </r>
  <r>
    <x v="7"/>
    <x v="1"/>
    <n v="12"/>
    <n v="3"/>
    <n v="4"/>
    <n v="179"/>
    <n v="26"/>
    <n v="9"/>
    <n v="30"/>
    <n v="236629"/>
    <n v="93"/>
    <n v="0"/>
    <n v="3"/>
    <n v="0"/>
    <n v="0"/>
    <n v="0"/>
    <n v="0"/>
    <n v="56"/>
    <n v="171"/>
    <n v="19"/>
    <n v="1"/>
    <x v="12"/>
    <x v="1"/>
    <x v="1"/>
    <x v="2"/>
    <s v="0–2"/>
  </r>
  <r>
    <x v="4"/>
    <x v="12"/>
    <n v="12"/>
    <n v="3"/>
    <n v="4"/>
    <n v="118"/>
    <n v="10"/>
    <n v="10"/>
    <n v="37"/>
    <n v="236629"/>
    <n v="93"/>
    <n v="0"/>
    <n v="1"/>
    <n v="0"/>
    <n v="0"/>
    <n v="0"/>
    <n v="0"/>
    <n v="83"/>
    <n v="172"/>
    <n v="28"/>
    <n v="8"/>
    <x v="12"/>
    <x v="1"/>
    <x v="2"/>
    <x v="1"/>
    <s v="3–8"/>
  </r>
  <r>
    <x v="9"/>
    <x v="12"/>
    <n v="12"/>
    <n v="5"/>
    <n v="4"/>
    <n v="235"/>
    <n v="11"/>
    <n v="14"/>
    <n v="37"/>
    <n v="236629"/>
    <n v="93"/>
    <n v="0"/>
    <n v="3"/>
    <m/>
    <n v="0"/>
    <n v="0"/>
    <n v="1"/>
    <n v="88"/>
    <n v="172"/>
    <n v="29"/>
    <n v="2"/>
    <x v="12"/>
    <x v="1"/>
    <x v="0"/>
    <x v="1"/>
    <s v="0–2"/>
  </r>
  <r>
    <x v="13"/>
    <x v="5"/>
    <n v="12"/>
    <n v="6"/>
    <n v="4"/>
    <n v="179"/>
    <n v="51"/>
    <n v="18"/>
    <n v="38"/>
    <n v="236629"/>
    <n v="93"/>
    <n v="0"/>
    <n v="1"/>
    <n v="0"/>
    <n v="1"/>
    <n v="0"/>
    <n v="0"/>
    <n v="89"/>
    <n v="170"/>
    <n v="31"/>
    <n v="1"/>
    <x v="12"/>
    <x v="1"/>
    <x v="1"/>
    <x v="0"/>
    <s v="0–2"/>
  </r>
  <r>
    <x v="11"/>
    <x v="7"/>
    <n v="12"/>
    <n v="3"/>
    <n v="2"/>
    <n v="235"/>
    <n v="20"/>
    <n v="13"/>
    <n v="43"/>
    <n v="236629"/>
    <n v="93"/>
    <n v="0"/>
    <n v="1"/>
    <n v="1"/>
    <n v="1"/>
    <n v="0"/>
    <n v="0"/>
    <n v="106"/>
    <n v="167"/>
    <n v="38"/>
    <n v="8"/>
    <x v="12"/>
    <x v="0"/>
    <x v="0"/>
    <x v="0"/>
    <s v="3–8"/>
  </r>
  <r>
    <x v="9"/>
    <x v="18"/>
    <n v="12"/>
    <n v="3"/>
    <n v="2"/>
    <n v="235"/>
    <n v="11"/>
    <n v="14"/>
    <n v="37"/>
    <n v="236629"/>
    <n v="93"/>
    <n v="0"/>
    <n v="3"/>
    <n v="1"/>
    <n v="0"/>
    <n v="0"/>
    <n v="1"/>
    <n v="88"/>
    <n v="172"/>
    <n v="29"/>
    <n v="4"/>
    <x v="12"/>
    <x v="1"/>
    <x v="0"/>
    <x v="1"/>
    <s v="3–8"/>
  </r>
  <r>
    <x v="18"/>
    <x v="8"/>
    <n v="12"/>
    <n v="4"/>
    <n v="2"/>
    <n v="260"/>
    <n v="50"/>
    <n v="11"/>
    <n v="36"/>
    <n v="236629"/>
    <n v="93"/>
    <n v="0"/>
    <n v="1"/>
    <n v="4"/>
    <n v="1"/>
    <n v="0"/>
    <n v="0"/>
    <n v="65"/>
    <n v="168"/>
    <n v="23"/>
    <n v="8"/>
    <x v="12"/>
    <x v="1"/>
    <x v="1"/>
    <x v="2"/>
    <s v="3–8"/>
  </r>
  <r>
    <x v="21"/>
    <x v="5"/>
    <n v="12"/>
    <n v="2"/>
    <n v="2"/>
    <n v="157"/>
    <n v="27"/>
    <n v="6"/>
    <n v="29"/>
    <n v="236629"/>
    <n v="93"/>
    <n v="0"/>
    <n v="1"/>
    <n v="0"/>
    <n v="1"/>
    <n v="1"/>
    <n v="0"/>
    <n v="75"/>
    <n v="185"/>
    <n v="22"/>
    <n v="2"/>
    <x v="12"/>
    <x v="3"/>
    <x v="1"/>
    <x v="2"/>
    <s v="0–2"/>
  </r>
  <r>
    <x v="13"/>
    <x v="5"/>
    <n v="12"/>
    <n v="2"/>
    <n v="2"/>
    <n v="179"/>
    <n v="51"/>
    <n v="18"/>
    <n v="38"/>
    <n v="236629"/>
    <n v="93"/>
    <n v="0"/>
    <n v="1"/>
    <n v="0"/>
    <n v="1"/>
    <n v="0"/>
    <n v="0"/>
    <n v="89"/>
    <n v="170"/>
    <n v="31"/>
    <n v="3"/>
    <x v="12"/>
    <x v="1"/>
    <x v="1"/>
    <x v="0"/>
    <s v="3–8"/>
  </r>
  <r>
    <x v="8"/>
    <x v="2"/>
    <n v="12"/>
    <n v="2"/>
    <n v="2"/>
    <n v="289"/>
    <n v="36"/>
    <n v="13"/>
    <n v="33"/>
    <n v="236629"/>
    <n v="93"/>
    <n v="0"/>
    <n v="1"/>
    <n v="2"/>
    <n v="1"/>
    <n v="0"/>
    <n v="1"/>
    <n v="90"/>
    <n v="172"/>
    <n v="30"/>
    <n v="8"/>
    <x v="12"/>
    <x v="1"/>
    <x v="1"/>
    <x v="0"/>
    <s v="3–8"/>
  </r>
  <r>
    <x v="13"/>
    <x v="7"/>
    <n v="12"/>
    <n v="3"/>
    <n v="4"/>
    <n v="179"/>
    <n v="51"/>
    <n v="18"/>
    <n v="38"/>
    <n v="280549"/>
    <n v="98"/>
    <n v="0"/>
    <n v="1"/>
    <n v="0"/>
    <n v="1"/>
    <n v="0"/>
    <n v="0"/>
    <n v="89"/>
    <n v="170"/>
    <n v="31"/>
    <m/>
    <x v="12"/>
    <x v="1"/>
    <x v="1"/>
    <x v="0"/>
    <s v="0–2"/>
  </r>
  <r>
    <x v="10"/>
    <x v="5"/>
    <n v="12"/>
    <n v="4"/>
    <n v="4"/>
    <n v="291"/>
    <n v="31"/>
    <n v="12"/>
    <n v="40"/>
    <n v="280549"/>
    <n v="98"/>
    <n v="0"/>
    <n v="1"/>
    <n v="1"/>
    <n v="1"/>
    <n v="0"/>
    <n v="1"/>
    <n v="73"/>
    <n v="171"/>
    <n v="25"/>
    <n v="1"/>
    <x v="12"/>
    <x v="0"/>
    <x v="1"/>
    <x v="1"/>
    <s v="0–2"/>
  </r>
  <r>
    <x v="3"/>
    <x v="1"/>
    <n v="12"/>
    <n v="4"/>
    <n v="4"/>
    <n v="225"/>
    <n v="26"/>
    <n v="9"/>
    <n v="28"/>
    <n v="280549"/>
    <n v="98"/>
    <n v="0"/>
    <n v="1"/>
    <n v="1"/>
    <n v="0"/>
    <n v="0"/>
    <n v="2"/>
    <n v="69"/>
    <n v="169"/>
    <n v="24"/>
    <n v="3"/>
    <x v="12"/>
    <x v="3"/>
    <x v="1"/>
    <x v="2"/>
    <s v="3–8"/>
  </r>
  <r>
    <x v="7"/>
    <x v="7"/>
    <n v="12"/>
    <n v="6"/>
    <n v="4"/>
    <n v="179"/>
    <n v="26"/>
    <n v="9"/>
    <n v="30"/>
    <n v="280549"/>
    <n v="98"/>
    <n v="0"/>
    <n v="3"/>
    <n v="0"/>
    <n v="0"/>
    <n v="0"/>
    <n v="0"/>
    <n v="56"/>
    <n v="171"/>
    <n v="19"/>
    <n v="1"/>
    <x v="12"/>
    <x v="1"/>
    <x v="1"/>
    <x v="2"/>
    <s v="0–2"/>
  </r>
  <r>
    <x v="3"/>
    <x v="1"/>
    <n v="12"/>
    <n v="6"/>
    <n v="4"/>
    <n v="225"/>
    <n v="26"/>
    <n v="9"/>
    <n v="28"/>
    <n v="280549"/>
    <n v="98"/>
    <n v="0"/>
    <n v="1"/>
    <n v="1"/>
    <n v="0"/>
    <n v="0"/>
    <n v="2"/>
    <n v="69"/>
    <n v="169"/>
    <n v="24"/>
    <n v="3"/>
    <x v="12"/>
    <x v="3"/>
    <x v="1"/>
    <x v="2"/>
    <s v="3–8"/>
  </r>
  <r>
    <x v="3"/>
    <x v="1"/>
    <n v="12"/>
    <n v="4"/>
    <n v="4"/>
    <n v="225"/>
    <n v="26"/>
    <n v="9"/>
    <n v="28"/>
    <n v="280549"/>
    <n v="98"/>
    <n v="0"/>
    <n v="1"/>
    <n v="1"/>
    <n v="0"/>
    <n v="0"/>
    <n v="2"/>
    <n v="69"/>
    <n v="169"/>
    <n v="24"/>
    <n v="3"/>
    <x v="12"/>
    <x v="3"/>
    <x v="1"/>
    <x v="2"/>
    <s v="3–8"/>
  </r>
  <r>
    <x v="29"/>
    <x v="18"/>
    <n v="12"/>
    <n v="5"/>
    <n v="4"/>
    <n v="361"/>
    <n v="52"/>
    <n v="3"/>
    <n v="28"/>
    <n v="280549"/>
    <n v="98"/>
    <n v="0"/>
    <n v="1"/>
    <n v="1"/>
    <n v="1"/>
    <n v="0"/>
    <n v="4"/>
    <n v="80"/>
    <n v="172"/>
    <n v="27"/>
    <n v="4"/>
    <x v="12"/>
    <x v="3"/>
    <x v="1"/>
    <x v="1"/>
    <s v="3–8"/>
  </r>
  <r>
    <x v="14"/>
    <x v="4"/>
    <n v="12"/>
    <n v="6"/>
    <n v="4"/>
    <n v="179"/>
    <n v="22"/>
    <n v="17"/>
    <n v="40"/>
    <n v="280549"/>
    <n v="98"/>
    <n v="0"/>
    <n v="2"/>
    <n v="2"/>
    <n v="0"/>
    <n v="1"/>
    <n v="0"/>
    <n v="63"/>
    <n v="170"/>
    <n v="22"/>
    <n v="2"/>
    <x v="12"/>
    <x v="0"/>
    <x v="1"/>
    <x v="2"/>
    <s v="0–2"/>
  </r>
  <r>
    <x v="11"/>
    <x v="8"/>
    <n v="12"/>
    <n v="6"/>
    <n v="4"/>
    <n v="235"/>
    <n v="20"/>
    <n v="13"/>
    <n v="43"/>
    <n v="280549"/>
    <n v="98"/>
    <n v="0"/>
    <n v="1"/>
    <n v="1"/>
    <n v="1"/>
    <n v="0"/>
    <n v="0"/>
    <n v="106"/>
    <n v="167"/>
    <n v="38"/>
    <n v="8"/>
    <x v="12"/>
    <x v="0"/>
    <x v="0"/>
    <x v="0"/>
    <s v="3–8"/>
  </r>
  <r>
    <x v="24"/>
    <x v="4"/>
    <n v="12"/>
    <n v="2"/>
    <n v="4"/>
    <n v="233"/>
    <n v="51"/>
    <n v="1"/>
    <n v="31"/>
    <n v="280549"/>
    <n v="98"/>
    <n v="0"/>
    <n v="2"/>
    <n v="1"/>
    <n v="1"/>
    <n v="0"/>
    <n v="8"/>
    <n v="68"/>
    <n v="178"/>
    <n v="21"/>
    <n v="8"/>
    <x v="12"/>
    <x v="1"/>
    <x v="1"/>
    <x v="2"/>
    <s v="3–8"/>
  </r>
  <r>
    <x v="7"/>
    <x v="7"/>
    <n v="12"/>
    <n v="3"/>
    <n v="4"/>
    <n v="179"/>
    <n v="26"/>
    <n v="9"/>
    <n v="30"/>
    <n v="280549"/>
    <n v="98"/>
    <n v="0"/>
    <n v="3"/>
    <n v="0"/>
    <n v="0"/>
    <n v="0"/>
    <n v="0"/>
    <n v="56"/>
    <n v="171"/>
    <n v="19"/>
    <n v="16"/>
    <x v="12"/>
    <x v="1"/>
    <x v="1"/>
    <x v="2"/>
    <s v="9–16"/>
  </r>
  <r>
    <x v="3"/>
    <x v="1"/>
    <n v="12"/>
    <n v="3"/>
    <n v="4"/>
    <n v="225"/>
    <n v="26"/>
    <n v="9"/>
    <n v="28"/>
    <n v="280549"/>
    <n v="98"/>
    <n v="0"/>
    <n v="1"/>
    <n v="1"/>
    <n v="0"/>
    <n v="0"/>
    <n v="2"/>
    <n v="69"/>
    <n v="169"/>
    <n v="24"/>
    <n v="2"/>
    <x v="12"/>
    <x v="3"/>
    <x v="1"/>
    <x v="2"/>
    <s v="0–2"/>
  </r>
  <r>
    <x v="3"/>
    <x v="1"/>
    <n v="12"/>
    <n v="5"/>
    <n v="4"/>
    <n v="225"/>
    <n v="26"/>
    <n v="9"/>
    <n v="28"/>
    <n v="280549"/>
    <n v="98"/>
    <n v="0"/>
    <n v="1"/>
    <n v="1"/>
    <n v="0"/>
    <n v="0"/>
    <n v="2"/>
    <n v="69"/>
    <n v="169"/>
    <n v="24"/>
    <n v="3"/>
    <x v="12"/>
    <x v="3"/>
    <x v="1"/>
    <x v="2"/>
    <s v="3–8"/>
  </r>
  <r>
    <x v="3"/>
    <x v="1"/>
    <n v="12"/>
    <n v="2"/>
    <n v="4"/>
    <n v="225"/>
    <n v="26"/>
    <n v="9"/>
    <n v="28"/>
    <n v="280549"/>
    <n v="98"/>
    <n v="0"/>
    <n v="1"/>
    <n v="1"/>
    <n v="0"/>
    <n v="0"/>
    <n v="2"/>
    <n v="69"/>
    <n v="169"/>
    <n v="24"/>
    <n v="2"/>
    <x v="12"/>
    <x v="3"/>
    <x v="1"/>
    <x v="2"/>
    <s v="0–2"/>
  </r>
  <r>
    <x v="5"/>
    <x v="4"/>
    <n v="12"/>
    <n v="3"/>
    <n v="2"/>
    <n v="155"/>
    <n v="12"/>
    <n v="14"/>
    <n v="34"/>
    <n v="280549"/>
    <n v="98"/>
    <n v="0"/>
    <n v="1"/>
    <n v="2"/>
    <n v="1"/>
    <n v="0"/>
    <n v="0"/>
    <n v="95"/>
    <n v="196"/>
    <n v="25"/>
    <n v="80"/>
    <x v="12"/>
    <x v="1"/>
    <x v="0"/>
    <x v="1"/>
    <s v="17+"/>
  </r>
  <r>
    <x v="13"/>
    <x v="1"/>
    <m/>
    <n v="6"/>
    <n v="4"/>
    <n v="179"/>
    <n v="51"/>
    <n v="18"/>
    <n v="38"/>
    <n v="253465"/>
    <n v="93"/>
    <n v="0"/>
    <n v="1"/>
    <n v="0"/>
    <n v="1"/>
    <n v="0"/>
    <n v="0"/>
    <n v="89"/>
    <n v="170"/>
    <n v="31"/>
    <n v="3"/>
    <x v="0"/>
    <x v="1"/>
    <x v="1"/>
    <x v="0"/>
    <s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9212F1-2147-40E5-A4B3-AB6D99DC7942}" name="Συγκεντρωτικός Πίνακας3"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23" rowHeaderCaption="Distance Band">
  <location ref="E3:F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3"/>
        <item x="1"/>
        <item x="0"/>
        <item x="2"/>
        <item t="default"/>
      </items>
    </pivotField>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s>
  <rowFields count="1">
    <field x="23"/>
  </rowFields>
  <rowItems count="5">
    <i>
      <x v="2"/>
    </i>
    <i>
      <x v="3"/>
    </i>
    <i>
      <x v="1"/>
    </i>
    <i>
      <x/>
    </i>
    <i t="grand">
      <x/>
    </i>
  </rowItems>
  <colItems count="1">
    <i/>
  </colItems>
  <dataFields count="1">
    <dataField name="Avg Absenteeism time in hours" fld="20" subtotal="average" baseField="2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3385A-B6A7-4ADD-8DD2-7B1DE279EF6F}" name="Συγκεντρωτικός Πίνακας14"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5" rowHeaderCaption="BMI Category">
  <location ref="E13:F1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3"/>
        <item x="1"/>
        <item x="0"/>
        <item x="2"/>
        <item t="default"/>
      </items>
    </pivotField>
    <pivotField showAll="0">
      <items count="5">
        <item x="3"/>
        <item x="0"/>
        <item x="1"/>
        <item x="2"/>
        <item t="default"/>
      </items>
    </pivotField>
    <pivotField axis="axisRow" showAll="0">
      <items count="5">
        <item x="3"/>
        <item x="2"/>
        <item x="1"/>
        <item x="0"/>
        <item t="default"/>
      </items>
    </pivotField>
    <pivotField showAll="0"/>
  </pivotFields>
  <rowFields count="1">
    <field x="24"/>
  </rowFields>
  <rowItems count="5">
    <i>
      <x/>
    </i>
    <i>
      <x v="1"/>
    </i>
    <i>
      <x v="2"/>
    </i>
    <i>
      <x v="3"/>
    </i>
    <i t="grand">
      <x/>
    </i>
  </rowItems>
  <colItems count="1">
    <i/>
  </colItems>
  <dataFields count="1">
    <dataField name="Avg Absenteeism time in hours" fld="20" subtotal="average" baseField="2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E5511-BD8C-497D-8632-56C164F60117}" name="Συγκεντρωτικός Πίνακας1"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13" rowHeaderCaption="Month Name">
  <location ref="A3:B1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26">
        <item m="1" x="20"/>
        <item m="1" x="21"/>
        <item m="1" x="22"/>
        <item m="1" x="23"/>
        <item x="1"/>
        <item x="2"/>
        <item x="3"/>
        <item x="4"/>
        <item x="5"/>
        <item m="1" x="24"/>
        <item m="1" x="13"/>
        <item m="1" x="14"/>
        <item m="1" x="15"/>
        <item m="1" x="16"/>
        <item m="1" x="18"/>
        <item m="1" x="19"/>
        <item m="1" x="17"/>
        <item x="6"/>
        <item x="7"/>
        <item x="8"/>
        <item x="9"/>
        <item x="10"/>
        <item x="11"/>
        <item x="12"/>
        <item x="0"/>
        <item t="default"/>
      </items>
    </pivotField>
    <pivotField showAll="0">
      <items count="5">
        <item x="3"/>
        <item x="1"/>
        <item x="0"/>
        <item x="2"/>
        <item t="default"/>
      </items>
    </pivotField>
    <pivotField showAll="0">
      <items count="5">
        <item x="3"/>
        <item x="0"/>
        <item x="1"/>
        <item x="2"/>
        <item t="default"/>
      </items>
    </pivotField>
    <pivotField showAll="0">
      <items count="5">
        <item x="2"/>
        <item x="0"/>
        <item x="1"/>
        <item x="3"/>
        <item t="default"/>
      </items>
    </pivotField>
    <pivotField showAll="0"/>
  </pivotFields>
  <rowFields count="1">
    <field x="21"/>
  </rowFields>
  <rowItems count="14">
    <i>
      <x v="4"/>
    </i>
    <i>
      <x v="5"/>
    </i>
    <i>
      <x v="6"/>
    </i>
    <i>
      <x v="7"/>
    </i>
    <i>
      <x v="8"/>
    </i>
    <i>
      <x v="17"/>
    </i>
    <i>
      <x v="18"/>
    </i>
    <i>
      <x v="19"/>
    </i>
    <i>
      <x v="20"/>
    </i>
    <i>
      <x v="21"/>
    </i>
    <i>
      <x v="22"/>
    </i>
    <i>
      <x v="23"/>
    </i>
    <i>
      <x v="24"/>
    </i>
    <i t="grand">
      <x/>
    </i>
  </rowItems>
  <colItems count="1">
    <i/>
  </colItems>
  <dataFields count="1">
    <dataField name="Sum Absenteeism time in hours" fld="20" baseField="2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5EE6D4-C8B6-454B-A612-431129A5B4B0}" name="Συγκεντρωτικός Πίνακας12"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1" rowHeaderCaption="ID">
  <location ref="M3:N40" firstHeaderRow="1" firstDataRow="1" firstDataCol="1"/>
  <pivotFields count="26">
    <pivotField axis="axisRow" showAll="0" sortType="descending">
      <items count="37">
        <item x="9"/>
        <item x="33"/>
        <item x="13"/>
        <item x="0"/>
        <item x="11"/>
        <item x="17"/>
        <item x="27"/>
        <item x="1"/>
        <item x="31"/>
        <item x="29"/>
        <item x="8"/>
        <item x="24"/>
        <item x="30"/>
        <item x="5"/>
        <item x="10"/>
        <item x="32"/>
        <item x="14"/>
        <item x="20"/>
        <item x="26"/>
        <item x="18"/>
        <item x="35"/>
        <item x="7"/>
        <item x="28"/>
        <item x="16"/>
        <item x="25"/>
        <item x="34"/>
        <item x="6"/>
        <item x="3"/>
        <item x="23"/>
        <item x="21"/>
        <item x="19"/>
        <item x="15"/>
        <item x="22"/>
        <item x="4"/>
        <item x="2"/>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3"/>
        <item x="1"/>
        <item x="0"/>
        <item x="2"/>
        <item t="default"/>
      </items>
    </pivotField>
    <pivotField showAll="0">
      <items count="5">
        <item x="3"/>
        <item x="0"/>
        <item x="1"/>
        <item x="2"/>
        <item t="default"/>
      </items>
    </pivotField>
    <pivotField showAll="0">
      <items count="5">
        <item x="2"/>
        <item x="0"/>
        <item x="1"/>
        <item x="3"/>
        <item t="default"/>
      </items>
    </pivotField>
    <pivotField showAll="0"/>
  </pivotFields>
  <rowFields count="1">
    <field x="0"/>
  </rowFields>
  <rowItems count="37">
    <i>
      <x v="10"/>
    </i>
    <i>
      <x v="2"/>
    </i>
    <i>
      <x v="13"/>
    </i>
    <i>
      <x v="27"/>
    </i>
    <i>
      <x v="33"/>
    </i>
    <i>
      <x v="35"/>
    </i>
    <i>
      <x v="19"/>
    </i>
    <i>
      <x v="8"/>
    </i>
    <i>
      <x v="21"/>
    </i>
    <i>
      <x v="14"/>
    </i>
    <i>
      <x v="23"/>
    </i>
    <i>
      <x v="12"/>
    </i>
    <i>
      <x v="9"/>
    </i>
    <i>
      <x v="6"/>
    </i>
    <i>
      <x v="16"/>
    </i>
    <i>
      <x/>
    </i>
    <i>
      <x v="17"/>
    </i>
    <i>
      <x v="4"/>
    </i>
    <i>
      <x v="25"/>
    </i>
    <i>
      <x v="32"/>
    </i>
    <i>
      <x v="5"/>
    </i>
    <i>
      <x v="24"/>
    </i>
    <i>
      <x v="11"/>
    </i>
    <i>
      <x v="22"/>
    </i>
    <i>
      <x v="29"/>
    </i>
    <i>
      <x v="1"/>
    </i>
    <i>
      <x v="28"/>
    </i>
    <i>
      <x v="26"/>
    </i>
    <i>
      <x v="15"/>
    </i>
    <i>
      <x v="30"/>
    </i>
    <i>
      <x v="20"/>
    </i>
    <i>
      <x v="31"/>
    </i>
    <i>
      <x v="18"/>
    </i>
    <i>
      <x v="7"/>
    </i>
    <i>
      <x v="3"/>
    </i>
    <i>
      <x v="34"/>
    </i>
    <i t="grand">
      <x/>
    </i>
  </rowItems>
  <colItems count="1">
    <i/>
  </colItems>
  <dataFields count="1">
    <dataField name="Sum Absenteeism time in hour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702C7E-0AD6-4624-8F18-3A2DC7C26AB9}" name="Συγκεντρωτικός Πίνακας10"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1" rowHeaderCaption="Age Group">
  <location ref="E23:F2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3"/>
        <item x="1"/>
        <item x="0"/>
        <item x="2"/>
        <item t="default"/>
      </items>
    </pivotField>
    <pivotField showAll="0">
      <items count="5">
        <item x="3"/>
        <item x="0"/>
        <item x="1"/>
        <item x="2"/>
        <item t="default"/>
      </items>
    </pivotField>
    <pivotField showAll="0">
      <items count="5">
        <item x="2"/>
        <item x="0"/>
        <item x="1"/>
        <item x="3"/>
        <item t="default"/>
      </items>
    </pivotField>
    <pivotField showAll="0"/>
  </pivotFields>
  <rowFields count="1">
    <field x="22"/>
  </rowFields>
  <rowItems count="5">
    <i>
      <x/>
    </i>
    <i>
      <x v="1"/>
    </i>
    <i>
      <x v="2"/>
    </i>
    <i>
      <x v="3"/>
    </i>
    <i t="grand">
      <x/>
    </i>
  </rowItems>
  <colItems count="1">
    <i/>
  </colItems>
  <dataFields count="1">
    <dataField name="Avg Absenteeism time in hours" fld="20" subtotal="average"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FABCA2-79CF-4174-8EE6-49CAD5B5409C}" name="Συγκεντρωτικός Πίνακας6" cacheId="0"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chartFormat="9" rowHeaderCaption="Reason for absence">
  <location ref="I3:J14" firstHeaderRow="1" firstDataRow="1" firstDataCol="1"/>
  <pivotFields count="26">
    <pivotField showAll="0"/>
    <pivotField axis="axisRow" showAll="0" measureFilter="1" sortType="ascending">
      <items count="30">
        <item x="10"/>
        <item x="5"/>
        <item x="3"/>
        <item x="8"/>
        <item x="12"/>
        <item x="26"/>
        <item x="1"/>
        <item x="6"/>
        <item x="21"/>
        <item x="2"/>
        <item x="4"/>
        <item x="17"/>
        <item x="22"/>
        <item x="24"/>
        <item x="18"/>
        <item x="7"/>
        <item x="11"/>
        <item x="15"/>
        <item x="13"/>
        <item x="25"/>
        <item x="20"/>
        <item x="16"/>
        <item x="19"/>
        <item x="23"/>
        <item x="27"/>
        <item x="9"/>
        <item x="28"/>
        <item x="1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3"/>
        <item x="1"/>
        <item x="0"/>
        <item x="2"/>
        <item t="default"/>
      </items>
    </pivotField>
    <pivotField showAll="0">
      <items count="5">
        <item x="3"/>
        <item x="0"/>
        <item x="1"/>
        <item x="2"/>
        <item t="default"/>
      </items>
    </pivotField>
    <pivotField showAll="0">
      <items count="5">
        <item x="2"/>
        <item x="0"/>
        <item x="1"/>
        <item x="3"/>
        <item t="default"/>
      </items>
    </pivotField>
    <pivotField showAll="0"/>
  </pivotFields>
  <rowFields count="1">
    <field x="1"/>
  </rowFields>
  <rowItems count="11">
    <i>
      <x v="27"/>
    </i>
    <i>
      <x v="16"/>
    </i>
    <i>
      <x v="10"/>
    </i>
    <i>
      <x v="3"/>
    </i>
    <i>
      <x v="7"/>
    </i>
    <i>
      <x v="18"/>
    </i>
    <i>
      <x v="1"/>
    </i>
    <i>
      <x v="6"/>
    </i>
    <i>
      <x v="9"/>
    </i>
    <i>
      <x v="15"/>
    </i>
    <i t="grand">
      <x/>
    </i>
  </rowItems>
  <colItems count="1">
    <i/>
  </colItems>
  <dataFields count="1">
    <dataField name="Sum Absenteeism time in hours"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Αναλυτής_Age_Group" xr10:uid="{5206D872-9218-4442-8856-A6EEA7EA3248}" sourceName="Age Group">
  <pivotTables>
    <pivotTable tabId="6" name="Συγκεντρωτικός Πίνακας10"/>
    <pivotTable tabId="6" name="Συγκεντρωτικός Πίνακας1"/>
    <pivotTable tabId="6" name="Συγκεντρωτικός Πίνακας12"/>
    <pivotTable tabId="6" name="Συγκεντρωτικός Πίνακας3"/>
    <pivotTable tabId="6" name="Συγκεντρωτικός Πίνακας6"/>
    <pivotTable tabId="6" name="Συγκεντρωτικός Πίνακας14"/>
  </pivotTables>
  <data>
    <tabular pivotCacheId="171610791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Αναλυτής_Distance_Band" xr10:uid="{828844CE-36D8-4419-B8E4-7950679ECEE4}" sourceName="Distance Band">
  <pivotTables>
    <pivotTable tabId="6" name="Συγκεντρωτικός Πίνακας10"/>
    <pivotTable tabId="6" name="Συγκεντρωτικός Πίνακας1"/>
    <pivotTable tabId="6" name="Συγκεντρωτικός Πίνακας12"/>
    <pivotTable tabId="6" name="Συγκεντρωτικός Πίνακας3"/>
    <pivotTable tabId="6" name="Συγκεντρωτικός Πίνακας6"/>
    <pivotTable tabId="6" name="Συγκεντρωτικός Πίνακας14"/>
  </pivotTables>
  <data>
    <tabular pivotCacheId="171610791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Αναλυτής_BMI_Category" xr10:uid="{CA85D1D7-6AAD-489E-9CCA-05139D1423E1}" sourceName="BMI Category">
  <pivotTables>
    <pivotTable tabId="6" name="Συγκεντρωτικός Πίνακας10"/>
    <pivotTable tabId="6" name="Συγκεντρωτικός Πίνακας1"/>
    <pivotTable tabId="6" name="Συγκεντρωτικός Πίνακας12"/>
    <pivotTable tabId="6" name="Συγκεντρωτικός Πίνακας3"/>
    <pivotTable tabId="6" name="Συγκεντρωτικός Πίνακας6"/>
    <pivotTable tabId="6" name="Συγκεντρωτικός Πίνακας14"/>
  </pivotTables>
  <data>
    <tabular pivotCacheId="171610791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8B61F5F8-A399-4533-AE4B-2005C01BB7F3}" cache="Αναλυτής_Age_Group" caption="Age Group" style="SlicerStyleOther1" rowHeight="234950"/>
  <slicer name="Distance Band" xr10:uid="{B6357289-C54E-4F87-8A3B-638A13B7868E}" cache="Αναλυτής_Distance_Band" caption="Distance Band" style="SlicerStyleOther1" rowHeight="234950"/>
  <slicer name="BMI Category" xr10:uid="{FC1BEE4A-9C01-443F-97C0-D7DB2293E5BF}" cache="Αναλυτής_BMI_Category" caption="BMI Category"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31D37-423D-4CE8-AE5F-63C3FBCC1D4D}" name="tbl_abs" displayName="tbl_abs" ref="A1:Z741" totalsRowShown="0" headerRowDxfId="12">
  <autoFilter ref="A1:Z741" xr:uid="{D3D31D37-423D-4CE8-AE5F-63C3FBCC1D4D}"/>
  <sortState xmlns:xlrd2="http://schemas.microsoft.com/office/spreadsheetml/2017/richdata2" ref="A2:Z741">
    <sortCondition ref="C1:C741"/>
  </sortState>
  <tableColumns count="26">
    <tableColumn id="1" xr3:uid="{DD3E013C-D3C0-4A5B-8064-5BAE47E40369}" name="ID"/>
    <tableColumn id="2" xr3:uid="{0858AAB9-BDCB-4F42-86DB-9FC04E09F300}" name="Reason for absence"/>
    <tableColumn id="3" xr3:uid="{1580BAA4-4EB7-4F16-B09A-7D68C3BA1F8C}" name="Month of absence" dataDxfId="11"/>
    <tableColumn id="4" xr3:uid="{9122353B-5F89-43A1-81DA-EBE88C585FAC}" name="Day of the week"/>
    <tableColumn id="5" xr3:uid="{0BCD05BF-ED46-4F25-8EC4-E2465001A9A5}" name="Seasons"/>
    <tableColumn id="6" xr3:uid="{348314FF-533E-4E87-BB9E-15440608D57C}" name="Transportation expense"/>
    <tableColumn id="7" xr3:uid="{04FD237C-0F2D-4D78-A555-FE9D5F4D30EF}" name="Distance from Residence to Work" dataDxfId="10"/>
    <tableColumn id="8" xr3:uid="{A1E286B5-52B8-4AF4-8C6E-8F04BFC6F6CF}" name="Service time"/>
    <tableColumn id="9" xr3:uid="{239DA0B4-04BE-480C-B650-D14D11C446F8}" name="Age" dataDxfId="9"/>
    <tableColumn id="10" xr3:uid="{28C00A65-36BF-4F90-BA29-EBEF1FD65272}" name="Work load Average/day " dataDxfId="8"/>
    <tableColumn id="11" xr3:uid="{A7676AAB-4D81-4980-AB5A-C7895FA2C3C1}" name="Hit target"/>
    <tableColumn id="12" xr3:uid="{E091750B-F724-496E-AA9A-69A6BAAB7847}" name="Disciplinary failure"/>
    <tableColumn id="13" xr3:uid="{10384EB7-4465-4B5E-9080-D3E15EE0EF2B}" name="Education"/>
    <tableColumn id="14" xr3:uid="{AF500ECC-E272-4E3A-AE28-89B96AC807B9}" name="Son"/>
    <tableColumn id="15" xr3:uid="{B5C1C878-4B49-4750-A257-F4FAF4CF1AA0}" name="Social drinker"/>
    <tableColumn id="16" xr3:uid="{0917D874-40E2-4335-A682-94476B9F2240}" name="Social smoker"/>
    <tableColumn id="17" xr3:uid="{D8EE6E30-7CCD-4BFB-97F0-A7FE2A632579}" name="Pet"/>
    <tableColumn id="18" xr3:uid="{813F2675-995C-44AF-BA4B-12A778FF86AC}" name="Weight"/>
    <tableColumn id="19" xr3:uid="{2E4A8E85-D007-45D1-A48A-4888BB92D471}" name="Height"/>
    <tableColumn id="20" xr3:uid="{A16C3548-0448-42B8-8015-3647F7A59421}" name="Body Mass Index"/>
    <tableColumn id="21" xr3:uid="{F4C874DB-676D-4977-BCFD-66389EDC2F6F}" name="Absenteeism time in hours"/>
    <tableColumn id="23" xr3:uid="{418C7055-4E5D-4983-87BF-B96B957C5E33}" name="Month Name" dataDxfId="7">
      <calculatedColumnFormula>IFERROR(
IF(tbl_abs[[#This Row],[Month of absence]]=0,"Unknown",
CHOOSE(tbl_abs[[#This Row],[Month of absence]],
"Jan","Feb","Mar","Apr","May","Jun","Jul","Aug","Sep","Oct","Nov","Dec")),"")</calculatedColumnFormula>
    </tableColumn>
    <tableColumn id="24" xr3:uid="{D48CAFD6-E661-4BAC-99F1-D25E5C93E909}" name="Age Group" dataDxfId="6">
      <calculatedColumnFormula>IFERROR(
IF(tbl_abs[[#This Row],[Age]]&lt;30,"&lt;30",
IF(tbl_abs[[#This Row],[Age]]&lt;40,"30–39",
IF(tbl_abs[[#This Row],[Age]]&lt;50,"40–49",
IF(tbl_abs[[#This Row],[Age]]&lt;60,"50–59",
"60+")))),"")</calculatedColumnFormula>
    </tableColumn>
    <tableColumn id="25" xr3:uid="{08C87809-BA23-4819-B974-AC2785EF36EA}" name="Distance Band" dataDxfId="5">
      <calculatedColumnFormula>IFERROR(
IF(tbl_abs[[#This Row],[Distance from Residence to Work]]&lt;=5,"0–5",
IF(tbl_abs[[#This Row],[Distance from Residence to Work]]&lt;=10,"6–10",
IF(tbl_abs[[#This Row],[Distance from Residence to Work]]&lt;=20,"11–20",
"21+"))),"")</calculatedColumnFormula>
    </tableColumn>
    <tableColumn id="26" xr3:uid="{BCD87CE3-8344-4605-AFBE-8A12665413A0}" name="BMI Category" dataDxfId="4">
      <calculatedColumnFormula>IFERROR(
IF(tbl_abs[[#This Row],[Body Mass Index]]&lt;18.5,"Underweight",
IF(tbl_abs[[#This Row],[Body Mass Index]]&lt;25,"Normal",
IF(tbl_abs[[#This Row],[Body Mass Index]]&lt;30,"Overweight",
"Obese"))),"")</calculatedColumnFormula>
    </tableColumn>
    <tableColumn id="27" xr3:uid="{149B7909-3136-4867-9670-303CA4D39DA4}" name="Absence Bucket" dataDxfId="3">
      <calculatedColumnFormula>IFERROR(
IF(tbl_abs[[#This Row],[Absenteeism time in hours]]&lt;=2,"0–2",
IF(tbl_abs[[#This Row],[Absenteeism time in hours]]&lt;=8,"3–8",
IF(tbl_abs[[#This Row],[Absenteeism time in hours]]&lt;=16,"9–16",
"17+"))),"")</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1F23FB-F9EE-4D55-B92F-6DF034DAA97D}" name="tbl_ID" displayName="tbl_ID" ref="AA1:AA1048576" totalsRowShown="0" headerRowDxfId="2" headerRowBorderDxfId="1" tableBorderDxfId="0">
  <autoFilter ref="AA1:AA1048576" xr:uid="{9D1F23FB-F9EE-4D55-B92F-6DF034DAA97D}"/>
  <tableColumns count="1">
    <tableColumn id="1" xr3:uid="{7C957796-1FA5-4355-91C0-08E7B2255226}" name="unique I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D880-039E-4111-B914-6300DC70C0CA}">
  <dimension ref="A1:B8"/>
  <sheetViews>
    <sheetView showGridLines="0" workbookViewId="0">
      <selection activeCell="D10" sqref="D10"/>
    </sheetView>
  </sheetViews>
  <sheetFormatPr defaultRowHeight="14.4" x14ac:dyDescent="0.3"/>
  <cols>
    <col min="1" max="1" width="15.21875" style="44" bestFit="1" customWidth="1"/>
    <col min="2" max="2" width="50.88671875" style="48" customWidth="1"/>
  </cols>
  <sheetData>
    <row r="1" spans="1:2" ht="15" thickBot="1" x14ac:dyDescent="0.35">
      <c r="A1" s="72" t="s">
        <v>81</v>
      </c>
      <c r="B1" s="70" t="s">
        <v>82</v>
      </c>
    </row>
    <row r="2" spans="1:2" ht="15.6" thickTop="1" thickBot="1" x14ac:dyDescent="0.35">
      <c r="A2" s="72"/>
      <c r="B2" s="70"/>
    </row>
    <row r="3" spans="1:2" ht="58.8" thickTop="1" thickBot="1" x14ac:dyDescent="0.35">
      <c r="A3" s="73" t="s">
        <v>83</v>
      </c>
      <c r="B3" s="71" t="s">
        <v>87</v>
      </c>
    </row>
    <row r="4" spans="1:2" ht="15.6" thickTop="1" thickBot="1" x14ac:dyDescent="0.35">
      <c r="A4" s="72"/>
      <c r="B4" s="70"/>
    </row>
    <row r="5" spans="1:2" ht="30" thickTop="1" thickBot="1" x14ac:dyDescent="0.35">
      <c r="A5" s="72" t="s">
        <v>84</v>
      </c>
      <c r="B5" s="71" t="s">
        <v>88</v>
      </c>
    </row>
    <row r="6" spans="1:2" ht="15.6" thickTop="1" thickBot="1" x14ac:dyDescent="0.35">
      <c r="A6" s="72"/>
      <c r="B6" s="70"/>
    </row>
    <row r="7" spans="1:2" ht="30" thickTop="1" thickBot="1" x14ac:dyDescent="0.35">
      <c r="A7" s="72" t="s">
        <v>85</v>
      </c>
      <c r="B7" s="71" t="s">
        <v>86</v>
      </c>
    </row>
    <row r="8" spans="1:2" ht="15" thickTop="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38E2-7F94-4847-8029-1E641CE18214}">
  <dimension ref="A1:U741"/>
  <sheetViews>
    <sheetView workbookViewId="0">
      <selection activeCell="C9" sqref="C9"/>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11</v>
      </c>
      <c r="B2">
        <v>26</v>
      </c>
      <c r="C2">
        <v>7</v>
      </c>
      <c r="D2">
        <v>3</v>
      </c>
      <c r="E2">
        <v>1</v>
      </c>
      <c r="F2">
        <v>289</v>
      </c>
      <c r="G2">
        <v>36</v>
      </c>
      <c r="H2">
        <v>13</v>
      </c>
      <c r="I2">
        <v>33</v>
      </c>
      <c r="J2">
        <v>239554</v>
      </c>
      <c r="K2">
        <v>97</v>
      </c>
      <c r="L2">
        <v>0</v>
      </c>
      <c r="M2">
        <v>1</v>
      </c>
      <c r="N2">
        <v>2</v>
      </c>
      <c r="O2">
        <v>1</v>
      </c>
      <c r="P2">
        <v>0</v>
      </c>
      <c r="Q2">
        <v>1</v>
      </c>
      <c r="R2">
        <v>90</v>
      </c>
      <c r="S2">
        <v>172</v>
      </c>
      <c r="T2">
        <v>30</v>
      </c>
      <c r="U2">
        <v>4</v>
      </c>
    </row>
    <row r="3" spans="1:21" x14ac:dyDescent="0.3">
      <c r="A3">
        <v>36</v>
      </c>
      <c r="B3">
        <v>0</v>
      </c>
      <c r="C3">
        <v>7</v>
      </c>
      <c r="D3">
        <v>3</v>
      </c>
      <c r="E3">
        <v>1</v>
      </c>
      <c r="F3">
        <v>118</v>
      </c>
      <c r="G3">
        <v>13</v>
      </c>
      <c r="H3">
        <v>18</v>
      </c>
      <c r="I3">
        <v>50</v>
      </c>
      <c r="J3">
        <v>239554</v>
      </c>
      <c r="K3">
        <v>97</v>
      </c>
      <c r="L3">
        <v>1</v>
      </c>
      <c r="M3">
        <v>1</v>
      </c>
      <c r="N3">
        <v>1</v>
      </c>
      <c r="O3">
        <v>1</v>
      </c>
      <c r="P3">
        <v>0</v>
      </c>
      <c r="Q3">
        <v>0</v>
      </c>
      <c r="R3">
        <v>98</v>
      </c>
      <c r="S3">
        <v>178</v>
      </c>
      <c r="T3">
        <v>31</v>
      </c>
      <c r="U3">
        <v>0</v>
      </c>
    </row>
    <row r="4" spans="1:21" x14ac:dyDescent="0.3">
      <c r="A4">
        <v>3</v>
      </c>
      <c r="B4">
        <v>23</v>
      </c>
      <c r="C4">
        <v>7</v>
      </c>
      <c r="D4">
        <v>4</v>
      </c>
      <c r="E4">
        <v>1</v>
      </c>
      <c r="F4">
        <v>179</v>
      </c>
      <c r="G4">
        <v>51</v>
      </c>
      <c r="H4">
        <v>18</v>
      </c>
      <c r="I4">
        <v>38</v>
      </c>
      <c r="J4">
        <v>239554</v>
      </c>
      <c r="K4">
        <v>97</v>
      </c>
      <c r="L4">
        <v>0</v>
      </c>
      <c r="M4">
        <v>1</v>
      </c>
      <c r="N4">
        <v>0</v>
      </c>
      <c r="O4">
        <v>1</v>
      </c>
      <c r="P4">
        <v>0</v>
      </c>
      <c r="Q4">
        <v>0</v>
      </c>
      <c r="R4">
        <v>89</v>
      </c>
      <c r="S4">
        <v>170</v>
      </c>
      <c r="T4">
        <v>31</v>
      </c>
      <c r="U4">
        <v>2</v>
      </c>
    </row>
    <row r="5" spans="1:21" x14ac:dyDescent="0.3">
      <c r="A5">
        <v>7</v>
      </c>
      <c r="B5">
        <v>7</v>
      </c>
      <c r="C5">
        <v>7</v>
      </c>
      <c r="D5">
        <v>5</v>
      </c>
      <c r="E5">
        <v>1</v>
      </c>
      <c r="F5">
        <v>279</v>
      </c>
      <c r="G5">
        <v>5</v>
      </c>
      <c r="H5">
        <v>14</v>
      </c>
      <c r="I5">
        <v>39</v>
      </c>
      <c r="J5">
        <v>239554</v>
      </c>
      <c r="K5">
        <v>97</v>
      </c>
      <c r="L5">
        <v>0</v>
      </c>
      <c r="M5">
        <v>1</v>
      </c>
      <c r="N5">
        <v>2</v>
      </c>
      <c r="O5">
        <v>1</v>
      </c>
      <c r="P5">
        <v>1</v>
      </c>
      <c r="Q5">
        <v>0</v>
      </c>
      <c r="R5">
        <v>68</v>
      </c>
      <c r="S5">
        <v>168</v>
      </c>
      <c r="T5">
        <v>24</v>
      </c>
      <c r="U5">
        <v>4</v>
      </c>
    </row>
    <row r="6" spans="1:21" x14ac:dyDescent="0.3">
      <c r="A6">
        <v>11</v>
      </c>
      <c r="B6">
        <v>23</v>
      </c>
      <c r="C6">
        <v>7</v>
      </c>
      <c r="D6">
        <v>5</v>
      </c>
      <c r="E6">
        <v>1</v>
      </c>
      <c r="F6">
        <v>289</v>
      </c>
      <c r="G6">
        <v>36</v>
      </c>
      <c r="H6">
        <v>13</v>
      </c>
      <c r="I6">
        <v>33</v>
      </c>
      <c r="J6">
        <v>239554</v>
      </c>
      <c r="K6">
        <v>97</v>
      </c>
      <c r="L6">
        <v>0</v>
      </c>
      <c r="M6">
        <v>1</v>
      </c>
      <c r="N6">
        <v>2</v>
      </c>
      <c r="O6">
        <v>1</v>
      </c>
      <c r="P6">
        <v>0</v>
      </c>
      <c r="Q6">
        <v>1</v>
      </c>
      <c r="R6">
        <v>90</v>
      </c>
      <c r="S6">
        <v>172</v>
      </c>
      <c r="T6">
        <v>30</v>
      </c>
      <c r="U6">
        <v>2</v>
      </c>
    </row>
    <row r="7" spans="1:21" x14ac:dyDescent="0.3">
      <c r="A7">
        <v>3</v>
      </c>
      <c r="B7">
        <v>23</v>
      </c>
      <c r="C7">
        <v>7</v>
      </c>
      <c r="D7">
        <v>6</v>
      </c>
      <c r="E7">
        <v>1</v>
      </c>
      <c r="F7">
        <v>179</v>
      </c>
      <c r="G7">
        <v>51</v>
      </c>
      <c r="H7">
        <v>18</v>
      </c>
      <c r="I7">
        <v>38</v>
      </c>
      <c r="J7">
        <v>239554</v>
      </c>
      <c r="K7">
        <v>97</v>
      </c>
      <c r="L7">
        <v>0</v>
      </c>
      <c r="M7">
        <v>1</v>
      </c>
      <c r="N7">
        <v>0</v>
      </c>
      <c r="O7">
        <v>1</v>
      </c>
      <c r="P7">
        <v>0</v>
      </c>
      <c r="Q7">
        <v>0</v>
      </c>
      <c r="R7">
        <v>89</v>
      </c>
      <c r="S7">
        <v>170</v>
      </c>
      <c r="T7">
        <v>31</v>
      </c>
    </row>
    <row r="8" spans="1:21" x14ac:dyDescent="0.3">
      <c r="A8">
        <v>10</v>
      </c>
      <c r="B8">
        <v>22</v>
      </c>
      <c r="C8">
        <v>7</v>
      </c>
      <c r="D8">
        <v>6</v>
      </c>
      <c r="E8">
        <v>1</v>
      </c>
      <c r="G8">
        <v>52</v>
      </c>
      <c r="H8">
        <v>3</v>
      </c>
      <c r="I8">
        <v>28</v>
      </c>
      <c r="J8">
        <v>239554</v>
      </c>
      <c r="K8">
        <v>97</v>
      </c>
      <c r="L8">
        <v>0</v>
      </c>
      <c r="M8">
        <v>1</v>
      </c>
      <c r="N8">
        <v>1</v>
      </c>
      <c r="O8">
        <v>1</v>
      </c>
      <c r="P8">
        <v>0</v>
      </c>
      <c r="Q8">
        <v>4</v>
      </c>
      <c r="R8">
        <v>80</v>
      </c>
      <c r="S8">
        <v>172</v>
      </c>
      <c r="T8">
        <v>27</v>
      </c>
      <c r="U8">
        <v>8</v>
      </c>
    </row>
    <row r="9" spans="1:21" x14ac:dyDescent="0.3">
      <c r="A9">
        <v>20</v>
      </c>
      <c r="B9">
        <v>23</v>
      </c>
      <c r="C9">
        <v>7</v>
      </c>
      <c r="D9">
        <v>6</v>
      </c>
      <c r="E9">
        <v>1</v>
      </c>
      <c r="F9">
        <v>260</v>
      </c>
      <c r="G9">
        <v>50</v>
      </c>
      <c r="H9">
        <v>11</v>
      </c>
      <c r="I9">
        <v>36</v>
      </c>
      <c r="J9">
        <v>239554</v>
      </c>
      <c r="K9">
        <v>97</v>
      </c>
      <c r="L9">
        <v>0</v>
      </c>
      <c r="M9">
        <v>1</v>
      </c>
      <c r="N9">
        <v>4</v>
      </c>
      <c r="O9">
        <v>1</v>
      </c>
      <c r="P9">
        <v>0</v>
      </c>
      <c r="Q9">
        <v>0</v>
      </c>
      <c r="R9">
        <v>65</v>
      </c>
      <c r="S9">
        <v>168</v>
      </c>
      <c r="T9">
        <v>23</v>
      </c>
      <c r="U9">
        <v>4</v>
      </c>
    </row>
    <row r="10" spans="1:21" x14ac:dyDescent="0.3">
      <c r="A10">
        <v>14</v>
      </c>
      <c r="B10">
        <v>19</v>
      </c>
      <c r="C10">
        <v>7</v>
      </c>
      <c r="D10">
        <v>2</v>
      </c>
      <c r="E10">
        <v>1</v>
      </c>
      <c r="F10">
        <v>155</v>
      </c>
      <c r="G10">
        <v>12</v>
      </c>
      <c r="H10">
        <v>14</v>
      </c>
      <c r="I10">
        <v>34</v>
      </c>
      <c r="J10">
        <v>239554</v>
      </c>
      <c r="K10">
        <v>97</v>
      </c>
      <c r="L10">
        <v>0</v>
      </c>
      <c r="M10">
        <v>1</v>
      </c>
      <c r="N10">
        <v>2</v>
      </c>
      <c r="O10">
        <v>1</v>
      </c>
      <c r="P10">
        <v>0</v>
      </c>
      <c r="Q10">
        <v>0</v>
      </c>
      <c r="R10">
        <v>95</v>
      </c>
      <c r="S10">
        <v>196</v>
      </c>
      <c r="T10">
        <v>25</v>
      </c>
      <c r="U10">
        <v>40</v>
      </c>
    </row>
    <row r="11" spans="1:21" x14ac:dyDescent="0.3">
      <c r="A11">
        <v>1</v>
      </c>
      <c r="B11">
        <v>22</v>
      </c>
      <c r="C11">
        <v>7</v>
      </c>
      <c r="D11">
        <v>2</v>
      </c>
      <c r="E11">
        <v>1</v>
      </c>
      <c r="F11">
        <v>235</v>
      </c>
      <c r="G11">
        <v>11</v>
      </c>
      <c r="H11">
        <v>14</v>
      </c>
      <c r="I11">
        <v>37</v>
      </c>
      <c r="J11">
        <v>239554</v>
      </c>
      <c r="K11">
        <v>97</v>
      </c>
      <c r="L11">
        <v>0</v>
      </c>
      <c r="M11">
        <v>3</v>
      </c>
      <c r="N11">
        <v>1</v>
      </c>
      <c r="O11">
        <v>0</v>
      </c>
      <c r="P11">
        <v>0</v>
      </c>
      <c r="Q11">
        <v>1</v>
      </c>
      <c r="R11">
        <v>88</v>
      </c>
      <c r="S11">
        <v>172</v>
      </c>
      <c r="T11">
        <v>29</v>
      </c>
      <c r="U11">
        <v>8</v>
      </c>
    </row>
    <row r="12" spans="1:21" x14ac:dyDescent="0.3">
      <c r="A12">
        <v>20</v>
      </c>
      <c r="B12">
        <v>1</v>
      </c>
      <c r="C12">
        <v>7</v>
      </c>
      <c r="D12">
        <v>2</v>
      </c>
      <c r="E12">
        <v>1</v>
      </c>
      <c r="F12">
        <v>260</v>
      </c>
      <c r="G12">
        <v>50</v>
      </c>
      <c r="H12">
        <v>11</v>
      </c>
      <c r="I12">
        <v>36</v>
      </c>
      <c r="J12">
        <v>239554</v>
      </c>
      <c r="K12">
        <v>97</v>
      </c>
      <c r="L12">
        <v>0</v>
      </c>
      <c r="M12">
        <v>1</v>
      </c>
      <c r="N12">
        <v>4</v>
      </c>
      <c r="O12">
        <v>1</v>
      </c>
      <c r="P12">
        <v>0</v>
      </c>
      <c r="Q12">
        <v>0</v>
      </c>
      <c r="R12">
        <v>65</v>
      </c>
      <c r="S12">
        <v>168</v>
      </c>
      <c r="T12">
        <v>23</v>
      </c>
      <c r="U12">
        <v>8</v>
      </c>
    </row>
    <row r="13" spans="1:21" x14ac:dyDescent="0.3">
      <c r="A13">
        <v>20</v>
      </c>
      <c r="B13">
        <v>1</v>
      </c>
      <c r="C13">
        <v>7</v>
      </c>
      <c r="D13">
        <v>3</v>
      </c>
      <c r="E13">
        <v>1</v>
      </c>
      <c r="F13">
        <v>260</v>
      </c>
      <c r="G13">
        <v>50</v>
      </c>
      <c r="H13">
        <v>11</v>
      </c>
      <c r="I13">
        <v>36</v>
      </c>
      <c r="J13">
        <v>239554</v>
      </c>
      <c r="K13">
        <v>97</v>
      </c>
      <c r="L13">
        <v>0</v>
      </c>
      <c r="M13">
        <v>1</v>
      </c>
      <c r="N13">
        <v>4</v>
      </c>
      <c r="O13">
        <v>1</v>
      </c>
      <c r="P13">
        <v>0</v>
      </c>
      <c r="Q13">
        <v>0</v>
      </c>
      <c r="R13">
        <v>65</v>
      </c>
      <c r="S13">
        <v>168</v>
      </c>
      <c r="T13">
        <v>23</v>
      </c>
      <c r="U13">
        <v>8</v>
      </c>
    </row>
    <row r="14" spans="1:21" x14ac:dyDescent="0.3">
      <c r="A14">
        <v>20</v>
      </c>
      <c r="B14">
        <v>11</v>
      </c>
      <c r="C14">
        <v>7</v>
      </c>
      <c r="D14">
        <v>4</v>
      </c>
      <c r="E14">
        <v>1</v>
      </c>
      <c r="F14">
        <v>260</v>
      </c>
      <c r="G14">
        <v>50</v>
      </c>
      <c r="H14">
        <v>11</v>
      </c>
      <c r="I14">
        <v>36</v>
      </c>
      <c r="J14">
        <v>239554</v>
      </c>
      <c r="K14">
        <v>97</v>
      </c>
      <c r="L14">
        <v>0</v>
      </c>
      <c r="M14">
        <v>1</v>
      </c>
      <c r="N14">
        <v>4</v>
      </c>
      <c r="O14">
        <v>1</v>
      </c>
      <c r="P14">
        <v>0</v>
      </c>
      <c r="Q14">
        <v>0</v>
      </c>
      <c r="R14">
        <v>65</v>
      </c>
      <c r="S14">
        <v>168</v>
      </c>
      <c r="T14">
        <v>23</v>
      </c>
      <c r="U14">
        <v>8</v>
      </c>
    </row>
    <row r="15" spans="1:21" x14ac:dyDescent="0.3">
      <c r="A15">
        <v>3</v>
      </c>
      <c r="B15">
        <v>11</v>
      </c>
      <c r="C15">
        <v>7</v>
      </c>
      <c r="D15">
        <v>4</v>
      </c>
      <c r="E15">
        <v>1</v>
      </c>
      <c r="F15">
        <v>179</v>
      </c>
      <c r="G15">
        <v>51</v>
      </c>
      <c r="H15">
        <v>18</v>
      </c>
      <c r="I15">
        <v>38</v>
      </c>
      <c r="J15">
        <v>239554</v>
      </c>
      <c r="K15">
        <v>97</v>
      </c>
      <c r="L15">
        <v>0</v>
      </c>
      <c r="M15">
        <v>1</v>
      </c>
      <c r="N15">
        <v>0</v>
      </c>
      <c r="O15">
        <v>1</v>
      </c>
      <c r="P15">
        <v>0</v>
      </c>
      <c r="Q15">
        <v>0</v>
      </c>
      <c r="R15">
        <v>89</v>
      </c>
      <c r="S15">
        <v>170</v>
      </c>
      <c r="T15">
        <v>31</v>
      </c>
      <c r="U15">
        <v>1</v>
      </c>
    </row>
    <row r="16" spans="1:21" x14ac:dyDescent="0.3">
      <c r="A16">
        <v>3</v>
      </c>
      <c r="B16">
        <v>23</v>
      </c>
      <c r="C16">
        <v>7</v>
      </c>
      <c r="D16">
        <v>4</v>
      </c>
      <c r="E16">
        <v>1</v>
      </c>
      <c r="F16">
        <v>179</v>
      </c>
      <c r="G16">
        <v>51</v>
      </c>
      <c r="H16">
        <v>18</v>
      </c>
      <c r="I16">
        <v>38</v>
      </c>
      <c r="J16">
        <v>239554</v>
      </c>
      <c r="K16">
        <v>97</v>
      </c>
      <c r="L16">
        <v>0</v>
      </c>
      <c r="M16">
        <v>1</v>
      </c>
      <c r="N16">
        <v>0</v>
      </c>
      <c r="O16">
        <v>1</v>
      </c>
      <c r="P16">
        <v>0</v>
      </c>
      <c r="Q16">
        <v>0</v>
      </c>
      <c r="R16">
        <v>89</v>
      </c>
      <c r="S16">
        <v>170</v>
      </c>
      <c r="U16">
        <v>4</v>
      </c>
    </row>
    <row r="17" spans="1:21" x14ac:dyDescent="0.3">
      <c r="A17">
        <v>24</v>
      </c>
      <c r="B17">
        <v>14</v>
      </c>
      <c r="C17">
        <v>7</v>
      </c>
      <c r="D17">
        <v>6</v>
      </c>
      <c r="E17">
        <v>1</v>
      </c>
      <c r="F17">
        <v>246</v>
      </c>
      <c r="G17">
        <v>25</v>
      </c>
      <c r="H17">
        <v>16</v>
      </c>
      <c r="I17">
        <v>41</v>
      </c>
      <c r="J17">
        <v>239554</v>
      </c>
      <c r="K17">
        <v>97</v>
      </c>
      <c r="L17">
        <v>0</v>
      </c>
      <c r="M17">
        <v>1</v>
      </c>
      <c r="N17">
        <v>0</v>
      </c>
      <c r="O17">
        <v>1</v>
      </c>
      <c r="P17">
        <v>0</v>
      </c>
      <c r="Q17">
        <v>0</v>
      </c>
      <c r="R17">
        <v>67</v>
      </c>
      <c r="S17">
        <v>170</v>
      </c>
    </row>
    <row r="18" spans="1:21" x14ac:dyDescent="0.3">
      <c r="A18">
        <v>3</v>
      </c>
      <c r="B18">
        <v>23</v>
      </c>
      <c r="C18">
        <v>7</v>
      </c>
      <c r="D18">
        <v>6</v>
      </c>
      <c r="E18">
        <v>1</v>
      </c>
      <c r="G18">
        <v>51</v>
      </c>
      <c r="H18">
        <v>18</v>
      </c>
      <c r="I18">
        <v>38</v>
      </c>
      <c r="J18">
        <v>239554</v>
      </c>
      <c r="K18">
        <v>97</v>
      </c>
      <c r="L18">
        <v>0</v>
      </c>
      <c r="M18">
        <v>1</v>
      </c>
      <c r="N18">
        <v>0</v>
      </c>
      <c r="O18">
        <v>1</v>
      </c>
      <c r="P18">
        <v>0</v>
      </c>
      <c r="Q18">
        <v>0</v>
      </c>
      <c r="R18">
        <v>89</v>
      </c>
      <c r="S18">
        <v>170</v>
      </c>
      <c r="T18">
        <v>31</v>
      </c>
      <c r="U18">
        <v>2</v>
      </c>
    </row>
    <row r="19" spans="1:21" x14ac:dyDescent="0.3">
      <c r="A19">
        <v>3</v>
      </c>
      <c r="B19">
        <v>21</v>
      </c>
      <c r="C19">
        <v>7</v>
      </c>
      <c r="D19">
        <v>2</v>
      </c>
      <c r="E19">
        <v>1</v>
      </c>
      <c r="F19">
        <v>179</v>
      </c>
      <c r="G19">
        <v>51</v>
      </c>
      <c r="H19">
        <v>18</v>
      </c>
      <c r="I19">
        <v>38</v>
      </c>
      <c r="J19">
        <v>239554</v>
      </c>
      <c r="K19">
        <v>97</v>
      </c>
      <c r="L19">
        <v>0</v>
      </c>
      <c r="M19">
        <v>1</v>
      </c>
      <c r="N19">
        <v>0</v>
      </c>
      <c r="O19">
        <v>1</v>
      </c>
      <c r="P19">
        <v>0</v>
      </c>
      <c r="Q19">
        <v>0</v>
      </c>
      <c r="R19">
        <v>89</v>
      </c>
      <c r="S19">
        <v>170</v>
      </c>
      <c r="T19">
        <v>31</v>
      </c>
      <c r="U19">
        <v>8</v>
      </c>
    </row>
    <row r="20" spans="1:21" x14ac:dyDescent="0.3">
      <c r="A20">
        <v>6</v>
      </c>
      <c r="B20">
        <v>11</v>
      </c>
      <c r="C20">
        <v>7</v>
      </c>
      <c r="D20">
        <v>5</v>
      </c>
      <c r="E20">
        <v>1</v>
      </c>
      <c r="F20">
        <v>189</v>
      </c>
      <c r="G20">
        <v>29</v>
      </c>
      <c r="H20">
        <v>13</v>
      </c>
      <c r="I20">
        <v>33</v>
      </c>
      <c r="J20">
        <v>239554</v>
      </c>
      <c r="K20">
        <v>97</v>
      </c>
      <c r="L20">
        <v>0</v>
      </c>
      <c r="M20">
        <v>1</v>
      </c>
      <c r="N20">
        <v>2</v>
      </c>
      <c r="O20">
        <v>0</v>
      </c>
      <c r="P20">
        <v>0</v>
      </c>
      <c r="Q20">
        <v>2</v>
      </c>
      <c r="R20">
        <v>69</v>
      </c>
      <c r="S20">
        <v>167</v>
      </c>
      <c r="T20">
        <v>25</v>
      </c>
      <c r="U20">
        <v>8</v>
      </c>
    </row>
    <row r="21" spans="1:21" x14ac:dyDescent="0.3">
      <c r="A21">
        <v>33</v>
      </c>
      <c r="B21">
        <v>23</v>
      </c>
      <c r="C21">
        <v>8</v>
      </c>
      <c r="D21">
        <v>4</v>
      </c>
      <c r="E21">
        <v>1</v>
      </c>
      <c r="F21">
        <v>248</v>
      </c>
      <c r="G21">
        <v>25</v>
      </c>
      <c r="H21">
        <v>14</v>
      </c>
      <c r="I21">
        <v>47</v>
      </c>
      <c r="J21">
        <v>205917</v>
      </c>
      <c r="K21">
        <v>92</v>
      </c>
      <c r="L21">
        <v>0</v>
      </c>
      <c r="M21">
        <v>1</v>
      </c>
      <c r="N21">
        <v>2</v>
      </c>
      <c r="O21">
        <v>0</v>
      </c>
      <c r="P21">
        <v>0</v>
      </c>
      <c r="Q21">
        <v>1</v>
      </c>
      <c r="R21">
        <v>86</v>
      </c>
      <c r="S21">
        <v>165</v>
      </c>
      <c r="T21">
        <v>32</v>
      </c>
      <c r="U21">
        <v>2</v>
      </c>
    </row>
    <row r="22" spans="1:21" x14ac:dyDescent="0.3">
      <c r="A22">
        <v>18</v>
      </c>
      <c r="B22">
        <v>10</v>
      </c>
      <c r="C22">
        <v>8</v>
      </c>
      <c r="D22">
        <v>4</v>
      </c>
      <c r="E22">
        <v>1</v>
      </c>
      <c r="F22">
        <v>330</v>
      </c>
      <c r="G22">
        <v>16</v>
      </c>
      <c r="H22">
        <v>4</v>
      </c>
      <c r="I22">
        <v>28</v>
      </c>
      <c r="J22">
        <v>205917</v>
      </c>
      <c r="K22">
        <v>92</v>
      </c>
      <c r="L22">
        <v>0</v>
      </c>
      <c r="M22">
        <v>2</v>
      </c>
      <c r="N22">
        <v>0</v>
      </c>
      <c r="O22">
        <v>0</v>
      </c>
      <c r="P22">
        <v>0</v>
      </c>
      <c r="Q22">
        <v>0</v>
      </c>
      <c r="R22">
        <v>84</v>
      </c>
      <c r="S22">
        <v>182</v>
      </c>
      <c r="T22">
        <v>25</v>
      </c>
    </row>
    <row r="23" spans="1:21" x14ac:dyDescent="0.3">
      <c r="A23">
        <v>3</v>
      </c>
      <c r="B23">
        <v>11</v>
      </c>
      <c r="C23">
        <v>8</v>
      </c>
      <c r="D23">
        <v>2</v>
      </c>
      <c r="E23">
        <v>1</v>
      </c>
      <c r="F23">
        <v>179</v>
      </c>
      <c r="G23">
        <v>51</v>
      </c>
      <c r="H23">
        <v>18</v>
      </c>
      <c r="I23">
        <v>38</v>
      </c>
      <c r="J23">
        <v>205917</v>
      </c>
      <c r="K23">
        <v>92</v>
      </c>
      <c r="L23">
        <v>0</v>
      </c>
      <c r="M23">
        <v>1</v>
      </c>
      <c r="N23">
        <v>0</v>
      </c>
      <c r="O23">
        <v>1</v>
      </c>
      <c r="P23">
        <v>0</v>
      </c>
      <c r="Q23">
        <v>0</v>
      </c>
      <c r="R23">
        <v>89</v>
      </c>
      <c r="S23">
        <v>170</v>
      </c>
      <c r="T23">
        <v>31</v>
      </c>
      <c r="U23">
        <v>1</v>
      </c>
    </row>
    <row r="24" spans="1:21" x14ac:dyDescent="0.3">
      <c r="A24">
        <v>10</v>
      </c>
      <c r="B24">
        <v>13</v>
      </c>
      <c r="C24">
        <v>8</v>
      </c>
      <c r="D24">
        <v>2</v>
      </c>
      <c r="E24">
        <v>1</v>
      </c>
      <c r="F24">
        <v>361</v>
      </c>
      <c r="G24">
        <v>52</v>
      </c>
      <c r="H24">
        <v>3</v>
      </c>
      <c r="I24">
        <v>28</v>
      </c>
      <c r="J24">
        <v>205917</v>
      </c>
      <c r="K24">
        <v>92</v>
      </c>
      <c r="L24">
        <v>0</v>
      </c>
      <c r="M24">
        <v>1</v>
      </c>
      <c r="N24">
        <v>1</v>
      </c>
      <c r="O24">
        <v>1</v>
      </c>
      <c r="P24">
        <v>0</v>
      </c>
      <c r="Q24">
        <v>4</v>
      </c>
      <c r="R24">
        <v>80</v>
      </c>
      <c r="S24">
        <v>172</v>
      </c>
      <c r="T24">
        <v>27</v>
      </c>
      <c r="U24">
        <v>40</v>
      </c>
    </row>
    <row r="25" spans="1:21" x14ac:dyDescent="0.3">
      <c r="A25">
        <v>20</v>
      </c>
      <c r="B25">
        <v>28</v>
      </c>
      <c r="C25">
        <v>8</v>
      </c>
      <c r="D25">
        <v>6</v>
      </c>
      <c r="E25">
        <v>1</v>
      </c>
      <c r="F25">
        <v>260</v>
      </c>
      <c r="G25">
        <v>50</v>
      </c>
      <c r="H25">
        <v>11</v>
      </c>
      <c r="I25">
        <v>36</v>
      </c>
      <c r="J25">
        <v>205917</v>
      </c>
      <c r="K25">
        <v>92</v>
      </c>
      <c r="L25">
        <v>0</v>
      </c>
      <c r="M25">
        <v>1</v>
      </c>
      <c r="N25">
        <v>4</v>
      </c>
      <c r="O25">
        <v>1</v>
      </c>
      <c r="P25">
        <v>0</v>
      </c>
      <c r="Q25">
        <v>0</v>
      </c>
      <c r="R25">
        <v>65</v>
      </c>
      <c r="S25">
        <v>168</v>
      </c>
      <c r="T25">
        <v>23</v>
      </c>
      <c r="U25">
        <v>4</v>
      </c>
    </row>
    <row r="26" spans="1:21" x14ac:dyDescent="0.3">
      <c r="A26">
        <v>11</v>
      </c>
      <c r="B26">
        <v>18</v>
      </c>
      <c r="C26">
        <v>8</v>
      </c>
      <c r="D26">
        <v>2</v>
      </c>
      <c r="E26">
        <v>1</v>
      </c>
      <c r="F26">
        <v>289</v>
      </c>
      <c r="G26">
        <v>36</v>
      </c>
      <c r="H26">
        <v>13</v>
      </c>
      <c r="I26">
        <v>33</v>
      </c>
      <c r="J26">
        <v>205917</v>
      </c>
      <c r="K26">
        <v>92</v>
      </c>
      <c r="L26">
        <v>0</v>
      </c>
      <c r="M26">
        <v>1</v>
      </c>
      <c r="N26">
        <v>2</v>
      </c>
      <c r="O26">
        <v>1</v>
      </c>
      <c r="P26">
        <v>0</v>
      </c>
      <c r="Q26">
        <v>1</v>
      </c>
      <c r="R26">
        <v>90</v>
      </c>
      <c r="S26">
        <v>172</v>
      </c>
      <c r="U26">
        <v>8</v>
      </c>
    </row>
    <row r="27" spans="1:21" x14ac:dyDescent="0.3">
      <c r="A27">
        <v>10</v>
      </c>
      <c r="B27">
        <v>25</v>
      </c>
      <c r="C27">
        <v>8</v>
      </c>
      <c r="D27">
        <v>2</v>
      </c>
      <c r="E27">
        <v>1</v>
      </c>
      <c r="F27">
        <v>361</v>
      </c>
      <c r="G27">
        <v>52</v>
      </c>
      <c r="H27">
        <v>3</v>
      </c>
      <c r="I27">
        <v>28</v>
      </c>
      <c r="J27">
        <v>205917</v>
      </c>
      <c r="K27">
        <v>92</v>
      </c>
      <c r="L27">
        <v>0</v>
      </c>
      <c r="M27">
        <v>1</v>
      </c>
      <c r="N27">
        <v>1</v>
      </c>
      <c r="O27">
        <v>1</v>
      </c>
      <c r="P27">
        <v>0</v>
      </c>
      <c r="Q27">
        <v>4</v>
      </c>
      <c r="R27">
        <v>80</v>
      </c>
      <c r="S27">
        <v>172</v>
      </c>
      <c r="T27">
        <v>27</v>
      </c>
      <c r="U27">
        <v>7</v>
      </c>
    </row>
    <row r="28" spans="1:21" x14ac:dyDescent="0.3">
      <c r="A28">
        <v>11</v>
      </c>
      <c r="B28">
        <v>23</v>
      </c>
      <c r="C28">
        <v>8</v>
      </c>
      <c r="D28">
        <v>3</v>
      </c>
      <c r="E28">
        <v>1</v>
      </c>
      <c r="F28">
        <v>289</v>
      </c>
      <c r="G28">
        <v>36</v>
      </c>
      <c r="H28">
        <v>13</v>
      </c>
      <c r="I28">
        <v>33</v>
      </c>
      <c r="J28">
        <v>205917</v>
      </c>
      <c r="K28">
        <v>92</v>
      </c>
      <c r="L28">
        <v>0</v>
      </c>
      <c r="M28">
        <v>1</v>
      </c>
      <c r="N28">
        <v>2</v>
      </c>
      <c r="O28">
        <v>1</v>
      </c>
      <c r="P28">
        <v>0</v>
      </c>
      <c r="Q28">
        <v>1</v>
      </c>
      <c r="R28">
        <v>90</v>
      </c>
      <c r="S28">
        <v>172</v>
      </c>
      <c r="T28">
        <v>30</v>
      </c>
      <c r="U28">
        <v>1</v>
      </c>
    </row>
    <row r="29" spans="1:21" x14ac:dyDescent="0.3">
      <c r="A29">
        <v>30</v>
      </c>
      <c r="B29">
        <v>28</v>
      </c>
      <c r="C29">
        <v>8</v>
      </c>
      <c r="D29">
        <v>4</v>
      </c>
      <c r="E29">
        <v>1</v>
      </c>
      <c r="F29">
        <v>157</v>
      </c>
      <c r="G29">
        <v>27</v>
      </c>
      <c r="H29">
        <v>6</v>
      </c>
      <c r="I29">
        <v>29</v>
      </c>
      <c r="J29">
        <v>205917</v>
      </c>
      <c r="K29">
        <v>92</v>
      </c>
      <c r="L29">
        <v>0</v>
      </c>
      <c r="M29">
        <v>1</v>
      </c>
      <c r="N29">
        <v>0</v>
      </c>
      <c r="O29">
        <v>1</v>
      </c>
      <c r="P29">
        <v>1</v>
      </c>
      <c r="Q29">
        <v>0</v>
      </c>
      <c r="R29">
        <v>75</v>
      </c>
      <c r="S29">
        <v>185</v>
      </c>
      <c r="U29">
        <v>4</v>
      </c>
    </row>
    <row r="30" spans="1:21" x14ac:dyDescent="0.3">
      <c r="A30">
        <v>11</v>
      </c>
      <c r="B30">
        <v>18</v>
      </c>
      <c r="C30">
        <v>8</v>
      </c>
      <c r="D30">
        <v>4</v>
      </c>
      <c r="E30">
        <v>1</v>
      </c>
      <c r="F30">
        <v>289</v>
      </c>
      <c r="G30">
        <v>36</v>
      </c>
      <c r="H30">
        <v>13</v>
      </c>
      <c r="I30">
        <v>33</v>
      </c>
      <c r="J30">
        <v>205917</v>
      </c>
      <c r="K30">
        <v>92</v>
      </c>
      <c r="L30">
        <v>0</v>
      </c>
      <c r="M30">
        <v>1</v>
      </c>
      <c r="N30">
        <v>2</v>
      </c>
      <c r="O30">
        <v>1</v>
      </c>
      <c r="P30">
        <v>0</v>
      </c>
      <c r="Q30">
        <v>1</v>
      </c>
      <c r="R30">
        <v>90</v>
      </c>
      <c r="S30">
        <v>172</v>
      </c>
      <c r="T30">
        <v>30</v>
      </c>
      <c r="U30">
        <v>8</v>
      </c>
    </row>
    <row r="31" spans="1:21" x14ac:dyDescent="0.3">
      <c r="A31">
        <v>3</v>
      </c>
      <c r="B31">
        <v>23</v>
      </c>
      <c r="C31">
        <v>8</v>
      </c>
      <c r="D31">
        <v>6</v>
      </c>
      <c r="E31">
        <v>1</v>
      </c>
      <c r="F31">
        <v>179</v>
      </c>
      <c r="G31">
        <v>51</v>
      </c>
      <c r="H31">
        <v>18</v>
      </c>
      <c r="I31">
        <v>38</v>
      </c>
      <c r="J31">
        <v>205917</v>
      </c>
      <c r="K31">
        <v>92</v>
      </c>
      <c r="L31">
        <v>0</v>
      </c>
      <c r="M31">
        <v>1</v>
      </c>
      <c r="N31">
        <v>0</v>
      </c>
      <c r="O31">
        <v>1</v>
      </c>
      <c r="P31">
        <v>0</v>
      </c>
      <c r="Q31">
        <v>0</v>
      </c>
      <c r="R31">
        <v>89</v>
      </c>
      <c r="S31">
        <v>170</v>
      </c>
      <c r="T31">
        <v>31</v>
      </c>
      <c r="U31">
        <v>2</v>
      </c>
    </row>
    <row r="32" spans="1:21" x14ac:dyDescent="0.3">
      <c r="A32">
        <v>3</v>
      </c>
      <c r="B32">
        <v>18</v>
      </c>
      <c r="C32">
        <v>8</v>
      </c>
      <c r="D32">
        <v>2</v>
      </c>
      <c r="E32">
        <v>1</v>
      </c>
      <c r="F32">
        <v>179</v>
      </c>
      <c r="G32">
        <v>51</v>
      </c>
      <c r="H32">
        <v>18</v>
      </c>
      <c r="I32">
        <v>38</v>
      </c>
      <c r="J32">
        <v>205917</v>
      </c>
      <c r="K32">
        <v>92</v>
      </c>
      <c r="L32">
        <v>0</v>
      </c>
      <c r="M32">
        <v>1</v>
      </c>
      <c r="N32">
        <v>0</v>
      </c>
      <c r="O32">
        <v>1</v>
      </c>
      <c r="P32">
        <v>0</v>
      </c>
      <c r="Q32">
        <v>0</v>
      </c>
      <c r="R32">
        <v>89</v>
      </c>
      <c r="S32">
        <v>170</v>
      </c>
      <c r="T32">
        <v>31</v>
      </c>
      <c r="U32">
        <v>8</v>
      </c>
    </row>
    <row r="33" spans="1:21" x14ac:dyDescent="0.3">
      <c r="A33">
        <v>2</v>
      </c>
      <c r="B33">
        <v>18</v>
      </c>
      <c r="C33">
        <v>8</v>
      </c>
      <c r="D33">
        <v>5</v>
      </c>
      <c r="E33">
        <v>1</v>
      </c>
      <c r="F33">
        <v>235</v>
      </c>
      <c r="G33">
        <v>29</v>
      </c>
      <c r="H33">
        <v>12</v>
      </c>
      <c r="I33">
        <v>48</v>
      </c>
      <c r="J33">
        <v>205917</v>
      </c>
      <c r="K33">
        <v>92</v>
      </c>
      <c r="L33">
        <v>0</v>
      </c>
      <c r="M33">
        <v>1</v>
      </c>
      <c r="N33">
        <v>1</v>
      </c>
      <c r="O33">
        <v>0</v>
      </c>
      <c r="P33">
        <v>1</v>
      </c>
      <c r="Q33">
        <v>5</v>
      </c>
      <c r="R33">
        <v>88</v>
      </c>
      <c r="S33">
        <v>163</v>
      </c>
      <c r="U33">
        <v>8</v>
      </c>
    </row>
    <row r="34" spans="1:21" x14ac:dyDescent="0.3">
      <c r="A34">
        <v>1</v>
      </c>
      <c r="B34">
        <v>23</v>
      </c>
      <c r="C34">
        <v>8</v>
      </c>
      <c r="D34">
        <v>5</v>
      </c>
      <c r="E34">
        <v>1</v>
      </c>
      <c r="G34">
        <v>11</v>
      </c>
      <c r="H34">
        <v>14</v>
      </c>
      <c r="I34">
        <v>37</v>
      </c>
      <c r="J34">
        <v>205917</v>
      </c>
      <c r="K34">
        <v>92</v>
      </c>
      <c r="L34">
        <v>0</v>
      </c>
      <c r="M34">
        <v>3</v>
      </c>
      <c r="N34">
        <v>1</v>
      </c>
      <c r="O34">
        <v>0</v>
      </c>
      <c r="P34">
        <v>0</v>
      </c>
      <c r="Q34">
        <v>1</v>
      </c>
      <c r="R34">
        <v>88</v>
      </c>
      <c r="S34">
        <v>172</v>
      </c>
      <c r="T34">
        <v>29</v>
      </c>
      <c r="U34">
        <v>4</v>
      </c>
    </row>
    <row r="35" spans="1:21" x14ac:dyDescent="0.3">
      <c r="A35">
        <v>2</v>
      </c>
      <c r="B35">
        <v>18</v>
      </c>
      <c r="C35">
        <v>8</v>
      </c>
      <c r="D35">
        <v>2</v>
      </c>
      <c r="E35">
        <v>1</v>
      </c>
      <c r="F35">
        <v>235</v>
      </c>
      <c r="G35">
        <v>29</v>
      </c>
      <c r="H35">
        <v>12</v>
      </c>
      <c r="I35">
        <v>48</v>
      </c>
      <c r="J35">
        <v>205917</v>
      </c>
      <c r="K35">
        <v>92</v>
      </c>
      <c r="L35">
        <v>0</v>
      </c>
      <c r="M35">
        <v>1</v>
      </c>
      <c r="N35">
        <v>1</v>
      </c>
      <c r="O35">
        <v>0</v>
      </c>
      <c r="P35">
        <v>1</v>
      </c>
      <c r="Q35">
        <v>5</v>
      </c>
      <c r="R35">
        <v>88</v>
      </c>
      <c r="S35">
        <v>163</v>
      </c>
      <c r="T35">
        <v>33</v>
      </c>
      <c r="U35">
        <v>8</v>
      </c>
    </row>
    <row r="36" spans="1:21" x14ac:dyDescent="0.3">
      <c r="A36">
        <v>3</v>
      </c>
      <c r="B36">
        <v>23</v>
      </c>
      <c r="C36">
        <v>8</v>
      </c>
      <c r="D36">
        <v>2</v>
      </c>
      <c r="E36">
        <v>1</v>
      </c>
      <c r="F36">
        <v>179</v>
      </c>
      <c r="G36">
        <v>51</v>
      </c>
      <c r="H36">
        <v>18</v>
      </c>
      <c r="I36">
        <v>38</v>
      </c>
      <c r="J36">
        <v>205917</v>
      </c>
      <c r="K36">
        <v>92</v>
      </c>
      <c r="L36">
        <v>0</v>
      </c>
      <c r="M36">
        <v>1</v>
      </c>
      <c r="N36">
        <v>0</v>
      </c>
      <c r="O36">
        <v>1</v>
      </c>
      <c r="P36">
        <v>0</v>
      </c>
      <c r="Q36">
        <v>0</v>
      </c>
      <c r="R36">
        <v>89</v>
      </c>
      <c r="S36">
        <v>170</v>
      </c>
      <c r="T36">
        <v>31</v>
      </c>
      <c r="U36">
        <v>2</v>
      </c>
    </row>
    <row r="37" spans="1:21" x14ac:dyDescent="0.3">
      <c r="A37">
        <v>10</v>
      </c>
      <c r="B37">
        <v>23</v>
      </c>
      <c r="C37">
        <v>8</v>
      </c>
      <c r="D37">
        <v>2</v>
      </c>
      <c r="E37">
        <v>1</v>
      </c>
      <c r="F37">
        <v>361</v>
      </c>
      <c r="G37">
        <v>52</v>
      </c>
      <c r="H37">
        <v>3</v>
      </c>
      <c r="I37">
        <v>28</v>
      </c>
      <c r="J37">
        <v>205917</v>
      </c>
      <c r="K37">
        <v>92</v>
      </c>
      <c r="L37">
        <v>0</v>
      </c>
      <c r="M37">
        <v>1</v>
      </c>
      <c r="N37">
        <v>1</v>
      </c>
      <c r="O37">
        <v>1</v>
      </c>
      <c r="P37">
        <v>0</v>
      </c>
      <c r="Q37">
        <v>4</v>
      </c>
      <c r="R37">
        <v>80</v>
      </c>
      <c r="S37">
        <v>172</v>
      </c>
      <c r="T37">
        <v>27</v>
      </c>
      <c r="U37">
        <v>1</v>
      </c>
    </row>
    <row r="38" spans="1:21" x14ac:dyDescent="0.3">
      <c r="A38">
        <v>11</v>
      </c>
      <c r="B38">
        <v>24</v>
      </c>
      <c r="C38">
        <v>8</v>
      </c>
      <c r="D38">
        <v>3</v>
      </c>
      <c r="E38">
        <v>1</v>
      </c>
      <c r="F38">
        <v>289</v>
      </c>
      <c r="G38">
        <v>36</v>
      </c>
      <c r="H38">
        <v>13</v>
      </c>
      <c r="I38">
        <v>33</v>
      </c>
      <c r="J38">
        <v>205917</v>
      </c>
      <c r="K38">
        <v>92</v>
      </c>
      <c r="L38">
        <v>0</v>
      </c>
      <c r="M38">
        <v>1</v>
      </c>
      <c r="N38">
        <v>2</v>
      </c>
      <c r="O38">
        <v>1</v>
      </c>
      <c r="P38">
        <v>0</v>
      </c>
      <c r="Q38">
        <v>1</v>
      </c>
      <c r="R38">
        <v>90</v>
      </c>
      <c r="S38">
        <v>172</v>
      </c>
      <c r="T38">
        <v>30</v>
      </c>
      <c r="U38">
        <v>8</v>
      </c>
    </row>
    <row r="39" spans="1:21" x14ac:dyDescent="0.3">
      <c r="A39">
        <v>19</v>
      </c>
      <c r="B39">
        <v>11</v>
      </c>
      <c r="C39">
        <v>8</v>
      </c>
      <c r="D39">
        <v>5</v>
      </c>
      <c r="E39">
        <v>1</v>
      </c>
      <c r="F39">
        <v>291</v>
      </c>
      <c r="G39">
        <v>50</v>
      </c>
      <c r="H39">
        <v>12</v>
      </c>
      <c r="I39">
        <v>32</v>
      </c>
      <c r="J39">
        <v>205917</v>
      </c>
      <c r="K39">
        <v>92</v>
      </c>
      <c r="L39">
        <v>0</v>
      </c>
      <c r="M39">
        <v>1</v>
      </c>
      <c r="N39">
        <v>0</v>
      </c>
      <c r="O39">
        <v>1</v>
      </c>
      <c r="P39">
        <v>0</v>
      </c>
      <c r="Q39">
        <v>0</v>
      </c>
      <c r="R39">
        <v>65</v>
      </c>
      <c r="S39">
        <v>169</v>
      </c>
      <c r="U39">
        <v>4</v>
      </c>
    </row>
    <row r="40" spans="1:21" x14ac:dyDescent="0.3">
      <c r="A40">
        <v>2</v>
      </c>
      <c r="B40">
        <v>28</v>
      </c>
      <c r="C40">
        <v>8</v>
      </c>
      <c r="D40">
        <v>6</v>
      </c>
      <c r="E40">
        <v>1</v>
      </c>
      <c r="F40">
        <v>235</v>
      </c>
      <c r="G40">
        <v>29</v>
      </c>
      <c r="H40">
        <v>12</v>
      </c>
      <c r="I40">
        <v>48</v>
      </c>
      <c r="J40">
        <v>205917</v>
      </c>
      <c r="K40">
        <v>92</v>
      </c>
      <c r="L40">
        <v>0</v>
      </c>
      <c r="M40">
        <v>1</v>
      </c>
      <c r="N40">
        <v>1</v>
      </c>
      <c r="O40">
        <v>0</v>
      </c>
      <c r="P40">
        <v>1</v>
      </c>
      <c r="Q40">
        <v>5</v>
      </c>
      <c r="R40">
        <v>88</v>
      </c>
      <c r="S40">
        <v>163</v>
      </c>
      <c r="T40">
        <v>33</v>
      </c>
      <c r="U40">
        <v>8</v>
      </c>
    </row>
    <row r="41" spans="1:21" x14ac:dyDescent="0.3">
      <c r="A41">
        <v>20</v>
      </c>
      <c r="B41">
        <v>23</v>
      </c>
      <c r="C41">
        <v>8</v>
      </c>
      <c r="D41">
        <v>6</v>
      </c>
      <c r="E41">
        <v>1</v>
      </c>
      <c r="F41">
        <v>260</v>
      </c>
      <c r="G41">
        <v>50</v>
      </c>
      <c r="H41">
        <v>11</v>
      </c>
      <c r="I41">
        <v>36</v>
      </c>
      <c r="J41">
        <v>205917</v>
      </c>
      <c r="K41">
        <v>92</v>
      </c>
      <c r="L41">
        <v>0</v>
      </c>
      <c r="M41">
        <v>1</v>
      </c>
      <c r="N41">
        <v>4</v>
      </c>
      <c r="O41">
        <v>1</v>
      </c>
      <c r="P41">
        <v>0</v>
      </c>
      <c r="Q41">
        <v>0</v>
      </c>
      <c r="R41">
        <v>65</v>
      </c>
      <c r="S41">
        <v>168</v>
      </c>
      <c r="T41">
        <v>23</v>
      </c>
      <c r="U41">
        <v>4</v>
      </c>
    </row>
    <row r="42" spans="1:21" x14ac:dyDescent="0.3">
      <c r="A42">
        <v>27</v>
      </c>
      <c r="B42">
        <v>23</v>
      </c>
      <c r="C42">
        <v>9</v>
      </c>
      <c r="D42">
        <v>3</v>
      </c>
      <c r="E42">
        <v>1</v>
      </c>
      <c r="F42">
        <v>184</v>
      </c>
      <c r="G42">
        <v>42</v>
      </c>
      <c r="H42">
        <v>7</v>
      </c>
      <c r="I42">
        <v>27</v>
      </c>
      <c r="J42">
        <v>241476</v>
      </c>
      <c r="K42">
        <v>92</v>
      </c>
      <c r="L42">
        <v>0</v>
      </c>
      <c r="M42">
        <v>1</v>
      </c>
      <c r="N42">
        <v>0</v>
      </c>
      <c r="O42">
        <v>0</v>
      </c>
      <c r="P42">
        <v>0</v>
      </c>
      <c r="Q42">
        <v>0</v>
      </c>
      <c r="R42">
        <v>58</v>
      </c>
      <c r="S42">
        <v>167</v>
      </c>
      <c r="T42">
        <v>21</v>
      </c>
      <c r="U42">
        <v>2</v>
      </c>
    </row>
    <row r="43" spans="1:21" x14ac:dyDescent="0.3">
      <c r="A43">
        <v>34</v>
      </c>
      <c r="B43">
        <v>23</v>
      </c>
      <c r="C43">
        <v>9</v>
      </c>
      <c r="D43">
        <v>2</v>
      </c>
      <c r="E43">
        <v>1</v>
      </c>
      <c r="F43">
        <v>118</v>
      </c>
      <c r="G43">
        <v>10</v>
      </c>
      <c r="H43">
        <v>10</v>
      </c>
      <c r="I43">
        <v>37</v>
      </c>
      <c r="J43">
        <v>241476</v>
      </c>
      <c r="K43">
        <v>92</v>
      </c>
      <c r="L43">
        <v>0</v>
      </c>
      <c r="M43">
        <v>1</v>
      </c>
      <c r="N43">
        <v>0</v>
      </c>
      <c r="O43">
        <v>0</v>
      </c>
      <c r="P43">
        <v>0</v>
      </c>
      <c r="Q43">
        <v>0</v>
      </c>
      <c r="R43">
        <v>83</v>
      </c>
      <c r="S43">
        <v>172</v>
      </c>
      <c r="U43">
        <v>4</v>
      </c>
    </row>
    <row r="44" spans="1:21" x14ac:dyDescent="0.3">
      <c r="A44">
        <v>3</v>
      </c>
      <c r="B44">
        <v>23</v>
      </c>
      <c r="C44">
        <v>9</v>
      </c>
      <c r="D44">
        <v>3</v>
      </c>
      <c r="E44">
        <v>1</v>
      </c>
      <c r="F44">
        <v>179</v>
      </c>
      <c r="G44">
        <v>51</v>
      </c>
      <c r="H44">
        <v>18</v>
      </c>
      <c r="I44">
        <v>38</v>
      </c>
      <c r="J44">
        <v>241476</v>
      </c>
      <c r="K44">
        <v>92</v>
      </c>
      <c r="L44">
        <v>0</v>
      </c>
      <c r="M44">
        <v>1</v>
      </c>
      <c r="N44">
        <v>0</v>
      </c>
      <c r="O44">
        <v>1</v>
      </c>
      <c r="P44">
        <v>0</v>
      </c>
      <c r="Q44">
        <v>0</v>
      </c>
      <c r="R44">
        <v>89</v>
      </c>
      <c r="S44">
        <v>170</v>
      </c>
      <c r="U44">
        <v>4</v>
      </c>
    </row>
    <row r="45" spans="1:21" x14ac:dyDescent="0.3">
      <c r="A45">
        <v>5</v>
      </c>
      <c r="B45">
        <v>19</v>
      </c>
      <c r="C45">
        <v>9</v>
      </c>
      <c r="D45">
        <v>3</v>
      </c>
      <c r="E45">
        <v>1</v>
      </c>
      <c r="F45">
        <v>235</v>
      </c>
      <c r="G45">
        <v>20</v>
      </c>
      <c r="H45">
        <v>13</v>
      </c>
      <c r="I45">
        <v>43</v>
      </c>
      <c r="J45">
        <v>241476</v>
      </c>
      <c r="K45">
        <v>92</v>
      </c>
      <c r="L45">
        <v>0</v>
      </c>
      <c r="M45">
        <v>1</v>
      </c>
      <c r="N45">
        <v>1</v>
      </c>
      <c r="O45">
        <v>1</v>
      </c>
      <c r="P45">
        <v>0</v>
      </c>
      <c r="Q45">
        <v>0</v>
      </c>
      <c r="R45">
        <v>106</v>
      </c>
      <c r="S45">
        <v>167</v>
      </c>
      <c r="T45">
        <v>38</v>
      </c>
      <c r="U45">
        <v>8</v>
      </c>
    </row>
    <row r="46" spans="1:21" x14ac:dyDescent="0.3">
      <c r="A46">
        <v>14</v>
      </c>
      <c r="B46">
        <v>23</v>
      </c>
      <c r="C46">
        <v>9</v>
      </c>
      <c r="D46">
        <v>4</v>
      </c>
      <c r="E46">
        <v>1</v>
      </c>
      <c r="F46">
        <v>155</v>
      </c>
      <c r="G46">
        <v>12</v>
      </c>
      <c r="H46">
        <v>14</v>
      </c>
      <c r="I46">
        <v>34</v>
      </c>
      <c r="J46">
        <v>241476</v>
      </c>
      <c r="K46">
        <v>92</v>
      </c>
      <c r="L46">
        <v>0</v>
      </c>
      <c r="M46">
        <v>1</v>
      </c>
      <c r="N46">
        <v>2</v>
      </c>
      <c r="O46">
        <v>1</v>
      </c>
      <c r="P46">
        <v>0</v>
      </c>
      <c r="Q46">
        <v>0</v>
      </c>
      <c r="R46">
        <v>95</v>
      </c>
      <c r="S46">
        <v>196</v>
      </c>
      <c r="T46">
        <v>25</v>
      </c>
      <c r="U46">
        <v>2</v>
      </c>
    </row>
    <row r="47" spans="1:21" x14ac:dyDescent="0.3">
      <c r="A47">
        <v>34</v>
      </c>
      <c r="B47">
        <v>23</v>
      </c>
      <c r="C47">
        <v>9</v>
      </c>
      <c r="D47">
        <v>2</v>
      </c>
      <c r="E47">
        <v>1</v>
      </c>
      <c r="F47">
        <v>118</v>
      </c>
      <c r="H47">
        <v>10</v>
      </c>
      <c r="I47">
        <v>37</v>
      </c>
      <c r="J47">
        <v>241476</v>
      </c>
      <c r="K47">
        <v>92</v>
      </c>
      <c r="L47">
        <v>0</v>
      </c>
      <c r="M47">
        <v>1</v>
      </c>
      <c r="N47">
        <v>0</v>
      </c>
      <c r="O47">
        <v>0</v>
      </c>
      <c r="P47">
        <v>0</v>
      </c>
      <c r="Q47">
        <v>0</v>
      </c>
      <c r="R47">
        <v>83</v>
      </c>
      <c r="S47">
        <v>172</v>
      </c>
      <c r="T47">
        <v>28</v>
      </c>
      <c r="U47">
        <v>3</v>
      </c>
    </row>
    <row r="48" spans="1:21" x14ac:dyDescent="0.3">
      <c r="A48">
        <v>3</v>
      </c>
      <c r="B48">
        <v>23</v>
      </c>
      <c r="C48">
        <v>9</v>
      </c>
      <c r="D48">
        <v>3</v>
      </c>
      <c r="E48">
        <v>1</v>
      </c>
      <c r="F48">
        <v>179</v>
      </c>
      <c r="G48">
        <v>51</v>
      </c>
      <c r="H48">
        <v>18</v>
      </c>
      <c r="I48">
        <v>38</v>
      </c>
      <c r="J48">
        <v>241476</v>
      </c>
      <c r="K48">
        <v>92</v>
      </c>
      <c r="L48">
        <v>0</v>
      </c>
      <c r="M48">
        <v>1</v>
      </c>
      <c r="N48">
        <v>0</v>
      </c>
      <c r="O48">
        <v>1</v>
      </c>
      <c r="P48">
        <v>0</v>
      </c>
      <c r="Q48">
        <v>0</v>
      </c>
      <c r="R48">
        <v>89</v>
      </c>
      <c r="S48">
        <v>170</v>
      </c>
      <c r="T48">
        <v>31</v>
      </c>
      <c r="U48">
        <v>3</v>
      </c>
    </row>
    <row r="49" spans="1:21" x14ac:dyDescent="0.3">
      <c r="A49">
        <v>15</v>
      </c>
      <c r="B49">
        <v>23</v>
      </c>
      <c r="C49">
        <v>9</v>
      </c>
      <c r="D49">
        <v>5</v>
      </c>
      <c r="E49">
        <v>1</v>
      </c>
      <c r="F49">
        <v>291</v>
      </c>
      <c r="G49">
        <v>31</v>
      </c>
      <c r="H49">
        <v>12</v>
      </c>
      <c r="I49">
        <v>40</v>
      </c>
      <c r="J49">
        <v>241476</v>
      </c>
      <c r="K49">
        <v>92</v>
      </c>
      <c r="L49">
        <v>0</v>
      </c>
      <c r="M49">
        <v>1</v>
      </c>
      <c r="N49">
        <v>1</v>
      </c>
      <c r="O49">
        <v>1</v>
      </c>
      <c r="P49">
        <v>0</v>
      </c>
      <c r="Q49">
        <v>1</v>
      </c>
      <c r="R49">
        <v>73</v>
      </c>
      <c r="S49">
        <v>171</v>
      </c>
      <c r="T49">
        <v>25</v>
      </c>
      <c r="U49">
        <v>4</v>
      </c>
    </row>
    <row r="50" spans="1:21" x14ac:dyDescent="0.3">
      <c r="A50">
        <v>20</v>
      </c>
      <c r="B50">
        <v>22</v>
      </c>
      <c r="C50">
        <v>9</v>
      </c>
      <c r="D50">
        <v>6</v>
      </c>
      <c r="E50">
        <v>1</v>
      </c>
      <c r="F50">
        <v>260</v>
      </c>
      <c r="G50">
        <v>50</v>
      </c>
      <c r="H50">
        <v>11</v>
      </c>
      <c r="I50">
        <v>36</v>
      </c>
      <c r="J50">
        <v>241476</v>
      </c>
      <c r="K50">
        <v>92</v>
      </c>
      <c r="L50">
        <v>0</v>
      </c>
      <c r="M50">
        <v>1</v>
      </c>
      <c r="N50">
        <v>4</v>
      </c>
      <c r="O50">
        <v>1</v>
      </c>
      <c r="P50">
        <v>0</v>
      </c>
      <c r="Q50">
        <v>0</v>
      </c>
      <c r="R50">
        <v>65</v>
      </c>
      <c r="S50">
        <v>168</v>
      </c>
      <c r="T50">
        <v>23</v>
      </c>
    </row>
    <row r="51" spans="1:21" x14ac:dyDescent="0.3">
      <c r="A51">
        <v>15</v>
      </c>
      <c r="B51">
        <v>14</v>
      </c>
      <c r="C51">
        <v>9</v>
      </c>
      <c r="D51">
        <v>2</v>
      </c>
      <c r="E51">
        <v>4</v>
      </c>
      <c r="G51">
        <v>31</v>
      </c>
      <c r="H51">
        <v>12</v>
      </c>
      <c r="I51">
        <v>40</v>
      </c>
      <c r="J51">
        <v>241476</v>
      </c>
      <c r="K51">
        <v>92</v>
      </c>
      <c r="L51">
        <v>0</v>
      </c>
      <c r="M51">
        <v>1</v>
      </c>
      <c r="N51">
        <v>1</v>
      </c>
      <c r="O51">
        <v>1</v>
      </c>
      <c r="P51">
        <v>0</v>
      </c>
      <c r="Q51">
        <v>1</v>
      </c>
      <c r="R51">
        <v>73</v>
      </c>
      <c r="S51">
        <v>171</v>
      </c>
      <c r="T51">
        <v>25</v>
      </c>
      <c r="U51">
        <v>32</v>
      </c>
    </row>
    <row r="52" spans="1:21" x14ac:dyDescent="0.3">
      <c r="A52">
        <v>20</v>
      </c>
      <c r="B52">
        <v>0</v>
      </c>
      <c r="C52">
        <v>9</v>
      </c>
      <c r="D52">
        <v>2</v>
      </c>
      <c r="E52">
        <v>4</v>
      </c>
      <c r="G52">
        <v>50</v>
      </c>
      <c r="H52">
        <v>11</v>
      </c>
      <c r="I52">
        <v>36</v>
      </c>
      <c r="J52">
        <v>241476</v>
      </c>
      <c r="K52">
        <v>92</v>
      </c>
      <c r="M52">
        <v>1</v>
      </c>
      <c r="N52">
        <v>4</v>
      </c>
      <c r="O52">
        <v>1</v>
      </c>
      <c r="P52">
        <v>0</v>
      </c>
      <c r="Q52">
        <v>0</v>
      </c>
      <c r="R52">
        <v>65</v>
      </c>
      <c r="S52">
        <v>168</v>
      </c>
      <c r="T52">
        <v>23</v>
      </c>
    </row>
    <row r="53" spans="1:21" x14ac:dyDescent="0.3">
      <c r="A53">
        <v>29</v>
      </c>
      <c r="B53">
        <v>0</v>
      </c>
      <c r="C53">
        <v>9</v>
      </c>
      <c r="D53">
        <v>2</v>
      </c>
      <c r="E53">
        <v>4</v>
      </c>
      <c r="F53">
        <v>225</v>
      </c>
      <c r="G53">
        <v>26</v>
      </c>
      <c r="H53">
        <v>9</v>
      </c>
      <c r="I53">
        <v>28</v>
      </c>
      <c r="J53">
        <v>241476</v>
      </c>
      <c r="K53">
        <v>92</v>
      </c>
      <c r="L53">
        <v>1</v>
      </c>
      <c r="M53">
        <v>1</v>
      </c>
      <c r="N53">
        <v>1</v>
      </c>
      <c r="O53">
        <v>0</v>
      </c>
      <c r="P53">
        <v>0</v>
      </c>
      <c r="Q53">
        <v>2</v>
      </c>
      <c r="R53">
        <v>69</v>
      </c>
      <c r="S53">
        <v>169</v>
      </c>
      <c r="T53">
        <v>24</v>
      </c>
      <c r="U53">
        <v>0</v>
      </c>
    </row>
    <row r="54" spans="1:21" x14ac:dyDescent="0.3">
      <c r="A54">
        <v>28</v>
      </c>
      <c r="B54">
        <v>23</v>
      </c>
      <c r="C54">
        <v>9</v>
      </c>
      <c r="D54">
        <v>3</v>
      </c>
      <c r="E54">
        <v>4</v>
      </c>
      <c r="F54">
        <v>225</v>
      </c>
      <c r="G54">
        <v>26</v>
      </c>
      <c r="H54">
        <v>9</v>
      </c>
      <c r="I54">
        <v>28</v>
      </c>
      <c r="J54">
        <v>241476</v>
      </c>
      <c r="K54">
        <v>92</v>
      </c>
      <c r="L54">
        <v>0</v>
      </c>
      <c r="M54">
        <v>1</v>
      </c>
      <c r="N54">
        <v>1</v>
      </c>
      <c r="O54">
        <v>0</v>
      </c>
      <c r="P54">
        <v>0</v>
      </c>
      <c r="Q54">
        <v>2</v>
      </c>
      <c r="R54">
        <v>69</v>
      </c>
      <c r="S54">
        <v>169</v>
      </c>
      <c r="U54">
        <v>2</v>
      </c>
    </row>
    <row r="55" spans="1:21" x14ac:dyDescent="0.3">
      <c r="A55">
        <v>34</v>
      </c>
      <c r="B55">
        <v>23</v>
      </c>
      <c r="C55">
        <v>9</v>
      </c>
      <c r="D55">
        <v>3</v>
      </c>
      <c r="E55">
        <v>4</v>
      </c>
      <c r="F55">
        <v>118</v>
      </c>
      <c r="G55">
        <v>10</v>
      </c>
      <c r="H55">
        <v>10</v>
      </c>
      <c r="I55">
        <v>37</v>
      </c>
      <c r="J55">
        <v>241476</v>
      </c>
      <c r="K55">
        <v>92</v>
      </c>
      <c r="L55">
        <v>0</v>
      </c>
      <c r="M55">
        <v>1</v>
      </c>
      <c r="N55">
        <v>0</v>
      </c>
      <c r="O55">
        <v>0</v>
      </c>
      <c r="P55">
        <v>0</v>
      </c>
      <c r="Q55">
        <v>0</v>
      </c>
      <c r="R55">
        <v>83</v>
      </c>
      <c r="S55">
        <v>172</v>
      </c>
      <c r="U55">
        <v>2</v>
      </c>
    </row>
    <row r="56" spans="1:21" x14ac:dyDescent="0.3">
      <c r="A56">
        <v>11</v>
      </c>
      <c r="B56">
        <v>0</v>
      </c>
      <c r="C56">
        <v>9</v>
      </c>
      <c r="D56">
        <v>3</v>
      </c>
      <c r="E56">
        <v>4</v>
      </c>
      <c r="F56">
        <v>289</v>
      </c>
      <c r="G56">
        <v>36</v>
      </c>
      <c r="H56">
        <v>13</v>
      </c>
      <c r="I56">
        <v>33</v>
      </c>
      <c r="J56">
        <v>241476</v>
      </c>
      <c r="K56">
        <v>92</v>
      </c>
      <c r="L56">
        <v>1</v>
      </c>
      <c r="M56">
        <v>1</v>
      </c>
      <c r="N56">
        <v>2</v>
      </c>
      <c r="O56">
        <v>1</v>
      </c>
      <c r="P56">
        <v>0</v>
      </c>
      <c r="Q56">
        <v>1</v>
      </c>
      <c r="R56">
        <v>90</v>
      </c>
      <c r="S56">
        <v>172</v>
      </c>
      <c r="T56">
        <v>30</v>
      </c>
      <c r="U56">
        <v>0</v>
      </c>
    </row>
    <row r="57" spans="1:21" x14ac:dyDescent="0.3">
      <c r="A57">
        <v>36</v>
      </c>
      <c r="B57">
        <v>0</v>
      </c>
      <c r="C57">
        <v>9</v>
      </c>
      <c r="D57">
        <v>3</v>
      </c>
      <c r="E57">
        <v>4</v>
      </c>
      <c r="F57">
        <v>118</v>
      </c>
      <c r="G57">
        <v>13</v>
      </c>
      <c r="H57">
        <v>18</v>
      </c>
      <c r="I57">
        <v>50</v>
      </c>
      <c r="K57">
        <v>92</v>
      </c>
      <c r="L57">
        <v>1</v>
      </c>
      <c r="M57">
        <v>1</v>
      </c>
      <c r="N57">
        <v>1</v>
      </c>
      <c r="O57">
        <v>1</v>
      </c>
      <c r="P57">
        <v>0</v>
      </c>
      <c r="Q57">
        <v>0</v>
      </c>
      <c r="R57">
        <v>98</v>
      </c>
      <c r="S57">
        <v>178</v>
      </c>
      <c r="T57">
        <v>31</v>
      </c>
    </row>
    <row r="58" spans="1:21" x14ac:dyDescent="0.3">
      <c r="A58">
        <v>28</v>
      </c>
      <c r="B58">
        <v>18</v>
      </c>
      <c r="C58">
        <v>9</v>
      </c>
      <c r="D58">
        <v>4</v>
      </c>
      <c r="E58">
        <v>4</v>
      </c>
      <c r="F58">
        <v>225</v>
      </c>
      <c r="G58">
        <v>26</v>
      </c>
      <c r="H58">
        <v>9</v>
      </c>
      <c r="I58">
        <v>28</v>
      </c>
      <c r="J58">
        <v>241476</v>
      </c>
      <c r="K58">
        <v>92</v>
      </c>
      <c r="L58">
        <v>0</v>
      </c>
      <c r="M58">
        <v>1</v>
      </c>
      <c r="N58">
        <v>1</v>
      </c>
      <c r="O58">
        <v>0</v>
      </c>
      <c r="P58">
        <v>0</v>
      </c>
      <c r="Q58">
        <v>2</v>
      </c>
      <c r="R58">
        <v>69</v>
      </c>
      <c r="S58">
        <v>169</v>
      </c>
      <c r="U58">
        <v>3</v>
      </c>
    </row>
    <row r="59" spans="1:21" x14ac:dyDescent="0.3">
      <c r="A59">
        <v>3</v>
      </c>
      <c r="B59">
        <v>23</v>
      </c>
      <c r="C59">
        <v>9</v>
      </c>
      <c r="D59">
        <v>4</v>
      </c>
      <c r="E59">
        <v>4</v>
      </c>
      <c r="F59">
        <v>179</v>
      </c>
      <c r="G59">
        <v>51</v>
      </c>
      <c r="H59">
        <v>18</v>
      </c>
      <c r="I59">
        <v>38</v>
      </c>
      <c r="J59">
        <v>241476</v>
      </c>
      <c r="K59">
        <v>92</v>
      </c>
      <c r="L59">
        <v>0</v>
      </c>
      <c r="M59">
        <v>1</v>
      </c>
      <c r="N59">
        <v>0</v>
      </c>
      <c r="O59">
        <v>1</v>
      </c>
      <c r="P59">
        <v>0</v>
      </c>
      <c r="Q59">
        <v>0</v>
      </c>
      <c r="R59">
        <v>89</v>
      </c>
      <c r="S59">
        <v>170</v>
      </c>
      <c r="U59">
        <v>3</v>
      </c>
    </row>
    <row r="60" spans="1:21" x14ac:dyDescent="0.3">
      <c r="A60">
        <v>13</v>
      </c>
      <c r="B60">
        <v>0</v>
      </c>
      <c r="C60">
        <v>9</v>
      </c>
      <c r="D60">
        <v>4</v>
      </c>
      <c r="E60">
        <v>4</v>
      </c>
      <c r="F60">
        <v>369</v>
      </c>
      <c r="G60">
        <v>17</v>
      </c>
      <c r="H60">
        <v>12</v>
      </c>
      <c r="I60">
        <v>31</v>
      </c>
      <c r="J60">
        <v>241476</v>
      </c>
      <c r="K60">
        <v>92</v>
      </c>
      <c r="L60">
        <v>1</v>
      </c>
      <c r="M60">
        <v>1</v>
      </c>
      <c r="N60">
        <v>3</v>
      </c>
      <c r="O60">
        <v>1</v>
      </c>
      <c r="P60">
        <v>0</v>
      </c>
      <c r="Q60">
        <v>0</v>
      </c>
      <c r="R60">
        <v>70</v>
      </c>
      <c r="S60">
        <v>169</v>
      </c>
      <c r="U60">
        <v>0</v>
      </c>
    </row>
    <row r="61" spans="1:21" x14ac:dyDescent="0.3">
      <c r="A61">
        <v>33</v>
      </c>
      <c r="B61">
        <v>23</v>
      </c>
      <c r="C61">
        <v>9</v>
      </c>
      <c r="D61">
        <v>6</v>
      </c>
      <c r="E61">
        <v>4</v>
      </c>
      <c r="F61">
        <v>248</v>
      </c>
      <c r="G61">
        <v>25</v>
      </c>
      <c r="H61">
        <v>14</v>
      </c>
      <c r="I61">
        <v>47</v>
      </c>
      <c r="J61">
        <v>241476</v>
      </c>
      <c r="K61">
        <v>92</v>
      </c>
      <c r="L61">
        <v>0</v>
      </c>
      <c r="M61">
        <v>1</v>
      </c>
      <c r="N61">
        <v>2</v>
      </c>
      <c r="O61">
        <v>0</v>
      </c>
      <c r="P61">
        <v>0</v>
      </c>
      <c r="Q61">
        <v>1</v>
      </c>
      <c r="R61">
        <v>86</v>
      </c>
      <c r="S61">
        <v>165</v>
      </c>
      <c r="T61">
        <v>32</v>
      </c>
      <c r="U61">
        <v>1</v>
      </c>
    </row>
    <row r="62" spans="1:21" x14ac:dyDescent="0.3">
      <c r="A62">
        <v>3</v>
      </c>
      <c r="B62">
        <v>23</v>
      </c>
      <c r="C62">
        <v>9</v>
      </c>
      <c r="D62">
        <v>6</v>
      </c>
      <c r="E62">
        <v>4</v>
      </c>
      <c r="F62">
        <v>179</v>
      </c>
      <c r="G62">
        <v>51</v>
      </c>
      <c r="H62">
        <v>18</v>
      </c>
      <c r="I62">
        <v>38</v>
      </c>
      <c r="J62">
        <v>241476</v>
      </c>
      <c r="K62">
        <v>92</v>
      </c>
      <c r="L62">
        <v>0</v>
      </c>
      <c r="M62">
        <v>1</v>
      </c>
      <c r="N62">
        <v>0</v>
      </c>
      <c r="O62">
        <v>1</v>
      </c>
      <c r="P62">
        <v>0</v>
      </c>
      <c r="Q62">
        <v>0</v>
      </c>
      <c r="R62">
        <v>89</v>
      </c>
      <c r="S62">
        <v>170</v>
      </c>
      <c r="T62">
        <v>31</v>
      </c>
      <c r="U62">
        <v>3</v>
      </c>
    </row>
    <row r="63" spans="1:21" x14ac:dyDescent="0.3">
      <c r="A63">
        <v>20</v>
      </c>
      <c r="B63">
        <v>23</v>
      </c>
      <c r="C63">
        <v>9</v>
      </c>
      <c r="D63">
        <v>6</v>
      </c>
      <c r="E63">
        <v>4</v>
      </c>
      <c r="F63">
        <v>260</v>
      </c>
      <c r="G63">
        <v>50</v>
      </c>
      <c r="H63">
        <v>11</v>
      </c>
      <c r="I63">
        <v>36</v>
      </c>
      <c r="J63">
        <v>241476</v>
      </c>
      <c r="K63">
        <v>92</v>
      </c>
      <c r="L63">
        <v>0</v>
      </c>
      <c r="M63">
        <v>1</v>
      </c>
      <c r="N63">
        <v>4</v>
      </c>
      <c r="O63">
        <v>1</v>
      </c>
      <c r="P63">
        <v>0</v>
      </c>
      <c r="Q63">
        <v>0</v>
      </c>
      <c r="R63">
        <v>65</v>
      </c>
      <c r="S63">
        <v>168</v>
      </c>
      <c r="T63">
        <v>23</v>
      </c>
      <c r="U63">
        <v>4</v>
      </c>
    </row>
    <row r="64" spans="1:21" x14ac:dyDescent="0.3">
      <c r="A64">
        <v>3</v>
      </c>
      <c r="B64">
        <v>23</v>
      </c>
      <c r="C64">
        <v>10</v>
      </c>
      <c r="D64">
        <v>3</v>
      </c>
      <c r="E64">
        <v>4</v>
      </c>
      <c r="F64">
        <v>179</v>
      </c>
      <c r="G64">
        <v>51</v>
      </c>
      <c r="H64">
        <v>18</v>
      </c>
      <c r="I64">
        <v>38</v>
      </c>
      <c r="J64">
        <v>253465</v>
      </c>
      <c r="K64">
        <v>93</v>
      </c>
      <c r="L64">
        <v>0</v>
      </c>
      <c r="M64">
        <v>1</v>
      </c>
      <c r="N64">
        <v>0</v>
      </c>
      <c r="O64">
        <v>1</v>
      </c>
      <c r="P64">
        <v>0</v>
      </c>
      <c r="Q64">
        <v>0</v>
      </c>
      <c r="R64">
        <v>89</v>
      </c>
      <c r="S64">
        <v>170</v>
      </c>
      <c r="T64">
        <v>31</v>
      </c>
      <c r="U64">
        <v>3</v>
      </c>
    </row>
    <row r="65" spans="1:21" x14ac:dyDescent="0.3">
      <c r="A65">
        <v>34</v>
      </c>
      <c r="B65">
        <v>23</v>
      </c>
      <c r="C65">
        <v>10</v>
      </c>
      <c r="D65">
        <v>3</v>
      </c>
      <c r="E65">
        <v>4</v>
      </c>
      <c r="F65">
        <v>118</v>
      </c>
      <c r="G65">
        <v>10</v>
      </c>
      <c r="H65">
        <v>10</v>
      </c>
      <c r="I65">
        <v>37</v>
      </c>
      <c r="J65">
        <v>253465</v>
      </c>
      <c r="K65">
        <v>93</v>
      </c>
      <c r="L65">
        <v>0</v>
      </c>
      <c r="M65">
        <v>1</v>
      </c>
      <c r="N65">
        <v>0</v>
      </c>
      <c r="O65">
        <v>0</v>
      </c>
      <c r="P65">
        <v>0</v>
      </c>
      <c r="Q65">
        <v>0</v>
      </c>
      <c r="R65">
        <v>83</v>
      </c>
      <c r="S65">
        <v>172</v>
      </c>
      <c r="T65">
        <v>28</v>
      </c>
    </row>
    <row r="66" spans="1:21" x14ac:dyDescent="0.3">
      <c r="A66">
        <v>36</v>
      </c>
      <c r="B66">
        <v>0</v>
      </c>
      <c r="C66">
        <v>10</v>
      </c>
      <c r="D66">
        <v>4</v>
      </c>
      <c r="E66">
        <v>4</v>
      </c>
      <c r="F66">
        <v>118</v>
      </c>
      <c r="G66">
        <v>13</v>
      </c>
      <c r="H66">
        <v>18</v>
      </c>
      <c r="I66">
        <v>50</v>
      </c>
      <c r="J66">
        <v>253465</v>
      </c>
      <c r="K66">
        <v>93</v>
      </c>
      <c r="L66">
        <v>1</v>
      </c>
      <c r="M66">
        <v>1</v>
      </c>
      <c r="N66">
        <v>1</v>
      </c>
      <c r="O66">
        <v>1</v>
      </c>
      <c r="P66">
        <v>0</v>
      </c>
      <c r="Q66">
        <v>0</v>
      </c>
      <c r="R66">
        <v>98</v>
      </c>
      <c r="S66">
        <v>178</v>
      </c>
    </row>
    <row r="67" spans="1:21" x14ac:dyDescent="0.3">
      <c r="A67">
        <v>22</v>
      </c>
      <c r="B67">
        <v>23</v>
      </c>
      <c r="C67">
        <v>10</v>
      </c>
      <c r="D67">
        <v>5</v>
      </c>
      <c r="E67">
        <v>4</v>
      </c>
      <c r="H67">
        <v>9</v>
      </c>
      <c r="I67">
        <v>30</v>
      </c>
      <c r="J67">
        <v>253465</v>
      </c>
      <c r="K67">
        <v>93</v>
      </c>
      <c r="L67">
        <v>0</v>
      </c>
      <c r="M67">
        <v>3</v>
      </c>
      <c r="N67">
        <v>0</v>
      </c>
      <c r="O67">
        <v>0</v>
      </c>
      <c r="P67">
        <v>0</v>
      </c>
      <c r="Q67">
        <v>0</v>
      </c>
      <c r="R67">
        <v>56</v>
      </c>
      <c r="S67">
        <v>171</v>
      </c>
      <c r="T67">
        <v>19</v>
      </c>
      <c r="U67">
        <v>1</v>
      </c>
    </row>
    <row r="68" spans="1:21" x14ac:dyDescent="0.3">
      <c r="A68">
        <v>3</v>
      </c>
      <c r="B68">
        <v>23</v>
      </c>
      <c r="D68">
        <v>6</v>
      </c>
      <c r="E68">
        <v>4</v>
      </c>
      <c r="F68">
        <v>179</v>
      </c>
      <c r="G68">
        <v>51</v>
      </c>
      <c r="H68">
        <v>18</v>
      </c>
      <c r="I68">
        <v>38</v>
      </c>
      <c r="J68">
        <v>253465</v>
      </c>
      <c r="K68">
        <v>93</v>
      </c>
      <c r="L68">
        <v>0</v>
      </c>
      <c r="M68">
        <v>1</v>
      </c>
      <c r="N68">
        <v>0</v>
      </c>
      <c r="O68">
        <v>1</v>
      </c>
      <c r="P68">
        <v>0</v>
      </c>
      <c r="Q68">
        <v>0</v>
      </c>
      <c r="R68">
        <v>89</v>
      </c>
      <c r="S68">
        <v>170</v>
      </c>
      <c r="T68">
        <v>31</v>
      </c>
      <c r="U68">
        <v>3</v>
      </c>
    </row>
    <row r="69" spans="1:21" x14ac:dyDescent="0.3">
      <c r="A69">
        <v>28</v>
      </c>
      <c r="B69">
        <v>23</v>
      </c>
      <c r="C69">
        <v>10</v>
      </c>
      <c r="D69">
        <v>6</v>
      </c>
      <c r="E69">
        <v>4</v>
      </c>
      <c r="F69">
        <v>225</v>
      </c>
      <c r="G69">
        <v>26</v>
      </c>
      <c r="H69">
        <v>9</v>
      </c>
      <c r="I69">
        <v>28</v>
      </c>
      <c r="J69">
        <v>253465</v>
      </c>
      <c r="K69">
        <v>93</v>
      </c>
      <c r="L69">
        <v>0</v>
      </c>
      <c r="M69">
        <v>1</v>
      </c>
      <c r="N69">
        <v>1</v>
      </c>
      <c r="O69">
        <v>0</v>
      </c>
      <c r="P69">
        <v>0</v>
      </c>
      <c r="Q69">
        <v>2</v>
      </c>
      <c r="R69">
        <v>69</v>
      </c>
      <c r="S69">
        <v>169</v>
      </c>
      <c r="T69">
        <v>24</v>
      </c>
      <c r="U69">
        <v>3</v>
      </c>
    </row>
    <row r="70" spans="1:21" x14ac:dyDescent="0.3">
      <c r="A70">
        <v>34</v>
      </c>
      <c r="B70">
        <v>23</v>
      </c>
      <c r="C70">
        <v>10</v>
      </c>
      <c r="D70">
        <v>3</v>
      </c>
      <c r="E70">
        <v>4</v>
      </c>
      <c r="F70">
        <v>118</v>
      </c>
      <c r="G70">
        <v>10</v>
      </c>
      <c r="H70">
        <v>10</v>
      </c>
      <c r="I70">
        <v>37</v>
      </c>
      <c r="J70">
        <v>253465</v>
      </c>
      <c r="K70">
        <v>93</v>
      </c>
      <c r="L70">
        <v>0</v>
      </c>
      <c r="M70">
        <v>1</v>
      </c>
      <c r="N70">
        <v>0</v>
      </c>
      <c r="O70">
        <v>0</v>
      </c>
      <c r="P70">
        <v>0</v>
      </c>
      <c r="Q70">
        <v>0</v>
      </c>
      <c r="R70">
        <v>83</v>
      </c>
      <c r="S70">
        <v>172</v>
      </c>
      <c r="T70">
        <v>28</v>
      </c>
      <c r="U70">
        <v>3</v>
      </c>
    </row>
    <row r="71" spans="1:21" x14ac:dyDescent="0.3">
      <c r="A71">
        <v>28</v>
      </c>
      <c r="B71">
        <v>23</v>
      </c>
      <c r="C71">
        <v>10</v>
      </c>
      <c r="D71">
        <v>4</v>
      </c>
      <c r="E71">
        <v>4</v>
      </c>
      <c r="F71">
        <v>225</v>
      </c>
      <c r="G71">
        <v>26</v>
      </c>
      <c r="H71">
        <v>9</v>
      </c>
      <c r="I71">
        <v>28</v>
      </c>
      <c r="J71">
        <v>253465</v>
      </c>
      <c r="K71">
        <v>93</v>
      </c>
      <c r="L71">
        <v>0</v>
      </c>
      <c r="M71">
        <v>1</v>
      </c>
      <c r="N71">
        <v>1</v>
      </c>
      <c r="O71">
        <v>0</v>
      </c>
      <c r="P71">
        <v>0</v>
      </c>
      <c r="Q71">
        <v>2</v>
      </c>
      <c r="R71">
        <v>69</v>
      </c>
      <c r="S71">
        <v>169</v>
      </c>
      <c r="T71">
        <v>24</v>
      </c>
      <c r="U71">
        <v>2</v>
      </c>
    </row>
    <row r="72" spans="1:21" x14ac:dyDescent="0.3">
      <c r="A72">
        <v>33</v>
      </c>
      <c r="B72">
        <v>23</v>
      </c>
      <c r="C72">
        <v>10</v>
      </c>
      <c r="D72">
        <v>4</v>
      </c>
      <c r="E72">
        <v>4</v>
      </c>
      <c r="F72">
        <v>248</v>
      </c>
      <c r="G72">
        <v>25</v>
      </c>
      <c r="H72">
        <v>14</v>
      </c>
      <c r="I72">
        <v>47</v>
      </c>
      <c r="J72">
        <v>253465</v>
      </c>
      <c r="K72">
        <v>93</v>
      </c>
      <c r="L72">
        <v>0</v>
      </c>
      <c r="M72">
        <v>1</v>
      </c>
      <c r="N72">
        <v>2</v>
      </c>
      <c r="O72">
        <v>0</v>
      </c>
      <c r="P72">
        <v>0</v>
      </c>
      <c r="Q72">
        <v>1</v>
      </c>
      <c r="R72">
        <v>86</v>
      </c>
      <c r="S72">
        <v>165</v>
      </c>
      <c r="T72">
        <v>32</v>
      </c>
      <c r="U72">
        <v>2</v>
      </c>
    </row>
    <row r="73" spans="1:21" x14ac:dyDescent="0.3">
      <c r="A73">
        <v>15</v>
      </c>
      <c r="B73">
        <v>23</v>
      </c>
      <c r="C73">
        <v>10</v>
      </c>
      <c r="D73">
        <v>5</v>
      </c>
      <c r="E73">
        <v>4</v>
      </c>
      <c r="F73">
        <v>291</v>
      </c>
      <c r="G73">
        <v>31</v>
      </c>
      <c r="H73">
        <v>12</v>
      </c>
      <c r="I73">
        <v>40</v>
      </c>
      <c r="J73">
        <v>253465</v>
      </c>
      <c r="K73">
        <v>93</v>
      </c>
      <c r="L73">
        <v>0</v>
      </c>
      <c r="M73">
        <v>1</v>
      </c>
      <c r="N73">
        <v>1</v>
      </c>
      <c r="O73">
        <v>1</v>
      </c>
      <c r="P73">
        <v>0</v>
      </c>
      <c r="Q73">
        <v>1</v>
      </c>
      <c r="R73">
        <v>73</v>
      </c>
      <c r="S73">
        <v>171</v>
      </c>
      <c r="T73">
        <v>25</v>
      </c>
      <c r="U73">
        <v>5</v>
      </c>
    </row>
    <row r="74" spans="1:21" x14ac:dyDescent="0.3">
      <c r="A74">
        <v>3</v>
      </c>
      <c r="B74">
        <v>23</v>
      </c>
      <c r="C74">
        <v>10</v>
      </c>
      <c r="D74">
        <v>4</v>
      </c>
      <c r="E74">
        <v>4</v>
      </c>
      <c r="F74">
        <v>179</v>
      </c>
      <c r="G74">
        <v>51</v>
      </c>
      <c r="H74">
        <v>18</v>
      </c>
      <c r="I74">
        <v>38</v>
      </c>
      <c r="J74">
        <v>253465</v>
      </c>
      <c r="K74">
        <v>93</v>
      </c>
      <c r="L74">
        <v>0</v>
      </c>
      <c r="M74">
        <v>1</v>
      </c>
      <c r="N74">
        <v>0</v>
      </c>
      <c r="O74">
        <v>1</v>
      </c>
      <c r="P74">
        <v>0</v>
      </c>
      <c r="Q74">
        <v>0</v>
      </c>
      <c r="R74">
        <v>89</v>
      </c>
      <c r="S74">
        <v>170</v>
      </c>
      <c r="T74">
        <v>31</v>
      </c>
      <c r="U74">
        <v>8</v>
      </c>
    </row>
    <row r="75" spans="1:21" x14ac:dyDescent="0.3">
      <c r="A75">
        <v>28</v>
      </c>
      <c r="B75">
        <v>23</v>
      </c>
      <c r="C75">
        <v>10</v>
      </c>
      <c r="D75">
        <v>4</v>
      </c>
      <c r="E75">
        <v>4</v>
      </c>
      <c r="F75">
        <v>225</v>
      </c>
      <c r="G75">
        <v>26</v>
      </c>
      <c r="H75">
        <v>9</v>
      </c>
      <c r="I75">
        <v>28</v>
      </c>
      <c r="J75">
        <v>253465</v>
      </c>
      <c r="K75">
        <v>93</v>
      </c>
      <c r="L75">
        <v>0</v>
      </c>
      <c r="M75">
        <v>1</v>
      </c>
      <c r="N75">
        <v>1</v>
      </c>
      <c r="O75">
        <v>0</v>
      </c>
      <c r="P75">
        <v>0</v>
      </c>
      <c r="Q75">
        <v>2</v>
      </c>
      <c r="R75">
        <v>69</v>
      </c>
      <c r="S75">
        <v>169</v>
      </c>
      <c r="T75">
        <v>24</v>
      </c>
      <c r="U75">
        <v>3</v>
      </c>
    </row>
    <row r="76" spans="1:21" x14ac:dyDescent="0.3">
      <c r="A76">
        <v>20</v>
      </c>
      <c r="B76">
        <v>19</v>
      </c>
      <c r="C76">
        <v>10</v>
      </c>
      <c r="D76">
        <v>5</v>
      </c>
      <c r="E76">
        <v>4</v>
      </c>
      <c r="F76">
        <v>260</v>
      </c>
      <c r="G76">
        <v>50</v>
      </c>
      <c r="H76">
        <v>11</v>
      </c>
      <c r="I76">
        <v>36</v>
      </c>
      <c r="J76">
        <v>253465</v>
      </c>
      <c r="K76">
        <v>93</v>
      </c>
      <c r="L76">
        <v>0</v>
      </c>
      <c r="M76">
        <v>1</v>
      </c>
      <c r="N76">
        <v>4</v>
      </c>
      <c r="O76">
        <v>1</v>
      </c>
      <c r="P76">
        <v>0</v>
      </c>
      <c r="Q76">
        <v>0</v>
      </c>
      <c r="R76">
        <v>65</v>
      </c>
      <c r="T76">
        <v>23</v>
      </c>
      <c r="U76">
        <v>16</v>
      </c>
    </row>
    <row r="77" spans="1:21" x14ac:dyDescent="0.3">
      <c r="A77">
        <v>15</v>
      </c>
      <c r="B77">
        <v>14</v>
      </c>
      <c r="C77">
        <v>10</v>
      </c>
      <c r="D77">
        <v>3</v>
      </c>
      <c r="E77">
        <v>4</v>
      </c>
      <c r="F77">
        <v>291</v>
      </c>
      <c r="G77">
        <v>31</v>
      </c>
      <c r="H77">
        <v>12</v>
      </c>
      <c r="I77">
        <v>40</v>
      </c>
      <c r="J77">
        <v>253465</v>
      </c>
      <c r="K77">
        <v>93</v>
      </c>
      <c r="L77">
        <v>0</v>
      </c>
      <c r="M77">
        <v>1</v>
      </c>
      <c r="N77">
        <v>1</v>
      </c>
      <c r="O77">
        <v>1</v>
      </c>
      <c r="P77">
        <v>0</v>
      </c>
      <c r="Q77">
        <v>1</v>
      </c>
      <c r="R77">
        <v>73</v>
      </c>
      <c r="S77">
        <v>171</v>
      </c>
      <c r="T77">
        <v>25</v>
      </c>
      <c r="U77">
        <v>8</v>
      </c>
    </row>
    <row r="78" spans="1:21" x14ac:dyDescent="0.3">
      <c r="A78">
        <v>28</v>
      </c>
      <c r="B78">
        <v>28</v>
      </c>
      <c r="C78">
        <v>10</v>
      </c>
      <c r="D78">
        <v>3</v>
      </c>
      <c r="E78">
        <v>4</v>
      </c>
      <c r="F78">
        <v>225</v>
      </c>
      <c r="G78">
        <v>26</v>
      </c>
      <c r="H78">
        <v>9</v>
      </c>
      <c r="I78">
        <v>28</v>
      </c>
      <c r="J78">
        <v>253465</v>
      </c>
      <c r="K78">
        <v>93</v>
      </c>
      <c r="L78">
        <v>0</v>
      </c>
      <c r="M78">
        <v>1</v>
      </c>
      <c r="N78">
        <v>1</v>
      </c>
      <c r="O78">
        <v>0</v>
      </c>
      <c r="P78">
        <v>0</v>
      </c>
      <c r="Q78">
        <v>2</v>
      </c>
      <c r="R78">
        <v>69</v>
      </c>
      <c r="S78">
        <v>169</v>
      </c>
      <c r="T78">
        <v>24</v>
      </c>
      <c r="U78">
        <v>2</v>
      </c>
    </row>
    <row r="79" spans="1:21" x14ac:dyDescent="0.3">
      <c r="A79">
        <v>11</v>
      </c>
      <c r="B79">
        <v>26</v>
      </c>
      <c r="C79">
        <v>10</v>
      </c>
      <c r="D79">
        <v>4</v>
      </c>
      <c r="E79">
        <v>4</v>
      </c>
      <c r="F79">
        <v>289</v>
      </c>
      <c r="G79">
        <v>36</v>
      </c>
      <c r="H79">
        <v>13</v>
      </c>
      <c r="I79">
        <v>33</v>
      </c>
      <c r="K79">
        <v>93</v>
      </c>
      <c r="L79">
        <v>0</v>
      </c>
      <c r="N79">
        <v>2</v>
      </c>
      <c r="O79">
        <v>1</v>
      </c>
      <c r="P79">
        <v>0</v>
      </c>
      <c r="Q79">
        <v>1</v>
      </c>
      <c r="R79">
        <v>90</v>
      </c>
      <c r="S79">
        <v>172</v>
      </c>
      <c r="U79">
        <v>8</v>
      </c>
    </row>
    <row r="80" spans="1:21" x14ac:dyDescent="0.3">
      <c r="A80">
        <v>10</v>
      </c>
      <c r="B80">
        <v>23</v>
      </c>
      <c r="C80">
        <v>10</v>
      </c>
      <c r="D80">
        <v>6</v>
      </c>
      <c r="E80">
        <v>4</v>
      </c>
      <c r="F80">
        <v>361</v>
      </c>
      <c r="G80">
        <v>52</v>
      </c>
      <c r="H80">
        <v>3</v>
      </c>
      <c r="I80">
        <v>28</v>
      </c>
      <c r="J80">
        <v>253465</v>
      </c>
      <c r="K80">
        <v>93</v>
      </c>
      <c r="L80">
        <v>0</v>
      </c>
      <c r="M80">
        <v>1</v>
      </c>
      <c r="N80">
        <v>1</v>
      </c>
      <c r="P80">
        <v>0</v>
      </c>
      <c r="Q80">
        <v>4</v>
      </c>
      <c r="R80">
        <v>80</v>
      </c>
      <c r="S80">
        <v>172</v>
      </c>
      <c r="T80">
        <v>27</v>
      </c>
      <c r="U80">
        <v>1</v>
      </c>
    </row>
    <row r="81" spans="1:21" x14ac:dyDescent="0.3">
      <c r="A81">
        <v>20</v>
      </c>
      <c r="B81">
        <v>28</v>
      </c>
      <c r="C81">
        <v>10</v>
      </c>
      <c r="D81">
        <v>6</v>
      </c>
      <c r="E81">
        <v>4</v>
      </c>
      <c r="G81">
        <v>50</v>
      </c>
      <c r="H81">
        <v>11</v>
      </c>
      <c r="I81">
        <v>36</v>
      </c>
      <c r="J81">
        <v>253465</v>
      </c>
      <c r="K81">
        <v>93</v>
      </c>
      <c r="L81">
        <v>0</v>
      </c>
      <c r="M81">
        <v>1</v>
      </c>
      <c r="O81">
        <v>1</v>
      </c>
      <c r="P81">
        <v>0</v>
      </c>
      <c r="Q81">
        <v>0</v>
      </c>
      <c r="R81">
        <v>65</v>
      </c>
      <c r="S81">
        <v>168</v>
      </c>
      <c r="T81">
        <v>23</v>
      </c>
      <c r="U81">
        <v>3</v>
      </c>
    </row>
    <row r="82" spans="1:21" x14ac:dyDescent="0.3">
      <c r="A82">
        <v>3</v>
      </c>
      <c r="B82">
        <v>23</v>
      </c>
      <c r="C82">
        <v>11</v>
      </c>
      <c r="D82">
        <v>5</v>
      </c>
      <c r="E82">
        <v>4</v>
      </c>
      <c r="F82">
        <v>179</v>
      </c>
      <c r="G82">
        <v>51</v>
      </c>
      <c r="H82">
        <v>18</v>
      </c>
      <c r="I82">
        <v>38</v>
      </c>
      <c r="J82">
        <v>306345</v>
      </c>
      <c r="K82">
        <v>93</v>
      </c>
      <c r="L82">
        <v>0</v>
      </c>
      <c r="M82">
        <v>1</v>
      </c>
      <c r="N82">
        <v>0</v>
      </c>
      <c r="O82">
        <v>1</v>
      </c>
      <c r="P82">
        <v>0</v>
      </c>
      <c r="Q82">
        <v>0</v>
      </c>
      <c r="R82">
        <v>89</v>
      </c>
      <c r="S82">
        <v>170</v>
      </c>
      <c r="T82">
        <v>31</v>
      </c>
      <c r="U82">
        <v>1</v>
      </c>
    </row>
    <row r="83" spans="1:21" x14ac:dyDescent="0.3">
      <c r="A83">
        <v>28</v>
      </c>
      <c r="B83">
        <v>23</v>
      </c>
      <c r="C83">
        <v>11</v>
      </c>
      <c r="D83">
        <v>4</v>
      </c>
      <c r="E83">
        <v>4</v>
      </c>
      <c r="F83">
        <v>225</v>
      </c>
      <c r="H83">
        <v>9</v>
      </c>
      <c r="I83">
        <v>28</v>
      </c>
      <c r="J83">
        <v>306345</v>
      </c>
      <c r="K83">
        <v>93</v>
      </c>
      <c r="L83">
        <v>0</v>
      </c>
      <c r="M83">
        <v>1</v>
      </c>
      <c r="N83">
        <v>1</v>
      </c>
      <c r="O83">
        <v>0</v>
      </c>
      <c r="P83">
        <v>0</v>
      </c>
      <c r="Q83">
        <v>2</v>
      </c>
      <c r="R83">
        <v>69</v>
      </c>
      <c r="S83">
        <v>169</v>
      </c>
      <c r="T83">
        <v>24</v>
      </c>
      <c r="U83">
        <v>1</v>
      </c>
    </row>
    <row r="84" spans="1:21" x14ac:dyDescent="0.3">
      <c r="A84">
        <v>3</v>
      </c>
      <c r="B84">
        <v>13</v>
      </c>
      <c r="C84">
        <v>11</v>
      </c>
      <c r="D84">
        <v>5</v>
      </c>
      <c r="E84">
        <v>4</v>
      </c>
      <c r="F84">
        <v>179</v>
      </c>
      <c r="G84">
        <v>51</v>
      </c>
      <c r="H84">
        <v>18</v>
      </c>
      <c r="I84">
        <v>38</v>
      </c>
      <c r="J84">
        <v>306345</v>
      </c>
      <c r="L84">
        <v>0</v>
      </c>
      <c r="M84">
        <v>1</v>
      </c>
      <c r="N84">
        <v>0</v>
      </c>
      <c r="O84">
        <v>1</v>
      </c>
      <c r="P84">
        <v>0</v>
      </c>
      <c r="Q84">
        <v>0</v>
      </c>
      <c r="R84">
        <v>89</v>
      </c>
      <c r="S84">
        <v>170</v>
      </c>
      <c r="T84">
        <v>31</v>
      </c>
      <c r="U84">
        <v>8</v>
      </c>
    </row>
    <row r="85" spans="1:21" x14ac:dyDescent="0.3">
      <c r="A85">
        <v>17</v>
      </c>
      <c r="B85">
        <v>21</v>
      </c>
      <c r="C85">
        <v>11</v>
      </c>
      <c r="D85">
        <v>5</v>
      </c>
      <c r="E85">
        <v>4</v>
      </c>
      <c r="F85">
        <v>179</v>
      </c>
      <c r="G85">
        <v>22</v>
      </c>
      <c r="H85">
        <v>17</v>
      </c>
      <c r="I85">
        <v>40</v>
      </c>
      <c r="J85">
        <v>306345</v>
      </c>
      <c r="K85">
        <v>93</v>
      </c>
      <c r="L85">
        <v>0</v>
      </c>
      <c r="M85">
        <v>2</v>
      </c>
      <c r="N85">
        <v>2</v>
      </c>
      <c r="O85">
        <v>0</v>
      </c>
      <c r="P85">
        <v>1</v>
      </c>
      <c r="Q85">
        <v>0</v>
      </c>
      <c r="R85">
        <v>63</v>
      </c>
      <c r="S85">
        <v>170</v>
      </c>
      <c r="T85">
        <v>22</v>
      </c>
      <c r="U85">
        <v>8</v>
      </c>
    </row>
    <row r="86" spans="1:21" x14ac:dyDescent="0.3">
      <c r="A86">
        <v>15</v>
      </c>
      <c r="B86">
        <v>23</v>
      </c>
      <c r="C86">
        <v>11</v>
      </c>
      <c r="D86">
        <v>5</v>
      </c>
      <c r="E86">
        <v>4</v>
      </c>
      <c r="F86">
        <v>291</v>
      </c>
      <c r="G86">
        <v>31</v>
      </c>
      <c r="H86">
        <v>12</v>
      </c>
      <c r="I86">
        <v>40</v>
      </c>
      <c r="K86">
        <v>93</v>
      </c>
      <c r="L86">
        <v>0</v>
      </c>
      <c r="M86">
        <v>1</v>
      </c>
      <c r="N86">
        <v>1</v>
      </c>
      <c r="O86">
        <v>1</v>
      </c>
      <c r="P86">
        <v>0</v>
      </c>
      <c r="Q86">
        <v>1</v>
      </c>
      <c r="R86">
        <v>73</v>
      </c>
      <c r="S86">
        <v>171</v>
      </c>
      <c r="T86">
        <v>25</v>
      </c>
      <c r="U86">
        <v>5</v>
      </c>
    </row>
    <row r="87" spans="1:21" x14ac:dyDescent="0.3">
      <c r="A87">
        <v>14</v>
      </c>
      <c r="B87">
        <v>10</v>
      </c>
      <c r="C87">
        <v>11</v>
      </c>
      <c r="D87">
        <v>2</v>
      </c>
      <c r="E87">
        <v>4</v>
      </c>
      <c r="F87">
        <v>155</v>
      </c>
      <c r="G87">
        <v>12</v>
      </c>
      <c r="H87">
        <v>14</v>
      </c>
      <c r="I87">
        <v>34</v>
      </c>
      <c r="J87">
        <v>306345</v>
      </c>
      <c r="K87">
        <v>93</v>
      </c>
      <c r="L87">
        <v>0</v>
      </c>
      <c r="M87">
        <v>1</v>
      </c>
      <c r="P87">
        <v>0</v>
      </c>
      <c r="Q87">
        <v>0</v>
      </c>
      <c r="R87">
        <v>95</v>
      </c>
      <c r="S87">
        <v>196</v>
      </c>
      <c r="T87">
        <v>25</v>
      </c>
      <c r="U87">
        <v>32</v>
      </c>
    </row>
    <row r="88" spans="1:21" x14ac:dyDescent="0.3">
      <c r="A88">
        <v>6</v>
      </c>
      <c r="B88">
        <v>22</v>
      </c>
      <c r="C88">
        <v>11</v>
      </c>
      <c r="D88">
        <v>2</v>
      </c>
      <c r="E88">
        <v>4</v>
      </c>
      <c r="F88">
        <v>189</v>
      </c>
      <c r="G88">
        <v>29</v>
      </c>
      <c r="H88">
        <v>13</v>
      </c>
      <c r="I88">
        <v>33</v>
      </c>
      <c r="J88">
        <v>306345</v>
      </c>
      <c r="K88">
        <v>93</v>
      </c>
      <c r="L88">
        <v>0</v>
      </c>
      <c r="M88">
        <v>1</v>
      </c>
      <c r="N88">
        <v>2</v>
      </c>
      <c r="O88">
        <v>0</v>
      </c>
      <c r="P88">
        <v>0</v>
      </c>
      <c r="Q88">
        <v>2</v>
      </c>
      <c r="R88">
        <v>69</v>
      </c>
      <c r="S88">
        <v>167</v>
      </c>
      <c r="T88">
        <v>25</v>
      </c>
      <c r="U88">
        <v>8</v>
      </c>
    </row>
    <row r="89" spans="1:21" x14ac:dyDescent="0.3">
      <c r="A89">
        <v>15</v>
      </c>
      <c r="B89">
        <v>14</v>
      </c>
      <c r="C89">
        <v>11</v>
      </c>
      <c r="D89">
        <v>2</v>
      </c>
      <c r="E89">
        <v>4</v>
      </c>
      <c r="F89">
        <v>291</v>
      </c>
      <c r="G89">
        <v>31</v>
      </c>
      <c r="H89">
        <v>12</v>
      </c>
      <c r="I89">
        <v>40</v>
      </c>
      <c r="J89">
        <v>306345</v>
      </c>
      <c r="K89">
        <v>93</v>
      </c>
      <c r="L89">
        <v>0</v>
      </c>
      <c r="M89">
        <v>1</v>
      </c>
      <c r="N89">
        <v>1</v>
      </c>
      <c r="O89">
        <v>1</v>
      </c>
      <c r="P89">
        <v>0</v>
      </c>
      <c r="Q89">
        <v>1</v>
      </c>
      <c r="R89">
        <v>73</v>
      </c>
      <c r="S89">
        <v>171</v>
      </c>
      <c r="T89">
        <v>25</v>
      </c>
      <c r="U89">
        <v>40</v>
      </c>
    </row>
    <row r="90" spans="1:21" x14ac:dyDescent="0.3">
      <c r="A90">
        <v>28</v>
      </c>
      <c r="B90">
        <v>23</v>
      </c>
      <c r="C90">
        <v>11</v>
      </c>
      <c r="D90">
        <v>4</v>
      </c>
      <c r="E90">
        <v>4</v>
      </c>
      <c r="F90">
        <v>225</v>
      </c>
      <c r="G90">
        <v>26</v>
      </c>
      <c r="H90">
        <v>9</v>
      </c>
      <c r="I90">
        <v>28</v>
      </c>
      <c r="J90">
        <v>306345</v>
      </c>
      <c r="K90">
        <v>93</v>
      </c>
      <c r="L90">
        <v>0</v>
      </c>
      <c r="M90">
        <v>1</v>
      </c>
      <c r="N90">
        <v>1</v>
      </c>
      <c r="O90">
        <v>0</v>
      </c>
      <c r="P90">
        <v>0</v>
      </c>
      <c r="Q90">
        <v>2</v>
      </c>
      <c r="R90">
        <v>69</v>
      </c>
      <c r="S90">
        <v>169</v>
      </c>
      <c r="T90">
        <v>24</v>
      </c>
      <c r="U90">
        <v>1</v>
      </c>
    </row>
    <row r="91" spans="1:21" x14ac:dyDescent="0.3">
      <c r="A91">
        <v>14</v>
      </c>
      <c r="B91">
        <v>6</v>
      </c>
      <c r="C91">
        <v>11</v>
      </c>
      <c r="D91">
        <v>6</v>
      </c>
      <c r="E91">
        <v>4</v>
      </c>
      <c r="F91">
        <v>155</v>
      </c>
      <c r="G91">
        <v>12</v>
      </c>
      <c r="H91">
        <v>14</v>
      </c>
      <c r="I91">
        <v>34</v>
      </c>
      <c r="J91">
        <v>306345</v>
      </c>
      <c r="K91">
        <v>93</v>
      </c>
      <c r="L91">
        <v>0</v>
      </c>
      <c r="M91">
        <v>1</v>
      </c>
      <c r="N91">
        <v>2</v>
      </c>
      <c r="O91">
        <v>1</v>
      </c>
      <c r="P91">
        <v>0</v>
      </c>
      <c r="Q91">
        <v>0</v>
      </c>
      <c r="R91">
        <v>95</v>
      </c>
      <c r="S91">
        <v>196</v>
      </c>
      <c r="U91">
        <v>8</v>
      </c>
    </row>
    <row r="92" spans="1:21" x14ac:dyDescent="0.3">
      <c r="A92">
        <v>28</v>
      </c>
      <c r="B92">
        <v>23</v>
      </c>
      <c r="C92">
        <v>11</v>
      </c>
      <c r="D92">
        <v>4</v>
      </c>
      <c r="E92">
        <v>4</v>
      </c>
      <c r="F92">
        <v>225</v>
      </c>
      <c r="G92">
        <v>26</v>
      </c>
      <c r="H92">
        <v>9</v>
      </c>
      <c r="I92">
        <v>28</v>
      </c>
      <c r="J92">
        <v>306345</v>
      </c>
      <c r="K92">
        <v>93</v>
      </c>
      <c r="L92">
        <v>0</v>
      </c>
      <c r="M92">
        <v>1</v>
      </c>
      <c r="N92">
        <v>1</v>
      </c>
      <c r="O92">
        <v>0</v>
      </c>
      <c r="P92">
        <v>0</v>
      </c>
      <c r="Q92">
        <v>2</v>
      </c>
      <c r="R92">
        <v>69</v>
      </c>
      <c r="S92">
        <v>169</v>
      </c>
      <c r="T92">
        <v>24</v>
      </c>
      <c r="U92">
        <v>3</v>
      </c>
    </row>
    <row r="93" spans="1:21" x14ac:dyDescent="0.3">
      <c r="A93">
        <v>17</v>
      </c>
      <c r="B93">
        <v>21</v>
      </c>
      <c r="C93">
        <v>11</v>
      </c>
      <c r="D93">
        <v>4</v>
      </c>
      <c r="E93">
        <v>4</v>
      </c>
      <c r="F93">
        <v>179</v>
      </c>
      <c r="G93">
        <v>22</v>
      </c>
      <c r="H93">
        <v>17</v>
      </c>
      <c r="I93">
        <v>40</v>
      </c>
      <c r="J93">
        <v>306345</v>
      </c>
      <c r="L93">
        <v>0</v>
      </c>
      <c r="M93">
        <v>2</v>
      </c>
      <c r="N93">
        <v>2</v>
      </c>
      <c r="P93">
        <v>1</v>
      </c>
      <c r="Q93">
        <v>0</v>
      </c>
      <c r="R93">
        <v>63</v>
      </c>
      <c r="S93">
        <v>170</v>
      </c>
      <c r="T93">
        <v>22</v>
      </c>
      <c r="U93">
        <v>8</v>
      </c>
    </row>
    <row r="94" spans="1:21" x14ac:dyDescent="0.3">
      <c r="A94">
        <v>28</v>
      </c>
      <c r="B94">
        <v>13</v>
      </c>
      <c r="C94">
        <v>11</v>
      </c>
      <c r="D94">
        <v>6</v>
      </c>
      <c r="E94">
        <v>4</v>
      </c>
      <c r="F94">
        <v>225</v>
      </c>
      <c r="G94">
        <v>26</v>
      </c>
      <c r="H94">
        <v>9</v>
      </c>
      <c r="I94">
        <v>28</v>
      </c>
      <c r="J94">
        <v>306345</v>
      </c>
      <c r="K94">
        <v>93</v>
      </c>
      <c r="L94">
        <v>0</v>
      </c>
      <c r="M94">
        <v>1</v>
      </c>
      <c r="N94">
        <v>1</v>
      </c>
      <c r="O94">
        <v>0</v>
      </c>
      <c r="P94">
        <v>0</v>
      </c>
      <c r="Q94">
        <v>2</v>
      </c>
      <c r="R94">
        <v>69</v>
      </c>
      <c r="S94">
        <v>169</v>
      </c>
      <c r="T94">
        <v>24</v>
      </c>
      <c r="U94">
        <v>3</v>
      </c>
    </row>
    <row r="95" spans="1:21" x14ac:dyDescent="0.3">
      <c r="A95">
        <v>20</v>
      </c>
      <c r="B95">
        <v>28</v>
      </c>
      <c r="C95">
        <v>11</v>
      </c>
      <c r="D95">
        <v>6</v>
      </c>
      <c r="E95">
        <v>4</v>
      </c>
      <c r="F95">
        <v>260</v>
      </c>
      <c r="G95">
        <v>50</v>
      </c>
      <c r="H95">
        <v>11</v>
      </c>
      <c r="I95">
        <v>36</v>
      </c>
      <c r="K95">
        <v>93</v>
      </c>
      <c r="L95">
        <v>0</v>
      </c>
      <c r="M95">
        <v>1</v>
      </c>
      <c r="N95">
        <v>4</v>
      </c>
      <c r="O95">
        <v>1</v>
      </c>
      <c r="P95">
        <v>0</v>
      </c>
      <c r="Q95">
        <v>0</v>
      </c>
      <c r="R95">
        <v>65</v>
      </c>
      <c r="S95">
        <v>168</v>
      </c>
      <c r="T95">
        <v>23</v>
      </c>
      <c r="U95">
        <v>4</v>
      </c>
    </row>
    <row r="96" spans="1:21" x14ac:dyDescent="0.3">
      <c r="A96">
        <v>33</v>
      </c>
      <c r="B96">
        <v>28</v>
      </c>
      <c r="C96">
        <v>11</v>
      </c>
      <c r="D96">
        <v>2</v>
      </c>
      <c r="E96">
        <v>4</v>
      </c>
      <c r="F96">
        <v>248</v>
      </c>
      <c r="G96">
        <v>25</v>
      </c>
      <c r="H96">
        <v>14</v>
      </c>
      <c r="I96">
        <v>47</v>
      </c>
      <c r="J96">
        <v>306345</v>
      </c>
      <c r="K96">
        <v>93</v>
      </c>
      <c r="L96">
        <v>0</v>
      </c>
      <c r="M96">
        <v>1</v>
      </c>
      <c r="N96">
        <v>2</v>
      </c>
      <c r="O96">
        <v>0</v>
      </c>
      <c r="P96">
        <v>0</v>
      </c>
      <c r="Q96">
        <v>1</v>
      </c>
      <c r="R96">
        <v>86</v>
      </c>
      <c r="S96">
        <v>165</v>
      </c>
      <c r="T96">
        <v>32</v>
      </c>
      <c r="U96">
        <v>1</v>
      </c>
    </row>
    <row r="97" spans="1:21" x14ac:dyDescent="0.3">
      <c r="A97">
        <v>28</v>
      </c>
      <c r="B97">
        <v>28</v>
      </c>
      <c r="C97">
        <v>11</v>
      </c>
      <c r="D97">
        <v>3</v>
      </c>
      <c r="E97">
        <v>4</v>
      </c>
      <c r="F97">
        <v>225</v>
      </c>
      <c r="G97">
        <v>26</v>
      </c>
      <c r="H97">
        <v>9</v>
      </c>
      <c r="I97">
        <v>28</v>
      </c>
      <c r="J97">
        <v>306345</v>
      </c>
      <c r="K97">
        <v>93</v>
      </c>
      <c r="L97">
        <v>0</v>
      </c>
      <c r="M97">
        <v>1</v>
      </c>
      <c r="N97">
        <v>1</v>
      </c>
      <c r="O97">
        <v>0</v>
      </c>
      <c r="P97">
        <v>0</v>
      </c>
      <c r="Q97">
        <v>2</v>
      </c>
      <c r="R97">
        <v>69</v>
      </c>
      <c r="S97">
        <v>169</v>
      </c>
      <c r="T97">
        <v>24</v>
      </c>
      <c r="U97">
        <v>3</v>
      </c>
    </row>
    <row r="98" spans="1:21" x14ac:dyDescent="0.3">
      <c r="A98">
        <v>11</v>
      </c>
      <c r="B98">
        <v>7</v>
      </c>
      <c r="C98">
        <v>11</v>
      </c>
      <c r="D98">
        <v>4</v>
      </c>
      <c r="E98">
        <v>4</v>
      </c>
      <c r="F98">
        <v>289</v>
      </c>
      <c r="G98">
        <v>36</v>
      </c>
      <c r="H98">
        <v>13</v>
      </c>
      <c r="I98">
        <v>33</v>
      </c>
      <c r="J98">
        <v>306345</v>
      </c>
      <c r="K98">
        <v>93</v>
      </c>
      <c r="L98">
        <v>0</v>
      </c>
      <c r="M98">
        <v>1</v>
      </c>
      <c r="N98">
        <v>2</v>
      </c>
      <c r="O98">
        <v>1</v>
      </c>
      <c r="P98">
        <v>0</v>
      </c>
      <c r="Q98">
        <v>1</v>
      </c>
      <c r="R98">
        <v>90</v>
      </c>
      <c r="S98">
        <v>172</v>
      </c>
      <c r="T98">
        <v>30</v>
      </c>
      <c r="U98">
        <v>24</v>
      </c>
    </row>
    <row r="99" spans="1:21" x14ac:dyDescent="0.3">
      <c r="A99">
        <v>15</v>
      </c>
      <c r="B99">
        <v>23</v>
      </c>
      <c r="C99">
        <v>11</v>
      </c>
      <c r="D99">
        <v>5</v>
      </c>
      <c r="E99">
        <v>4</v>
      </c>
      <c r="F99">
        <v>291</v>
      </c>
      <c r="G99">
        <v>31</v>
      </c>
      <c r="H99">
        <v>12</v>
      </c>
      <c r="I99">
        <v>40</v>
      </c>
      <c r="J99">
        <v>306345</v>
      </c>
      <c r="K99">
        <v>93</v>
      </c>
      <c r="L99">
        <v>0</v>
      </c>
      <c r="M99">
        <v>1</v>
      </c>
      <c r="N99">
        <v>1</v>
      </c>
      <c r="O99">
        <v>1</v>
      </c>
      <c r="P99">
        <v>0</v>
      </c>
      <c r="Q99">
        <v>1</v>
      </c>
      <c r="R99">
        <v>73</v>
      </c>
      <c r="S99">
        <v>171</v>
      </c>
      <c r="T99">
        <v>25</v>
      </c>
      <c r="U99">
        <v>3</v>
      </c>
    </row>
    <row r="100" spans="1:21" x14ac:dyDescent="0.3">
      <c r="A100">
        <v>33</v>
      </c>
      <c r="B100">
        <v>23</v>
      </c>
      <c r="C100">
        <v>12</v>
      </c>
      <c r="D100">
        <v>3</v>
      </c>
      <c r="E100">
        <v>4</v>
      </c>
      <c r="F100">
        <v>248</v>
      </c>
      <c r="G100">
        <v>25</v>
      </c>
      <c r="H100">
        <v>14</v>
      </c>
      <c r="I100">
        <v>47</v>
      </c>
      <c r="J100">
        <v>261306</v>
      </c>
      <c r="K100">
        <v>97</v>
      </c>
      <c r="L100">
        <v>0</v>
      </c>
      <c r="M100">
        <v>1</v>
      </c>
      <c r="N100">
        <v>2</v>
      </c>
      <c r="O100">
        <v>0</v>
      </c>
      <c r="P100">
        <v>0</v>
      </c>
      <c r="Q100">
        <v>1</v>
      </c>
      <c r="R100">
        <v>86</v>
      </c>
      <c r="S100">
        <v>165</v>
      </c>
      <c r="T100">
        <v>32</v>
      </c>
      <c r="U100">
        <v>1</v>
      </c>
    </row>
    <row r="101" spans="1:21" x14ac:dyDescent="0.3">
      <c r="A101">
        <v>34</v>
      </c>
      <c r="B101">
        <v>19</v>
      </c>
      <c r="C101">
        <v>12</v>
      </c>
      <c r="D101">
        <v>3</v>
      </c>
      <c r="E101">
        <v>4</v>
      </c>
      <c r="F101">
        <v>118</v>
      </c>
      <c r="G101">
        <v>10</v>
      </c>
      <c r="H101">
        <v>10</v>
      </c>
      <c r="I101">
        <v>37</v>
      </c>
      <c r="J101">
        <v>261306</v>
      </c>
      <c r="K101">
        <v>97</v>
      </c>
      <c r="L101">
        <v>0</v>
      </c>
      <c r="M101">
        <v>1</v>
      </c>
      <c r="N101">
        <v>0</v>
      </c>
      <c r="O101">
        <v>0</v>
      </c>
      <c r="P101">
        <v>0</v>
      </c>
      <c r="Q101">
        <v>0</v>
      </c>
      <c r="R101">
        <v>83</v>
      </c>
      <c r="S101">
        <v>172</v>
      </c>
      <c r="U101">
        <v>64</v>
      </c>
    </row>
    <row r="102" spans="1:21" x14ac:dyDescent="0.3">
      <c r="A102">
        <v>36</v>
      </c>
      <c r="B102">
        <v>23</v>
      </c>
      <c r="C102">
        <v>12</v>
      </c>
      <c r="D102">
        <v>4</v>
      </c>
      <c r="E102">
        <v>4</v>
      </c>
      <c r="F102">
        <v>118</v>
      </c>
      <c r="G102">
        <v>13</v>
      </c>
      <c r="H102">
        <v>18</v>
      </c>
      <c r="I102">
        <v>50</v>
      </c>
      <c r="J102">
        <v>261306</v>
      </c>
      <c r="K102">
        <v>97</v>
      </c>
      <c r="L102">
        <v>0</v>
      </c>
      <c r="M102">
        <v>1</v>
      </c>
      <c r="N102">
        <v>1</v>
      </c>
      <c r="O102">
        <v>1</v>
      </c>
      <c r="P102">
        <v>0</v>
      </c>
      <c r="Q102">
        <v>0</v>
      </c>
      <c r="R102">
        <v>98</v>
      </c>
      <c r="S102">
        <v>178</v>
      </c>
      <c r="U102">
        <v>2</v>
      </c>
    </row>
    <row r="103" spans="1:21" x14ac:dyDescent="0.3">
      <c r="A103">
        <v>1</v>
      </c>
      <c r="B103">
        <v>26</v>
      </c>
      <c r="C103">
        <v>12</v>
      </c>
      <c r="D103">
        <v>4</v>
      </c>
      <c r="E103">
        <v>4</v>
      </c>
      <c r="F103">
        <v>235</v>
      </c>
      <c r="G103">
        <v>11</v>
      </c>
      <c r="H103">
        <v>14</v>
      </c>
      <c r="I103">
        <v>37</v>
      </c>
      <c r="J103">
        <v>261306</v>
      </c>
      <c r="K103">
        <v>97</v>
      </c>
      <c r="L103">
        <v>0</v>
      </c>
      <c r="M103">
        <v>3</v>
      </c>
      <c r="N103">
        <v>1</v>
      </c>
      <c r="O103">
        <v>0</v>
      </c>
      <c r="P103">
        <v>0</v>
      </c>
      <c r="Q103">
        <v>1</v>
      </c>
      <c r="R103">
        <v>88</v>
      </c>
      <c r="S103">
        <v>172</v>
      </c>
      <c r="T103">
        <v>29</v>
      </c>
      <c r="U103">
        <v>8</v>
      </c>
    </row>
    <row r="104" spans="1:21" x14ac:dyDescent="0.3">
      <c r="A104">
        <v>28</v>
      </c>
      <c r="B104">
        <v>23</v>
      </c>
      <c r="C104">
        <v>12</v>
      </c>
      <c r="D104">
        <v>5</v>
      </c>
      <c r="E104">
        <v>4</v>
      </c>
      <c r="F104">
        <v>225</v>
      </c>
      <c r="G104">
        <v>26</v>
      </c>
      <c r="H104">
        <v>9</v>
      </c>
      <c r="I104">
        <v>28</v>
      </c>
      <c r="J104">
        <v>261306</v>
      </c>
      <c r="K104">
        <v>97</v>
      </c>
      <c r="L104">
        <v>0</v>
      </c>
      <c r="M104">
        <v>1</v>
      </c>
      <c r="N104">
        <v>1</v>
      </c>
      <c r="O104">
        <v>0</v>
      </c>
      <c r="P104">
        <v>0</v>
      </c>
      <c r="Q104">
        <v>2</v>
      </c>
      <c r="R104">
        <v>69</v>
      </c>
      <c r="S104">
        <v>169</v>
      </c>
      <c r="T104">
        <v>24</v>
      </c>
      <c r="U104">
        <v>2</v>
      </c>
    </row>
    <row r="105" spans="1:21" x14ac:dyDescent="0.3">
      <c r="A105">
        <v>20</v>
      </c>
      <c r="B105">
        <v>26</v>
      </c>
      <c r="C105">
        <v>12</v>
      </c>
      <c r="D105">
        <v>6</v>
      </c>
      <c r="E105">
        <v>4</v>
      </c>
      <c r="F105">
        <v>260</v>
      </c>
      <c r="G105">
        <v>50</v>
      </c>
      <c r="H105">
        <v>11</v>
      </c>
      <c r="I105">
        <v>36</v>
      </c>
      <c r="J105">
        <v>261306</v>
      </c>
      <c r="K105">
        <v>97</v>
      </c>
      <c r="L105">
        <v>0</v>
      </c>
      <c r="M105">
        <v>1</v>
      </c>
      <c r="N105">
        <v>4</v>
      </c>
      <c r="O105">
        <v>1</v>
      </c>
      <c r="P105">
        <v>0</v>
      </c>
      <c r="Q105">
        <v>0</v>
      </c>
      <c r="R105">
        <v>65</v>
      </c>
      <c r="S105">
        <v>168</v>
      </c>
      <c r="T105">
        <v>23</v>
      </c>
      <c r="U105">
        <v>8</v>
      </c>
    </row>
    <row r="106" spans="1:21" x14ac:dyDescent="0.3">
      <c r="A106">
        <v>34</v>
      </c>
      <c r="B106">
        <v>19</v>
      </c>
      <c r="C106">
        <v>12</v>
      </c>
      <c r="D106">
        <v>3</v>
      </c>
      <c r="E106">
        <v>4</v>
      </c>
      <c r="F106">
        <v>118</v>
      </c>
      <c r="G106">
        <v>10</v>
      </c>
      <c r="H106">
        <v>10</v>
      </c>
      <c r="I106">
        <v>37</v>
      </c>
      <c r="K106">
        <v>97</v>
      </c>
      <c r="L106">
        <v>0</v>
      </c>
      <c r="M106">
        <v>1</v>
      </c>
      <c r="N106">
        <v>0</v>
      </c>
      <c r="O106">
        <v>0</v>
      </c>
      <c r="P106">
        <v>0</v>
      </c>
      <c r="Q106">
        <v>0</v>
      </c>
      <c r="R106">
        <v>83</v>
      </c>
      <c r="S106">
        <v>172</v>
      </c>
      <c r="T106">
        <v>28</v>
      </c>
      <c r="U106">
        <v>56</v>
      </c>
    </row>
    <row r="107" spans="1:21" x14ac:dyDescent="0.3">
      <c r="A107">
        <v>10</v>
      </c>
      <c r="B107">
        <v>22</v>
      </c>
      <c r="C107">
        <v>12</v>
      </c>
      <c r="D107">
        <v>4</v>
      </c>
      <c r="E107">
        <v>4</v>
      </c>
      <c r="F107">
        <v>361</v>
      </c>
      <c r="G107">
        <v>52</v>
      </c>
      <c r="H107">
        <v>3</v>
      </c>
      <c r="I107">
        <v>28</v>
      </c>
      <c r="K107">
        <v>97</v>
      </c>
      <c r="L107">
        <v>0</v>
      </c>
      <c r="M107">
        <v>1</v>
      </c>
      <c r="N107">
        <v>1</v>
      </c>
      <c r="O107">
        <v>1</v>
      </c>
      <c r="P107">
        <v>0</v>
      </c>
      <c r="Q107">
        <v>4</v>
      </c>
      <c r="R107">
        <v>80</v>
      </c>
      <c r="S107">
        <v>172</v>
      </c>
      <c r="T107">
        <v>27</v>
      </c>
      <c r="U107">
        <v>8</v>
      </c>
    </row>
    <row r="108" spans="1:21" x14ac:dyDescent="0.3">
      <c r="A108">
        <v>28</v>
      </c>
      <c r="B108">
        <v>28</v>
      </c>
      <c r="C108">
        <v>12</v>
      </c>
      <c r="D108">
        <v>5</v>
      </c>
      <c r="E108">
        <v>4</v>
      </c>
      <c r="F108">
        <v>225</v>
      </c>
      <c r="G108">
        <v>26</v>
      </c>
      <c r="I108">
        <v>28</v>
      </c>
      <c r="J108">
        <v>261306</v>
      </c>
      <c r="K108">
        <v>97</v>
      </c>
      <c r="L108">
        <v>0</v>
      </c>
      <c r="M108">
        <v>1</v>
      </c>
      <c r="N108">
        <v>1</v>
      </c>
      <c r="O108">
        <v>0</v>
      </c>
      <c r="P108">
        <v>0</v>
      </c>
      <c r="Q108">
        <v>2</v>
      </c>
      <c r="R108">
        <v>69</v>
      </c>
      <c r="S108">
        <v>169</v>
      </c>
      <c r="U108">
        <v>3</v>
      </c>
    </row>
    <row r="109" spans="1:21" x14ac:dyDescent="0.3">
      <c r="A109">
        <v>20</v>
      </c>
      <c r="B109">
        <v>28</v>
      </c>
      <c r="C109">
        <v>12</v>
      </c>
      <c r="D109">
        <v>6</v>
      </c>
      <c r="E109">
        <v>4</v>
      </c>
      <c r="F109">
        <v>260</v>
      </c>
      <c r="G109">
        <v>50</v>
      </c>
      <c r="H109">
        <v>11</v>
      </c>
      <c r="I109">
        <v>36</v>
      </c>
      <c r="J109">
        <v>261306</v>
      </c>
      <c r="K109">
        <v>97</v>
      </c>
      <c r="L109">
        <v>0</v>
      </c>
      <c r="M109">
        <v>1</v>
      </c>
      <c r="N109">
        <v>4</v>
      </c>
      <c r="O109">
        <v>1</v>
      </c>
      <c r="P109">
        <v>0</v>
      </c>
      <c r="Q109">
        <v>0</v>
      </c>
      <c r="R109">
        <v>65</v>
      </c>
      <c r="S109">
        <v>168</v>
      </c>
      <c r="U109">
        <v>3</v>
      </c>
    </row>
    <row r="110" spans="1:21" x14ac:dyDescent="0.3">
      <c r="A110">
        <v>28</v>
      </c>
      <c r="B110">
        <v>23</v>
      </c>
      <c r="C110">
        <v>12</v>
      </c>
      <c r="D110">
        <v>3</v>
      </c>
      <c r="E110">
        <v>4</v>
      </c>
      <c r="F110">
        <v>225</v>
      </c>
      <c r="G110">
        <v>26</v>
      </c>
      <c r="H110">
        <v>9</v>
      </c>
      <c r="I110">
        <v>28</v>
      </c>
      <c r="J110">
        <v>261306</v>
      </c>
      <c r="K110">
        <v>97</v>
      </c>
      <c r="L110">
        <v>0</v>
      </c>
      <c r="M110">
        <v>1</v>
      </c>
      <c r="N110">
        <v>1</v>
      </c>
      <c r="O110">
        <v>0</v>
      </c>
      <c r="P110">
        <v>0</v>
      </c>
      <c r="Q110">
        <v>2</v>
      </c>
      <c r="R110">
        <v>69</v>
      </c>
      <c r="S110">
        <v>169</v>
      </c>
      <c r="U110">
        <v>2</v>
      </c>
    </row>
    <row r="111" spans="1:21" x14ac:dyDescent="0.3">
      <c r="A111">
        <v>10</v>
      </c>
      <c r="B111">
        <v>22</v>
      </c>
      <c r="C111">
        <v>12</v>
      </c>
      <c r="D111">
        <v>4</v>
      </c>
      <c r="E111">
        <v>4</v>
      </c>
      <c r="F111">
        <v>361</v>
      </c>
      <c r="G111">
        <v>52</v>
      </c>
      <c r="H111">
        <v>3</v>
      </c>
      <c r="I111">
        <v>28</v>
      </c>
      <c r="J111">
        <v>261306</v>
      </c>
      <c r="K111">
        <v>97</v>
      </c>
      <c r="N111">
        <v>1</v>
      </c>
      <c r="O111">
        <v>1</v>
      </c>
      <c r="P111">
        <v>0</v>
      </c>
      <c r="Q111">
        <v>4</v>
      </c>
      <c r="R111">
        <v>80</v>
      </c>
      <c r="T111">
        <v>27</v>
      </c>
      <c r="U111">
        <v>8</v>
      </c>
    </row>
    <row r="112" spans="1:21" x14ac:dyDescent="0.3">
      <c r="A112">
        <v>34</v>
      </c>
      <c r="B112">
        <v>27</v>
      </c>
      <c r="C112">
        <v>12</v>
      </c>
      <c r="D112">
        <v>6</v>
      </c>
      <c r="E112">
        <v>4</v>
      </c>
      <c r="F112">
        <v>118</v>
      </c>
      <c r="G112">
        <v>10</v>
      </c>
      <c r="H112">
        <v>10</v>
      </c>
      <c r="I112">
        <v>37</v>
      </c>
      <c r="J112">
        <v>261306</v>
      </c>
      <c r="K112">
        <v>97</v>
      </c>
      <c r="N112">
        <v>0</v>
      </c>
      <c r="O112">
        <v>0</v>
      </c>
      <c r="P112">
        <v>0</v>
      </c>
      <c r="Q112">
        <v>0</v>
      </c>
      <c r="R112">
        <v>83</v>
      </c>
      <c r="S112">
        <v>172</v>
      </c>
      <c r="T112">
        <v>28</v>
      </c>
      <c r="U112">
        <v>2</v>
      </c>
    </row>
    <row r="113" spans="1:21" x14ac:dyDescent="0.3">
      <c r="A113">
        <v>24</v>
      </c>
      <c r="B113">
        <v>19</v>
      </c>
      <c r="C113">
        <v>12</v>
      </c>
      <c r="D113">
        <v>6</v>
      </c>
      <c r="E113">
        <v>2</v>
      </c>
      <c r="F113">
        <v>246</v>
      </c>
      <c r="G113">
        <v>25</v>
      </c>
      <c r="H113">
        <v>16</v>
      </c>
      <c r="I113">
        <v>41</v>
      </c>
      <c r="J113">
        <v>261306</v>
      </c>
      <c r="K113">
        <v>97</v>
      </c>
      <c r="L113">
        <v>0</v>
      </c>
      <c r="M113">
        <v>1</v>
      </c>
      <c r="N113">
        <v>0</v>
      </c>
      <c r="O113">
        <v>1</v>
      </c>
      <c r="P113">
        <v>0</v>
      </c>
      <c r="Q113">
        <v>0</v>
      </c>
      <c r="R113">
        <v>67</v>
      </c>
      <c r="S113">
        <v>170</v>
      </c>
      <c r="T113">
        <v>23</v>
      </c>
      <c r="U113">
        <v>8</v>
      </c>
    </row>
    <row r="114" spans="1:21" x14ac:dyDescent="0.3">
      <c r="A114">
        <v>28</v>
      </c>
      <c r="B114">
        <v>23</v>
      </c>
      <c r="C114">
        <v>12</v>
      </c>
      <c r="D114">
        <v>6</v>
      </c>
      <c r="E114">
        <v>2</v>
      </c>
      <c r="F114">
        <v>225</v>
      </c>
      <c r="G114">
        <v>26</v>
      </c>
      <c r="H114">
        <v>9</v>
      </c>
      <c r="J114">
        <v>261306</v>
      </c>
      <c r="L114">
        <v>0</v>
      </c>
      <c r="M114">
        <v>1</v>
      </c>
      <c r="N114">
        <v>1</v>
      </c>
      <c r="O114">
        <v>0</v>
      </c>
      <c r="P114">
        <v>0</v>
      </c>
      <c r="Q114">
        <v>2</v>
      </c>
      <c r="R114">
        <v>69</v>
      </c>
      <c r="S114">
        <v>169</v>
      </c>
      <c r="T114">
        <v>24</v>
      </c>
      <c r="U114">
        <v>2</v>
      </c>
    </row>
    <row r="115" spans="1:21" x14ac:dyDescent="0.3">
      <c r="A115">
        <v>28</v>
      </c>
      <c r="B115">
        <v>23</v>
      </c>
      <c r="C115">
        <v>1</v>
      </c>
      <c r="D115">
        <v>4</v>
      </c>
      <c r="E115">
        <v>2</v>
      </c>
      <c r="F115">
        <v>225</v>
      </c>
      <c r="G115">
        <v>26</v>
      </c>
      <c r="H115">
        <v>9</v>
      </c>
      <c r="I115">
        <v>28</v>
      </c>
      <c r="K115">
        <v>95</v>
      </c>
      <c r="L115">
        <v>0</v>
      </c>
      <c r="M115">
        <v>1</v>
      </c>
      <c r="N115">
        <v>1</v>
      </c>
      <c r="O115">
        <v>0</v>
      </c>
      <c r="P115">
        <v>0</v>
      </c>
      <c r="Q115">
        <v>2</v>
      </c>
      <c r="R115">
        <v>69</v>
      </c>
      <c r="T115">
        <v>24</v>
      </c>
      <c r="U115">
        <v>1</v>
      </c>
    </row>
    <row r="116" spans="1:21" x14ac:dyDescent="0.3">
      <c r="A116">
        <v>34</v>
      </c>
      <c r="B116">
        <v>19</v>
      </c>
      <c r="C116">
        <v>1</v>
      </c>
      <c r="D116">
        <v>2</v>
      </c>
      <c r="E116">
        <v>2</v>
      </c>
      <c r="F116">
        <v>118</v>
      </c>
      <c r="G116">
        <v>10</v>
      </c>
      <c r="H116">
        <v>10</v>
      </c>
      <c r="I116">
        <v>37</v>
      </c>
      <c r="K116">
        <v>95</v>
      </c>
      <c r="L116">
        <v>0</v>
      </c>
      <c r="M116">
        <v>1</v>
      </c>
      <c r="N116">
        <v>0</v>
      </c>
      <c r="O116">
        <v>0</v>
      </c>
      <c r="Q116">
        <v>0</v>
      </c>
      <c r="R116">
        <v>83</v>
      </c>
      <c r="T116">
        <v>28</v>
      </c>
      <c r="U116">
        <v>1</v>
      </c>
    </row>
    <row r="117" spans="1:21" x14ac:dyDescent="0.3">
      <c r="A117">
        <v>34</v>
      </c>
      <c r="B117">
        <v>27</v>
      </c>
      <c r="C117">
        <v>1</v>
      </c>
      <c r="D117">
        <v>3</v>
      </c>
      <c r="E117">
        <v>2</v>
      </c>
      <c r="F117">
        <v>118</v>
      </c>
      <c r="G117">
        <v>10</v>
      </c>
      <c r="I117">
        <v>37</v>
      </c>
      <c r="J117">
        <v>308593</v>
      </c>
      <c r="K117">
        <v>95</v>
      </c>
      <c r="L117">
        <v>0</v>
      </c>
      <c r="N117">
        <v>0</v>
      </c>
      <c r="O117">
        <v>0</v>
      </c>
      <c r="P117">
        <v>0</v>
      </c>
      <c r="Q117">
        <v>0</v>
      </c>
      <c r="R117">
        <v>83</v>
      </c>
      <c r="S117">
        <v>172</v>
      </c>
      <c r="T117">
        <v>28</v>
      </c>
      <c r="U117">
        <v>1</v>
      </c>
    </row>
    <row r="118" spans="1:21" x14ac:dyDescent="0.3">
      <c r="A118">
        <v>14</v>
      </c>
      <c r="B118">
        <v>18</v>
      </c>
      <c r="C118">
        <v>1</v>
      </c>
      <c r="D118">
        <v>3</v>
      </c>
      <c r="E118">
        <v>2</v>
      </c>
      <c r="F118">
        <v>155</v>
      </c>
      <c r="G118">
        <v>12</v>
      </c>
      <c r="H118">
        <v>14</v>
      </c>
      <c r="I118">
        <v>34</v>
      </c>
      <c r="J118">
        <v>308593</v>
      </c>
      <c r="L118">
        <v>0</v>
      </c>
      <c r="N118">
        <v>2</v>
      </c>
      <c r="O118">
        <v>1</v>
      </c>
      <c r="P118">
        <v>0</v>
      </c>
      <c r="Q118">
        <v>0</v>
      </c>
      <c r="R118">
        <v>95</v>
      </c>
      <c r="S118">
        <v>196</v>
      </c>
      <c r="T118">
        <v>25</v>
      </c>
      <c r="U118">
        <v>8</v>
      </c>
    </row>
    <row r="119" spans="1:21" x14ac:dyDescent="0.3">
      <c r="A119">
        <v>28</v>
      </c>
      <c r="B119">
        <v>27</v>
      </c>
      <c r="C119">
        <v>1</v>
      </c>
      <c r="D119">
        <v>4</v>
      </c>
      <c r="E119">
        <v>2</v>
      </c>
      <c r="F119">
        <v>225</v>
      </c>
      <c r="G119">
        <v>26</v>
      </c>
      <c r="H119">
        <v>9</v>
      </c>
      <c r="I119">
        <v>28</v>
      </c>
      <c r="J119">
        <v>308593</v>
      </c>
      <c r="K119">
        <v>95</v>
      </c>
      <c r="L119">
        <v>0</v>
      </c>
      <c r="M119">
        <v>1</v>
      </c>
      <c r="N119">
        <v>1</v>
      </c>
      <c r="O119">
        <v>0</v>
      </c>
      <c r="P119">
        <v>0</v>
      </c>
      <c r="Q119">
        <v>2</v>
      </c>
      <c r="R119">
        <v>69</v>
      </c>
      <c r="S119">
        <v>169</v>
      </c>
      <c r="T119">
        <v>24</v>
      </c>
      <c r="U119">
        <v>2</v>
      </c>
    </row>
    <row r="120" spans="1:21" x14ac:dyDescent="0.3">
      <c r="A120">
        <v>27</v>
      </c>
      <c r="B120">
        <v>23</v>
      </c>
      <c r="C120">
        <v>1</v>
      </c>
      <c r="D120">
        <v>5</v>
      </c>
      <c r="E120">
        <v>2</v>
      </c>
      <c r="F120">
        <v>184</v>
      </c>
      <c r="G120">
        <v>42</v>
      </c>
      <c r="H120">
        <v>7</v>
      </c>
      <c r="I120">
        <v>27</v>
      </c>
      <c r="J120">
        <v>308593</v>
      </c>
      <c r="K120">
        <v>95</v>
      </c>
      <c r="L120">
        <v>0</v>
      </c>
      <c r="M120">
        <v>1</v>
      </c>
      <c r="N120">
        <v>0</v>
      </c>
      <c r="O120">
        <v>0</v>
      </c>
      <c r="P120">
        <v>0</v>
      </c>
      <c r="Q120">
        <v>0</v>
      </c>
      <c r="S120">
        <v>167</v>
      </c>
      <c r="T120">
        <v>21</v>
      </c>
      <c r="U120">
        <v>2</v>
      </c>
    </row>
    <row r="121" spans="1:21" x14ac:dyDescent="0.3">
      <c r="A121">
        <v>28</v>
      </c>
      <c r="B121">
        <v>28</v>
      </c>
      <c r="C121">
        <v>1</v>
      </c>
      <c r="D121">
        <v>5</v>
      </c>
      <c r="E121">
        <v>2</v>
      </c>
      <c r="F121">
        <v>225</v>
      </c>
      <c r="G121">
        <v>26</v>
      </c>
      <c r="H121">
        <v>9</v>
      </c>
      <c r="I121">
        <v>28</v>
      </c>
      <c r="J121">
        <v>308593</v>
      </c>
      <c r="K121">
        <v>95</v>
      </c>
      <c r="L121">
        <v>0</v>
      </c>
      <c r="M121">
        <v>1</v>
      </c>
      <c r="N121">
        <v>1</v>
      </c>
      <c r="O121">
        <v>0</v>
      </c>
      <c r="P121">
        <v>0</v>
      </c>
      <c r="Q121">
        <v>2</v>
      </c>
      <c r="R121">
        <v>69</v>
      </c>
      <c r="S121">
        <v>169</v>
      </c>
      <c r="T121">
        <v>24</v>
      </c>
      <c r="U121">
        <v>2</v>
      </c>
    </row>
    <row r="122" spans="1:21" x14ac:dyDescent="0.3">
      <c r="A122">
        <v>28</v>
      </c>
      <c r="B122">
        <v>27</v>
      </c>
      <c r="C122">
        <v>1</v>
      </c>
      <c r="D122">
        <v>6</v>
      </c>
      <c r="E122">
        <v>2</v>
      </c>
      <c r="F122">
        <v>225</v>
      </c>
      <c r="G122">
        <v>26</v>
      </c>
      <c r="H122">
        <v>9</v>
      </c>
      <c r="I122">
        <v>28</v>
      </c>
      <c r="J122">
        <v>308593</v>
      </c>
      <c r="K122">
        <v>95</v>
      </c>
      <c r="L122">
        <v>0</v>
      </c>
      <c r="M122">
        <v>1</v>
      </c>
      <c r="N122">
        <v>1</v>
      </c>
      <c r="O122">
        <v>0</v>
      </c>
      <c r="P122">
        <v>0</v>
      </c>
      <c r="Q122">
        <v>2</v>
      </c>
      <c r="R122">
        <v>69</v>
      </c>
      <c r="S122">
        <v>169</v>
      </c>
      <c r="T122">
        <v>24</v>
      </c>
      <c r="U122">
        <v>1</v>
      </c>
    </row>
    <row r="123" spans="1:21" x14ac:dyDescent="0.3">
      <c r="A123">
        <v>34</v>
      </c>
      <c r="B123">
        <v>27</v>
      </c>
      <c r="C123">
        <v>1</v>
      </c>
      <c r="D123">
        <v>2</v>
      </c>
      <c r="E123">
        <v>2</v>
      </c>
      <c r="F123">
        <v>118</v>
      </c>
      <c r="G123">
        <v>10</v>
      </c>
      <c r="H123">
        <v>10</v>
      </c>
      <c r="I123">
        <v>37</v>
      </c>
      <c r="J123">
        <v>308593</v>
      </c>
      <c r="K123">
        <v>95</v>
      </c>
      <c r="L123">
        <v>0</v>
      </c>
      <c r="M123">
        <v>1</v>
      </c>
      <c r="N123">
        <v>0</v>
      </c>
      <c r="O123">
        <v>0</v>
      </c>
      <c r="P123">
        <v>0</v>
      </c>
      <c r="Q123">
        <v>0</v>
      </c>
      <c r="R123">
        <v>83</v>
      </c>
      <c r="S123">
        <v>172</v>
      </c>
      <c r="T123">
        <v>28</v>
      </c>
      <c r="U123">
        <v>2</v>
      </c>
    </row>
    <row r="124" spans="1:21" x14ac:dyDescent="0.3">
      <c r="A124">
        <v>28</v>
      </c>
      <c r="B124">
        <v>27</v>
      </c>
      <c r="C124">
        <v>1</v>
      </c>
      <c r="D124">
        <v>3</v>
      </c>
      <c r="E124">
        <v>2</v>
      </c>
      <c r="F124">
        <v>225</v>
      </c>
      <c r="G124">
        <v>26</v>
      </c>
      <c r="H124">
        <v>9</v>
      </c>
      <c r="I124">
        <v>28</v>
      </c>
      <c r="J124">
        <v>308593</v>
      </c>
      <c r="K124">
        <v>95</v>
      </c>
      <c r="L124">
        <v>0</v>
      </c>
      <c r="M124">
        <v>1</v>
      </c>
      <c r="N124">
        <v>1</v>
      </c>
      <c r="O124">
        <v>0</v>
      </c>
      <c r="P124">
        <v>0</v>
      </c>
      <c r="Q124">
        <v>2</v>
      </c>
      <c r="R124">
        <v>69</v>
      </c>
      <c r="S124">
        <v>169</v>
      </c>
      <c r="T124">
        <v>24</v>
      </c>
      <c r="U124">
        <v>2</v>
      </c>
    </row>
    <row r="125" spans="1:21" x14ac:dyDescent="0.3">
      <c r="A125">
        <v>34</v>
      </c>
      <c r="B125">
        <v>27</v>
      </c>
      <c r="C125">
        <v>1</v>
      </c>
      <c r="D125">
        <v>3</v>
      </c>
      <c r="E125">
        <v>2</v>
      </c>
      <c r="F125">
        <v>118</v>
      </c>
      <c r="G125">
        <v>10</v>
      </c>
      <c r="H125">
        <v>10</v>
      </c>
      <c r="I125">
        <v>37</v>
      </c>
      <c r="J125">
        <v>308593</v>
      </c>
      <c r="L125">
        <v>0</v>
      </c>
      <c r="M125">
        <v>1</v>
      </c>
      <c r="N125">
        <v>0</v>
      </c>
      <c r="O125">
        <v>0</v>
      </c>
      <c r="P125">
        <v>0</v>
      </c>
      <c r="Q125">
        <v>0</v>
      </c>
      <c r="R125">
        <v>83</v>
      </c>
      <c r="S125">
        <v>172</v>
      </c>
      <c r="T125">
        <v>28</v>
      </c>
      <c r="U125">
        <v>2</v>
      </c>
    </row>
    <row r="126" spans="1:21" x14ac:dyDescent="0.3">
      <c r="A126">
        <v>34</v>
      </c>
      <c r="B126">
        <v>27</v>
      </c>
      <c r="C126">
        <v>1</v>
      </c>
      <c r="D126">
        <v>4</v>
      </c>
      <c r="E126">
        <v>2</v>
      </c>
      <c r="F126">
        <v>118</v>
      </c>
      <c r="G126">
        <v>10</v>
      </c>
      <c r="H126">
        <v>10</v>
      </c>
      <c r="I126">
        <v>37</v>
      </c>
      <c r="J126">
        <v>308593</v>
      </c>
      <c r="L126">
        <v>0</v>
      </c>
      <c r="M126">
        <v>1</v>
      </c>
      <c r="N126">
        <v>0</v>
      </c>
      <c r="O126">
        <v>0</v>
      </c>
      <c r="P126">
        <v>0</v>
      </c>
      <c r="Q126">
        <v>0</v>
      </c>
      <c r="R126">
        <v>83</v>
      </c>
      <c r="S126">
        <v>172</v>
      </c>
      <c r="T126">
        <v>28</v>
      </c>
      <c r="U126">
        <v>2</v>
      </c>
    </row>
    <row r="127" spans="1:21" x14ac:dyDescent="0.3">
      <c r="A127">
        <v>34</v>
      </c>
      <c r="B127">
        <v>27</v>
      </c>
      <c r="C127">
        <v>1</v>
      </c>
      <c r="D127">
        <v>5</v>
      </c>
      <c r="E127">
        <v>2</v>
      </c>
      <c r="F127">
        <v>118</v>
      </c>
      <c r="G127">
        <v>10</v>
      </c>
      <c r="H127">
        <v>10</v>
      </c>
      <c r="I127">
        <v>37</v>
      </c>
      <c r="J127">
        <v>308593</v>
      </c>
      <c r="K127">
        <v>95</v>
      </c>
      <c r="L127">
        <v>0</v>
      </c>
      <c r="M127">
        <v>1</v>
      </c>
      <c r="O127">
        <v>0</v>
      </c>
      <c r="P127">
        <v>0</v>
      </c>
      <c r="Q127">
        <v>0</v>
      </c>
      <c r="R127">
        <v>83</v>
      </c>
      <c r="S127">
        <v>172</v>
      </c>
      <c r="T127">
        <v>28</v>
      </c>
      <c r="U127">
        <v>2</v>
      </c>
    </row>
    <row r="128" spans="1:21" x14ac:dyDescent="0.3">
      <c r="A128">
        <v>34</v>
      </c>
      <c r="B128">
        <v>27</v>
      </c>
      <c r="C128">
        <v>1</v>
      </c>
      <c r="D128">
        <v>6</v>
      </c>
      <c r="E128">
        <v>2</v>
      </c>
      <c r="F128">
        <v>118</v>
      </c>
      <c r="G128">
        <v>10</v>
      </c>
      <c r="H128">
        <v>10</v>
      </c>
      <c r="I128">
        <v>37</v>
      </c>
      <c r="J128">
        <v>308593</v>
      </c>
      <c r="K128">
        <v>95</v>
      </c>
      <c r="L128">
        <v>0</v>
      </c>
      <c r="M128">
        <v>1</v>
      </c>
      <c r="N128">
        <v>0</v>
      </c>
      <c r="O128">
        <v>0</v>
      </c>
      <c r="P128">
        <v>0</v>
      </c>
      <c r="Q128">
        <v>0</v>
      </c>
      <c r="R128">
        <v>83</v>
      </c>
      <c r="S128">
        <v>172</v>
      </c>
      <c r="T128">
        <v>28</v>
      </c>
      <c r="U128">
        <v>2</v>
      </c>
    </row>
    <row r="129" spans="1:21" x14ac:dyDescent="0.3">
      <c r="A129">
        <v>34</v>
      </c>
      <c r="B129">
        <v>27</v>
      </c>
      <c r="C129">
        <v>1</v>
      </c>
      <c r="D129">
        <v>2</v>
      </c>
      <c r="E129">
        <v>2</v>
      </c>
      <c r="F129">
        <v>118</v>
      </c>
      <c r="G129">
        <v>10</v>
      </c>
      <c r="H129">
        <v>10</v>
      </c>
      <c r="I129">
        <v>37</v>
      </c>
      <c r="J129">
        <v>308593</v>
      </c>
      <c r="K129">
        <v>95</v>
      </c>
      <c r="L129">
        <v>0</v>
      </c>
      <c r="N129">
        <v>0</v>
      </c>
      <c r="O129">
        <v>0</v>
      </c>
      <c r="P129">
        <v>0</v>
      </c>
      <c r="Q129">
        <v>0</v>
      </c>
      <c r="R129">
        <v>83</v>
      </c>
      <c r="S129">
        <v>172</v>
      </c>
      <c r="T129">
        <v>28</v>
      </c>
      <c r="U129">
        <v>2</v>
      </c>
    </row>
    <row r="130" spans="1:21" x14ac:dyDescent="0.3">
      <c r="A130">
        <v>34</v>
      </c>
      <c r="B130">
        <v>27</v>
      </c>
      <c r="C130">
        <v>1</v>
      </c>
      <c r="D130">
        <v>3</v>
      </c>
      <c r="E130">
        <v>2</v>
      </c>
      <c r="F130">
        <v>118</v>
      </c>
      <c r="G130">
        <v>10</v>
      </c>
      <c r="H130">
        <v>10</v>
      </c>
      <c r="I130">
        <v>37</v>
      </c>
      <c r="J130">
        <v>308593</v>
      </c>
      <c r="K130">
        <v>95</v>
      </c>
      <c r="L130">
        <v>0</v>
      </c>
      <c r="N130">
        <v>0</v>
      </c>
      <c r="O130">
        <v>0</v>
      </c>
      <c r="P130">
        <v>0</v>
      </c>
      <c r="Q130">
        <v>0</v>
      </c>
      <c r="R130">
        <v>83</v>
      </c>
      <c r="S130">
        <v>172</v>
      </c>
      <c r="T130">
        <v>28</v>
      </c>
      <c r="U130">
        <v>2</v>
      </c>
    </row>
    <row r="131" spans="1:21" x14ac:dyDescent="0.3">
      <c r="A131">
        <v>22</v>
      </c>
      <c r="B131">
        <v>18</v>
      </c>
      <c r="C131">
        <v>1</v>
      </c>
      <c r="D131">
        <v>3</v>
      </c>
      <c r="E131">
        <v>2</v>
      </c>
      <c r="F131">
        <v>179</v>
      </c>
      <c r="G131">
        <v>26</v>
      </c>
      <c r="H131">
        <v>9</v>
      </c>
      <c r="I131">
        <v>30</v>
      </c>
      <c r="J131">
        <v>308593</v>
      </c>
      <c r="K131">
        <v>95</v>
      </c>
      <c r="M131">
        <v>3</v>
      </c>
      <c r="N131">
        <v>0</v>
      </c>
      <c r="O131">
        <v>0</v>
      </c>
      <c r="P131">
        <v>0</v>
      </c>
      <c r="Q131">
        <v>0</v>
      </c>
      <c r="R131">
        <v>56</v>
      </c>
      <c r="S131">
        <v>171</v>
      </c>
      <c r="T131">
        <v>19</v>
      </c>
      <c r="U131">
        <v>8</v>
      </c>
    </row>
    <row r="132" spans="1:21" x14ac:dyDescent="0.3">
      <c r="A132">
        <v>11</v>
      </c>
      <c r="B132">
        <v>18</v>
      </c>
      <c r="C132">
        <v>1</v>
      </c>
      <c r="D132">
        <v>3</v>
      </c>
      <c r="E132">
        <v>2</v>
      </c>
      <c r="F132">
        <v>289</v>
      </c>
      <c r="G132">
        <v>36</v>
      </c>
      <c r="H132">
        <v>13</v>
      </c>
      <c r="I132">
        <v>33</v>
      </c>
      <c r="J132">
        <v>308593</v>
      </c>
      <c r="K132">
        <v>95</v>
      </c>
      <c r="L132">
        <v>0</v>
      </c>
      <c r="M132">
        <v>1</v>
      </c>
      <c r="N132">
        <v>2</v>
      </c>
      <c r="O132">
        <v>1</v>
      </c>
      <c r="P132">
        <v>0</v>
      </c>
      <c r="Q132">
        <v>1</v>
      </c>
      <c r="R132">
        <v>90</v>
      </c>
      <c r="S132">
        <v>172</v>
      </c>
      <c r="T132">
        <v>30</v>
      </c>
      <c r="U132">
        <v>8</v>
      </c>
    </row>
    <row r="133" spans="1:21" x14ac:dyDescent="0.3">
      <c r="A133">
        <v>34</v>
      </c>
      <c r="B133">
        <v>27</v>
      </c>
      <c r="C133">
        <v>1</v>
      </c>
      <c r="D133">
        <v>4</v>
      </c>
      <c r="E133">
        <v>2</v>
      </c>
      <c r="F133">
        <v>118</v>
      </c>
      <c r="G133">
        <v>10</v>
      </c>
      <c r="I133">
        <v>37</v>
      </c>
      <c r="J133">
        <v>308593</v>
      </c>
      <c r="K133">
        <v>95</v>
      </c>
      <c r="L133">
        <v>0</v>
      </c>
      <c r="O133">
        <v>0</v>
      </c>
      <c r="P133">
        <v>0</v>
      </c>
      <c r="Q133">
        <v>0</v>
      </c>
      <c r="R133">
        <v>83</v>
      </c>
      <c r="T133">
        <v>28</v>
      </c>
      <c r="U133">
        <v>2</v>
      </c>
    </row>
    <row r="134" spans="1:21" x14ac:dyDescent="0.3">
      <c r="A134">
        <v>27</v>
      </c>
      <c r="B134">
        <v>23</v>
      </c>
      <c r="C134">
        <v>1</v>
      </c>
      <c r="D134">
        <v>5</v>
      </c>
      <c r="E134">
        <v>2</v>
      </c>
      <c r="F134">
        <v>184</v>
      </c>
      <c r="G134">
        <v>42</v>
      </c>
      <c r="H134">
        <v>7</v>
      </c>
      <c r="I134">
        <v>27</v>
      </c>
      <c r="K134">
        <v>95</v>
      </c>
      <c r="L134">
        <v>0</v>
      </c>
      <c r="M134">
        <v>1</v>
      </c>
      <c r="N134">
        <v>0</v>
      </c>
      <c r="O134">
        <v>0</v>
      </c>
      <c r="P134">
        <v>0</v>
      </c>
      <c r="Q134">
        <v>0</v>
      </c>
      <c r="R134">
        <v>58</v>
      </c>
      <c r="T134">
        <v>21</v>
      </c>
      <c r="U134">
        <v>2</v>
      </c>
    </row>
    <row r="135" spans="1:21" x14ac:dyDescent="0.3">
      <c r="A135">
        <v>34</v>
      </c>
      <c r="B135">
        <v>27</v>
      </c>
      <c r="C135">
        <v>1</v>
      </c>
      <c r="D135">
        <v>5</v>
      </c>
      <c r="E135">
        <v>2</v>
      </c>
      <c r="F135">
        <v>118</v>
      </c>
      <c r="G135">
        <v>10</v>
      </c>
      <c r="H135">
        <v>10</v>
      </c>
      <c r="I135">
        <v>37</v>
      </c>
      <c r="J135">
        <v>308593</v>
      </c>
      <c r="K135">
        <v>95</v>
      </c>
      <c r="M135">
        <v>1</v>
      </c>
      <c r="N135">
        <v>0</v>
      </c>
      <c r="O135">
        <v>0</v>
      </c>
      <c r="P135">
        <v>0</v>
      </c>
      <c r="Q135">
        <v>0</v>
      </c>
      <c r="R135">
        <v>83</v>
      </c>
      <c r="S135">
        <v>172</v>
      </c>
      <c r="T135">
        <v>28</v>
      </c>
      <c r="U135">
        <v>2</v>
      </c>
    </row>
    <row r="136" spans="1:21" x14ac:dyDescent="0.3">
      <c r="A136">
        <v>34</v>
      </c>
      <c r="B136">
        <v>27</v>
      </c>
      <c r="C136">
        <v>1</v>
      </c>
      <c r="D136">
        <v>2</v>
      </c>
      <c r="E136">
        <v>2</v>
      </c>
      <c r="F136">
        <v>118</v>
      </c>
      <c r="G136">
        <v>10</v>
      </c>
      <c r="H136">
        <v>10</v>
      </c>
      <c r="I136">
        <v>37</v>
      </c>
      <c r="J136">
        <v>308593</v>
      </c>
      <c r="K136">
        <v>95</v>
      </c>
      <c r="L136">
        <v>0</v>
      </c>
      <c r="M136">
        <v>1</v>
      </c>
      <c r="N136">
        <v>0</v>
      </c>
      <c r="O136">
        <v>0</v>
      </c>
      <c r="P136">
        <v>0</v>
      </c>
      <c r="Q136">
        <v>0</v>
      </c>
      <c r="R136">
        <v>83</v>
      </c>
      <c r="S136">
        <v>172</v>
      </c>
      <c r="T136">
        <v>28</v>
      </c>
      <c r="U136">
        <v>0</v>
      </c>
    </row>
    <row r="137" spans="1:21" x14ac:dyDescent="0.3">
      <c r="A137">
        <v>28</v>
      </c>
      <c r="B137">
        <v>23</v>
      </c>
      <c r="C137">
        <v>1</v>
      </c>
      <c r="D137">
        <v>3</v>
      </c>
      <c r="E137">
        <v>2</v>
      </c>
      <c r="F137">
        <v>225</v>
      </c>
      <c r="G137">
        <v>26</v>
      </c>
      <c r="H137">
        <v>9</v>
      </c>
      <c r="I137">
        <v>28</v>
      </c>
      <c r="J137">
        <v>308593</v>
      </c>
      <c r="K137">
        <v>95</v>
      </c>
      <c r="L137">
        <v>0</v>
      </c>
      <c r="M137">
        <v>1</v>
      </c>
      <c r="N137">
        <v>1</v>
      </c>
      <c r="O137">
        <v>0</v>
      </c>
      <c r="P137">
        <v>0</v>
      </c>
      <c r="Q137">
        <v>2</v>
      </c>
      <c r="R137">
        <v>69</v>
      </c>
      <c r="S137">
        <v>169</v>
      </c>
      <c r="T137">
        <v>24</v>
      </c>
      <c r="U137">
        <v>1</v>
      </c>
    </row>
    <row r="138" spans="1:21" x14ac:dyDescent="0.3">
      <c r="A138">
        <v>11</v>
      </c>
      <c r="B138">
        <v>22</v>
      </c>
      <c r="C138">
        <v>1</v>
      </c>
      <c r="D138">
        <v>5</v>
      </c>
      <c r="E138">
        <v>2</v>
      </c>
      <c r="F138">
        <v>289</v>
      </c>
      <c r="G138">
        <v>36</v>
      </c>
      <c r="H138">
        <v>13</v>
      </c>
      <c r="I138">
        <v>33</v>
      </c>
      <c r="J138">
        <v>308593</v>
      </c>
      <c r="K138">
        <v>95</v>
      </c>
      <c r="L138">
        <v>0</v>
      </c>
      <c r="M138">
        <v>1</v>
      </c>
      <c r="N138">
        <v>2</v>
      </c>
      <c r="O138">
        <v>1</v>
      </c>
      <c r="P138">
        <v>0</v>
      </c>
      <c r="Q138">
        <v>1</v>
      </c>
      <c r="R138">
        <v>90</v>
      </c>
      <c r="S138">
        <v>172</v>
      </c>
      <c r="T138">
        <v>30</v>
      </c>
      <c r="U138">
        <v>3</v>
      </c>
    </row>
    <row r="139" spans="1:21" x14ac:dyDescent="0.3">
      <c r="A139">
        <v>27</v>
      </c>
      <c r="B139">
        <v>23</v>
      </c>
      <c r="C139">
        <v>2</v>
      </c>
      <c r="D139">
        <v>6</v>
      </c>
      <c r="E139">
        <v>2</v>
      </c>
      <c r="F139">
        <v>184</v>
      </c>
      <c r="G139">
        <v>42</v>
      </c>
      <c r="H139">
        <v>7</v>
      </c>
      <c r="I139">
        <v>27</v>
      </c>
      <c r="J139">
        <v>302585</v>
      </c>
      <c r="K139">
        <v>99</v>
      </c>
      <c r="L139">
        <v>0</v>
      </c>
      <c r="M139">
        <v>1</v>
      </c>
      <c r="O139">
        <v>0</v>
      </c>
      <c r="P139">
        <v>0</v>
      </c>
      <c r="Q139">
        <v>0</v>
      </c>
      <c r="R139">
        <v>58</v>
      </c>
      <c r="S139">
        <v>167</v>
      </c>
      <c r="T139">
        <v>21</v>
      </c>
      <c r="U139">
        <v>1</v>
      </c>
    </row>
    <row r="140" spans="1:21" x14ac:dyDescent="0.3">
      <c r="A140">
        <v>24</v>
      </c>
      <c r="B140">
        <v>1</v>
      </c>
      <c r="C140">
        <v>2</v>
      </c>
      <c r="D140">
        <v>4</v>
      </c>
      <c r="E140">
        <v>2</v>
      </c>
      <c r="F140">
        <v>246</v>
      </c>
      <c r="G140">
        <v>25</v>
      </c>
      <c r="H140">
        <v>16</v>
      </c>
      <c r="I140">
        <v>41</v>
      </c>
      <c r="J140">
        <v>302585</v>
      </c>
      <c r="K140">
        <v>99</v>
      </c>
      <c r="L140">
        <v>0</v>
      </c>
      <c r="M140">
        <v>1</v>
      </c>
      <c r="N140">
        <v>0</v>
      </c>
      <c r="O140">
        <v>1</v>
      </c>
      <c r="P140">
        <v>0</v>
      </c>
      <c r="Q140">
        <v>0</v>
      </c>
      <c r="R140">
        <v>67</v>
      </c>
      <c r="S140">
        <v>170</v>
      </c>
      <c r="T140">
        <v>23</v>
      </c>
      <c r="U140">
        <v>8</v>
      </c>
    </row>
    <row r="141" spans="1:21" x14ac:dyDescent="0.3">
      <c r="A141">
        <v>3</v>
      </c>
      <c r="B141">
        <v>11</v>
      </c>
      <c r="C141">
        <v>2</v>
      </c>
      <c r="D141">
        <v>4</v>
      </c>
      <c r="E141">
        <v>2</v>
      </c>
      <c r="F141">
        <v>179</v>
      </c>
      <c r="G141">
        <v>51</v>
      </c>
      <c r="H141">
        <v>18</v>
      </c>
      <c r="I141">
        <v>38</v>
      </c>
      <c r="J141">
        <v>302585</v>
      </c>
      <c r="K141">
        <v>99</v>
      </c>
      <c r="L141">
        <v>0</v>
      </c>
      <c r="M141">
        <v>1</v>
      </c>
      <c r="N141">
        <v>0</v>
      </c>
      <c r="O141">
        <v>1</v>
      </c>
      <c r="P141">
        <v>0</v>
      </c>
      <c r="Q141">
        <v>0</v>
      </c>
      <c r="R141">
        <v>89</v>
      </c>
      <c r="S141">
        <v>170</v>
      </c>
      <c r="T141">
        <v>31</v>
      </c>
      <c r="U141">
        <v>8</v>
      </c>
    </row>
    <row r="142" spans="1:21" x14ac:dyDescent="0.3">
      <c r="A142">
        <v>14</v>
      </c>
      <c r="B142">
        <v>28</v>
      </c>
      <c r="C142">
        <v>2</v>
      </c>
      <c r="D142">
        <v>5</v>
      </c>
      <c r="E142">
        <v>2</v>
      </c>
      <c r="F142">
        <v>155</v>
      </c>
      <c r="G142">
        <v>12</v>
      </c>
      <c r="H142">
        <v>14</v>
      </c>
      <c r="I142">
        <v>34</v>
      </c>
      <c r="J142">
        <v>302585</v>
      </c>
      <c r="K142">
        <v>99</v>
      </c>
      <c r="L142">
        <v>0</v>
      </c>
      <c r="M142">
        <v>1</v>
      </c>
      <c r="N142">
        <v>2</v>
      </c>
      <c r="O142">
        <v>1</v>
      </c>
      <c r="P142">
        <v>0</v>
      </c>
      <c r="Q142">
        <v>0</v>
      </c>
      <c r="R142">
        <v>95</v>
      </c>
      <c r="S142">
        <v>196</v>
      </c>
      <c r="T142">
        <v>25</v>
      </c>
      <c r="U142">
        <v>2</v>
      </c>
    </row>
    <row r="143" spans="1:21" x14ac:dyDescent="0.3">
      <c r="A143">
        <v>6</v>
      </c>
      <c r="B143">
        <v>23</v>
      </c>
      <c r="C143">
        <v>2</v>
      </c>
      <c r="D143">
        <v>5</v>
      </c>
      <c r="E143">
        <v>2</v>
      </c>
      <c r="F143">
        <v>189</v>
      </c>
      <c r="G143">
        <v>29</v>
      </c>
      <c r="H143">
        <v>13</v>
      </c>
      <c r="I143">
        <v>33</v>
      </c>
      <c r="J143">
        <v>302585</v>
      </c>
      <c r="K143">
        <v>99</v>
      </c>
      <c r="L143">
        <v>0</v>
      </c>
      <c r="M143">
        <v>1</v>
      </c>
      <c r="N143">
        <v>2</v>
      </c>
      <c r="O143">
        <v>0</v>
      </c>
      <c r="P143">
        <v>0</v>
      </c>
      <c r="Q143">
        <v>2</v>
      </c>
      <c r="R143">
        <v>69</v>
      </c>
      <c r="S143">
        <v>167</v>
      </c>
      <c r="T143">
        <v>25</v>
      </c>
      <c r="U143">
        <v>8</v>
      </c>
    </row>
    <row r="144" spans="1:21" x14ac:dyDescent="0.3">
      <c r="A144">
        <v>20</v>
      </c>
      <c r="B144">
        <v>28</v>
      </c>
      <c r="C144">
        <v>2</v>
      </c>
      <c r="D144">
        <v>6</v>
      </c>
      <c r="E144">
        <v>2</v>
      </c>
      <c r="F144">
        <v>260</v>
      </c>
      <c r="G144">
        <v>50</v>
      </c>
      <c r="H144">
        <v>11</v>
      </c>
      <c r="I144">
        <v>36</v>
      </c>
      <c r="J144">
        <v>302585</v>
      </c>
      <c r="K144">
        <v>99</v>
      </c>
      <c r="L144">
        <v>0</v>
      </c>
      <c r="M144">
        <v>1</v>
      </c>
      <c r="N144">
        <v>4</v>
      </c>
      <c r="O144">
        <v>1</v>
      </c>
      <c r="P144">
        <v>0</v>
      </c>
      <c r="Q144">
        <v>0</v>
      </c>
      <c r="R144">
        <v>65</v>
      </c>
      <c r="S144">
        <v>168</v>
      </c>
      <c r="T144">
        <v>23</v>
      </c>
      <c r="U144">
        <v>2</v>
      </c>
    </row>
    <row r="145" spans="1:21" x14ac:dyDescent="0.3">
      <c r="A145">
        <v>11</v>
      </c>
      <c r="B145">
        <v>22</v>
      </c>
      <c r="C145">
        <v>2</v>
      </c>
      <c r="D145">
        <v>6</v>
      </c>
      <c r="E145">
        <v>2</v>
      </c>
      <c r="F145">
        <v>289</v>
      </c>
      <c r="G145">
        <v>36</v>
      </c>
      <c r="H145">
        <v>13</v>
      </c>
      <c r="I145">
        <v>33</v>
      </c>
      <c r="J145">
        <v>302585</v>
      </c>
      <c r="K145">
        <v>99</v>
      </c>
      <c r="L145">
        <v>0</v>
      </c>
      <c r="M145">
        <v>1</v>
      </c>
      <c r="N145">
        <v>2</v>
      </c>
      <c r="O145">
        <v>1</v>
      </c>
      <c r="P145">
        <v>0</v>
      </c>
      <c r="Q145">
        <v>1</v>
      </c>
      <c r="R145">
        <v>90</v>
      </c>
      <c r="S145">
        <v>172</v>
      </c>
      <c r="T145">
        <v>30</v>
      </c>
      <c r="U145">
        <v>8</v>
      </c>
    </row>
    <row r="146" spans="1:21" x14ac:dyDescent="0.3">
      <c r="A146">
        <v>31</v>
      </c>
      <c r="B146">
        <v>11</v>
      </c>
      <c r="C146">
        <v>2</v>
      </c>
      <c r="D146">
        <v>2</v>
      </c>
      <c r="E146">
        <v>2</v>
      </c>
      <c r="F146">
        <v>388</v>
      </c>
      <c r="G146">
        <v>15</v>
      </c>
      <c r="H146">
        <v>9</v>
      </c>
      <c r="I146">
        <v>50</v>
      </c>
      <c r="J146">
        <v>302585</v>
      </c>
      <c r="K146">
        <v>99</v>
      </c>
      <c r="L146">
        <v>0</v>
      </c>
      <c r="M146">
        <v>1</v>
      </c>
      <c r="N146">
        <v>0</v>
      </c>
      <c r="O146">
        <v>0</v>
      </c>
      <c r="P146">
        <v>0</v>
      </c>
      <c r="Q146">
        <v>0</v>
      </c>
      <c r="R146">
        <v>76</v>
      </c>
      <c r="S146">
        <v>178</v>
      </c>
      <c r="T146">
        <v>24</v>
      </c>
      <c r="U146">
        <v>8</v>
      </c>
    </row>
    <row r="147" spans="1:21" x14ac:dyDescent="0.3">
      <c r="A147">
        <v>31</v>
      </c>
      <c r="B147">
        <v>1</v>
      </c>
      <c r="C147">
        <v>2</v>
      </c>
      <c r="D147">
        <v>3</v>
      </c>
      <c r="E147">
        <v>2</v>
      </c>
      <c r="F147">
        <v>388</v>
      </c>
      <c r="G147">
        <v>15</v>
      </c>
      <c r="H147">
        <v>9</v>
      </c>
      <c r="I147">
        <v>50</v>
      </c>
      <c r="J147">
        <v>302585</v>
      </c>
      <c r="K147">
        <v>99</v>
      </c>
      <c r="L147">
        <v>0</v>
      </c>
      <c r="M147">
        <v>1</v>
      </c>
      <c r="N147">
        <v>0</v>
      </c>
      <c r="O147">
        <v>0</v>
      </c>
      <c r="P147">
        <v>0</v>
      </c>
      <c r="Q147">
        <v>0</v>
      </c>
      <c r="R147">
        <v>76</v>
      </c>
      <c r="S147">
        <v>178</v>
      </c>
      <c r="T147">
        <v>24</v>
      </c>
      <c r="U147">
        <v>8</v>
      </c>
    </row>
    <row r="148" spans="1:21" x14ac:dyDescent="0.3">
      <c r="A148">
        <v>28</v>
      </c>
      <c r="B148">
        <v>28</v>
      </c>
      <c r="C148">
        <v>2</v>
      </c>
      <c r="D148">
        <v>2</v>
      </c>
      <c r="E148">
        <v>2</v>
      </c>
      <c r="F148">
        <v>225</v>
      </c>
      <c r="G148">
        <v>26</v>
      </c>
      <c r="H148">
        <v>9</v>
      </c>
      <c r="I148">
        <v>28</v>
      </c>
      <c r="J148">
        <v>302585</v>
      </c>
      <c r="K148">
        <v>99</v>
      </c>
      <c r="L148">
        <v>0</v>
      </c>
      <c r="M148">
        <v>1</v>
      </c>
      <c r="N148">
        <v>1</v>
      </c>
      <c r="O148">
        <v>0</v>
      </c>
      <c r="P148">
        <v>0</v>
      </c>
      <c r="Q148">
        <v>2</v>
      </c>
      <c r="R148">
        <v>69</v>
      </c>
      <c r="S148">
        <v>169</v>
      </c>
      <c r="U148">
        <v>2</v>
      </c>
    </row>
    <row r="149" spans="1:21" x14ac:dyDescent="0.3">
      <c r="A149">
        <v>28</v>
      </c>
      <c r="B149">
        <v>23</v>
      </c>
      <c r="C149">
        <v>2</v>
      </c>
      <c r="D149">
        <v>3</v>
      </c>
      <c r="E149">
        <v>2</v>
      </c>
      <c r="F149">
        <v>225</v>
      </c>
      <c r="G149">
        <v>26</v>
      </c>
      <c r="H149">
        <v>9</v>
      </c>
      <c r="I149">
        <v>28</v>
      </c>
      <c r="J149">
        <v>302585</v>
      </c>
      <c r="K149">
        <v>99</v>
      </c>
      <c r="L149">
        <v>0</v>
      </c>
      <c r="M149">
        <v>1</v>
      </c>
      <c r="N149">
        <v>1</v>
      </c>
      <c r="O149">
        <v>0</v>
      </c>
      <c r="P149">
        <v>0</v>
      </c>
      <c r="Q149">
        <v>2</v>
      </c>
      <c r="R149">
        <v>69</v>
      </c>
      <c r="S149">
        <v>169</v>
      </c>
      <c r="T149">
        <v>24</v>
      </c>
      <c r="U149">
        <v>2</v>
      </c>
    </row>
    <row r="150" spans="1:21" x14ac:dyDescent="0.3">
      <c r="A150">
        <v>22</v>
      </c>
      <c r="B150">
        <v>23</v>
      </c>
      <c r="C150">
        <v>2</v>
      </c>
      <c r="D150">
        <v>3</v>
      </c>
      <c r="E150">
        <v>2</v>
      </c>
      <c r="F150">
        <v>179</v>
      </c>
      <c r="G150">
        <v>26</v>
      </c>
      <c r="H150">
        <v>9</v>
      </c>
      <c r="I150">
        <v>30</v>
      </c>
      <c r="J150">
        <v>302585</v>
      </c>
      <c r="K150">
        <v>99</v>
      </c>
      <c r="L150">
        <v>0</v>
      </c>
      <c r="M150">
        <v>3</v>
      </c>
      <c r="N150">
        <v>0</v>
      </c>
      <c r="O150">
        <v>0</v>
      </c>
      <c r="P150">
        <v>0</v>
      </c>
      <c r="Q150">
        <v>0</v>
      </c>
      <c r="R150">
        <v>56</v>
      </c>
      <c r="S150">
        <v>171</v>
      </c>
      <c r="T150">
        <v>19</v>
      </c>
      <c r="U150">
        <v>1</v>
      </c>
    </row>
    <row r="151" spans="1:21" x14ac:dyDescent="0.3">
      <c r="A151">
        <v>27</v>
      </c>
      <c r="B151">
        <v>23</v>
      </c>
      <c r="C151">
        <v>2</v>
      </c>
      <c r="D151">
        <v>3</v>
      </c>
      <c r="E151">
        <v>2</v>
      </c>
      <c r="F151">
        <v>184</v>
      </c>
      <c r="G151">
        <v>42</v>
      </c>
      <c r="H151">
        <v>7</v>
      </c>
      <c r="I151">
        <v>27</v>
      </c>
      <c r="J151">
        <v>302585</v>
      </c>
      <c r="K151">
        <v>99</v>
      </c>
      <c r="L151">
        <v>0</v>
      </c>
      <c r="M151">
        <v>1</v>
      </c>
      <c r="N151">
        <v>0</v>
      </c>
      <c r="O151">
        <v>0</v>
      </c>
      <c r="P151">
        <v>0</v>
      </c>
      <c r="Q151">
        <v>0</v>
      </c>
      <c r="R151">
        <v>58</v>
      </c>
      <c r="S151">
        <v>167</v>
      </c>
      <c r="T151">
        <v>21</v>
      </c>
      <c r="U151">
        <v>8</v>
      </c>
    </row>
    <row r="152" spans="1:21" x14ac:dyDescent="0.3">
      <c r="A152">
        <v>28</v>
      </c>
      <c r="B152">
        <v>25</v>
      </c>
      <c r="C152">
        <v>2</v>
      </c>
      <c r="D152">
        <v>5</v>
      </c>
      <c r="E152">
        <v>2</v>
      </c>
      <c r="F152">
        <v>225</v>
      </c>
      <c r="G152">
        <v>26</v>
      </c>
      <c r="H152">
        <v>9</v>
      </c>
      <c r="I152">
        <v>28</v>
      </c>
      <c r="J152">
        <v>302585</v>
      </c>
      <c r="K152">
        <v>99</v>
      </c>
      <c r="L152">
        <v>0</v>
      </c>
      <c r="M152">
        <v>1</v>
      </c>
      <c r="N152">
        <v>1</v>
      </c>
      <c r="O152">
        <v>0</v>
      </c>
      <c r="P152">
        <v>0</v>
      </c>
      <c r="Q152">
        <v>2</v>
      </c>
      <c r="R152">
        <v>69</v>
      </c>
      <c r="S152">
        <v>169</v>
      </c>
      <c r="T152">
        <v>24</v>
      </c>
      <c r="U152">
        <v>3</v>
      </c>
    </row>
    <row r="153" spans="1:21" x14ac:dyDescent="0.3">
      <c r="A153">
        <v>18</v>
      </c>
      <c r="B153">
        <v>18</v>
      </c>
      <c r="C153">
        <v>2</v>
      </c>
      <c r="D153">
        <v>2</v>
      </c>
      <c r="E153">
        <v>2</v>
      </c>
      <c r="F153">
        <v>330</v>
      </c>
      <c r="G153">
        <v>16</v>
      </c>
      <c r="H153">
        <v>4</v>
      </c>
      <c r="I153">
        <v>28</v>
      </c>
      <c r="J153">
        <v>302585</v>
      </c>
      <c r="K153">
        <v>99</v>
      </c>
      <c r="L153">
        <v>0</v>
      </c>
      <c r="M153">
        <v>2</v>
      </c>
      <c r="N153">
        <v>0</v>
      </c>
      <c r="O153">
        <v>0</v>
      </c>
      <c r="P153">
        <v>0</v>
      </c>
      <c r="Q153">
        <v>0</v>
      </c>
      <c r="R153">
        <v>84</v>
      </c>
      <c r="S153">
        <v>182</v>
      </c>
      <c r="T153">
        <v>25</v>
      </c>
      <c r="U153">
        <v>8</v>
      </c>
    </row>
    <row r="154" spans="1:21" x14ac:dyDescent="0.3">
      <c r="A154">
        <v>18</v>
      </c>
      <c r="B154">
        <v>23</v>
      </c>
      <c r="C154">
        <v>2</v>
      </c>
      <c r="D154">
        <v>3</v>
      </c>
      <c r="E154">
        <v>2</v>
      </c>
      <c r="F154">
        <v>330</v>
      </c>
      <c r="G154">
        <v>16</v>
      </c>
      <c r="H154">
        <v>4</v>
      </c>
      <c r="I154">
        <v>28</v>
      </c>
      <c r="J154">
        <v>302585</v>
      </c>
      <c r="K154">
        <v>99</v>
      </c>
      <c r="L154">
        <v>0</v>
      </c>
      <c r="M154">
        <v>2</v>
      </c>
      <c r="N154">
        <v>0</v>
      </c>
      <c r="O154">
        <v>0</v>
      </c>
      <c r="P154">
        <v>0</v>
      </c>
      <c r="Q154">
        <v>0</v>
      </c>
      <c r="R154">
        <v>84</v>
      </c>
      <c r="S154">
        <v>182</v>
      </c>
      <c r="U154">
        <v>1</v>
      </c>
    </row>
    <row r="155" spans="1:21" x14ac:dyDescent="0.3">
      <c r="A155">
        <v>28</v>
      </c>
      <c r="B155">
        <v>23</v>
      </c>
      <c r="C155">
        <v>2</v>
      </c>
      <c r="D155">
        <v>4</v>
      </c>
      <c r="E155">
        <v>2</v>
      </c>
      <c r="F155">
        <v>225</v>
      </c>
      <c r="G155">
        <v>26</v>
      </c>
      <c r="H155">
        <v>9</v>
      </c>
      <c r="I155">
        <v>28</v>
      </c>
      <c r="J155">
        <v>302585</v>
      </c>
      <c r="K155">
        <v>99</v>
      </c>
      <c r="L155">
        <v>0</v>
      </c>
      <c r="M155">
        <v>1</v>
      </c>
      <c r="N155">
        <v>1</v>
      </c>
      <c r="O155">
        <v>0</v>
      </c>
      <c r="P155">
        <v>0</v>
      </c>
      <c r="Q155">
        <v>2</v>
      </c>
      <c r="R155">
        <v>69</v>
      </c>
      <c r="S155">
        <v>169</v>
      </c>
      <c r="U155">
        <v>1</v>
      </c>
    </row>
    <row r="156" spans="1:21" x14ac:dyDescent="0.3">
      <c r="A156">
        <v>6</v>
      </c>
      <c r="B156">
        <v>19</v>
      </c>
      <c r="C156">
        <v>2</v>
      </c>
      <c r="D156">
        <v>5</v>
      </c>
      <c r="E156">
        <v>2</v>
      </c>
      <c r="F156">
        <v>189</v>
      </c>
      <c r="G156">
        <v>29</v>
      </c>
      <c r="H156">
        <v>13</v>
      </c>
      <c r="I156">
        <v>33</v>
      </c>
      <c r="J156">
        <v>302585</v>
      </c>
      <c r="K156">
        <v>99</v>
      </c>
      <c r="L156">
        <v>0</v>
      </c>
      <c r="M156">
        <v>1</v>
      </c>
      <c r="N156">
        <v>2</v>
      </c>
      <c r="O156">
        <v>0</v>
      </c>
      <c r="P156">
        <v>0</v>
      </c>
      <c r="Q156">
        <v>2</v>
      </c>
      <c r="R156">
        <v>69</v>
      </c>
      <c r="S156">
        <v>167</v>
      </c>
      <c r="T156">
        <v>25</v>
      </c>
      <c r="U156">
        <v>8</v>
      </c>
    </row>
    <row r="157" spans="1:21" x14ac:dyDescent="0.3">
      <c r="A157">
        <v>19</v>
      </c>
      <c r="B157">
        <v>28</v>
      </c>
      <c r="C157">
        <v>3</v>
      </c>
      <c r="D157">
        <v>3</v>
      </c>
      <c r="E157">
        <v>2</v>
      </c>
      <c r="F157">
        <v>291</v>
      </c>
      <c r="G157">
        <v>50</v>
      </c>
      <c r="H157">
        <v>12</v>
      </c>
      <c r="I157">
        <v>32</v>
      </c>
      <c r="J157">
        <v>343253</v>
      </c>
      <c r="K157">
        <v>95</v>
      </c>
      <c r="L157">
        <v>0</v>
      </c>
      <c r="M157">
        <v>1</v>
      </c>
      <c r="N157">
        <v>0</v>
      </c>
      <c r="O157">
        <v>1</v>
      </c>
      <c r="P157">
        <v>0</v>
      </c>
      <c r="Q157">
        <v>0</v>
      </c>
      <c r="R157">
        <v>65</v>
      </c>
      <c r="S157">
        <v>169</v>
      </c>
      <c r="T157">
        <v>23</v>
      </c>
      <c r="U157">
        <v>2</v>
      </c>
    </row>
    <row r="158" spans="1:21" x14ac:dyDescent="0.3">
      <c r="A158">
        <v>20</v>
      </c>
      <c r="B158">
        <v>19</v>
      </c>
      <c r="C158">
        <v>3</v>
      </c>
      <c r="D158">
        <v>3</v>
      </c>
      <c r="E158">
        <v>2</v>
      </c>
      <c r="F158">
        <v>260</v>
      </c>
      <c r="G158">
        <v>50</v>
      </c>
      <c r="H158">
        <v>11</v>
      </c>
      <c r="I158">
        <v>36</v>
      </c>
      <c r="J158">
        <v>343253</v>
      </c>
      <c r="K158">
        <v>95</v>
      </c>
      <c r="L158">
        <v>0</v>
      </c>
      <c r="M158">
        <v>1</v>
      </c>
      <c r="N158">
        <v>4</v>
      </c>
      <c r="O158">
        <v>1</v>
      </c>
      <c r="P158">
        <v>0</v>
      </c>
      <c r="Q158">
        <v>0</v>
      </c>
      <c r="R158">
        <v>65</v>
      </c>
      <c r="S158">
        <v>168</v>
      </c>
      <c r="T158">
        <v>23</v>
      </c>
      <c r="U158">
        <v>8</v>
      </c>
    </row>
    <row r="159" spans="1:21" x14ac:dyDescent="0.3">
      <c r="A159">
        <v>30</v>
      </c>
      <c r="B159">
        <v>19</v>
      </c>
      <c r="C159">
        <v>3</v>
      </c>
      <c r="D159">
        <v>3</v>
      </c>
      <c r="E159">
        <v>2</v>
      </c>
      <c r="F159">
        <v>157</v>
      </c>
      <c r="G159">
        <v>27</v>
      </c>
      <c r="H159">
        <v>6</v>
      </c>
      <c r="I159">
        <v>29</v>
      </c>
      <c r="J159">
        <v>343253</v>
      </c>
      <c r="K159">
        <v>95</v>
      </c>
      <c r="L159">
        <v>0</v>
      </c>
      <c r="M159">
        <v>1</v>
      </c>
      <c r="N159">
        <v>0</v>
      </c>
      <c r="O159">
        <v>1</v>
      </c>
      <c r="P159">
        <v>1</v>
      </c>
      <c r="Q159">
        <v>0</v>
      </c>
      <c r="R159">
        <v>75</v>
      </c>
      <c r="S159">
        <v>185</v>
      </c>
      <c r="T159">
        <v>22</v>
      </c>
      <c r="U159">
        <v>3</v>
      </c>
    </row>
    <row r="160" spans="1:21" x14ac:dyDescent="0.3">
      <c r="A160">
        <v>17</v>
      </c>
      <c r="B160">
        <v>17</v>
      </c>
      <c r="C160">
        <v>3</v>
      </c>
      <c r="D160">
        <v>3</v>
      </c>
      <c r="E160">
        <v>2</v>
      </c>
      <c r="F160">
        <v>179</v>
      </c>
      <c r="G160">
        <v>22</v>
      </c>
      <c r="H160">
        <v>17</v>
      </c>
      <c r="I160">
        <v>40</v>
      </c>
      <c r="J160">
        <v>343253</v>
      </c>
      <c r="K160">
        <v>95</v>
      </c>
      <c r="L160">
        <v>0</v>
      </c>
      <c r="M160">
        <v>2</v>
      </c>
      <c r="N160">
        <v>2</v>
      </c>
      <c r="O160">
        <v>0</v>
      </c>
      <c r="P160">
        <v>1</v>
      </c>
      <c r="Q160">
        <v>0</v>
      </c>
      <c r="R160">
        <v>63</v>
      </c>
      <c r="S160">
        <v>170</v>
      </c>
      <c r="U160">
        <v>8</v>
      </c>
    </row>
    <row r="161" spans="1:21" x14ac:dyDescent="0.3">
      <c r="A161">
        <v>15</v>
      </c>
      <c r="B161">
        <v>22</v>
      </c>
      <c r="C161">
        <v>3</v>
      </c>
      <c r="D161">
        <v>4</v>
      </c>
      <c r="E161">
        <v>2</v>
      </c>
      <c r="F161">
        <v>291</v>
      </c>
      <c r="G161">
        <v>31</v>
      </c>
      <c r="H161">
        <v>12</v>
      </c>
      <c r="I161">
        <v>40</v>
      </c>
      <c r="J161">
        <v>343253</v>
      </c>
      <c r="K161">
        <v>95</v>
      </c>
      <c r="L161">
        <v>0</v>
      </c>
      <c r="M161">
        <v>1</v>
      </c>
      <c r="N161">
        <v>1</v>
      </c>
      <c r="O161">
        <v>1</v>
      </c>
      <c r="P161">
        <v>0</v>
      </c>
      <c r="Q161">
        <v>1</v>
      </c>
      <c r="R161">
        <v>73</v>
      </c>
      <c r="S161">
        <v>171</v>
      </c>
      <c r="U161">
        <v>8</v>
      </c>
    </row>
    <row r="162" spans="1:21" x14ac:dyDescent="0.3">
      <c r="A162">
        <v>20</v>
      </c>
      <c r="B162">
        <v>13</v>
      </c>
      <c r="C162">
        <v>3</v>
      </c>
      <c r="D162">
        <v>4</v>
      </c>
      <c r="E162">
        <v>2</v>
      </c>
      <c r="F162">
        <v>260</v>
      </c>
      <c r="G162">
        <v>50</v>
      </c>
      <c r="H162">
        <v>11</v>
      </c>
      <c r="I162">
        <v>36</v>
      </c>
      <c r="J162">
        <v>343253</v>
      </c>
      <c r="K162">
        <v>95</v>
      </c>
      <c r="L162">
        <v>0</v>
      </c>
      <c r="M162">
        <v>1</v>
      </c>
      <c r="N162">
        <v>4</v>
      </c>
      <c r="O162">
        <v>1</v>
      </c>
      <c r="P162">
        <v>0</v>
      </c>
      <c r="Q162">
        <v>0</v>
      </c>
      <c r="R162">
        <v>65</v>
      </c>
      <c r="S162">
        <v>168</v>
      </c>
      <c r="U162">
        <v>8</v>
      </c>
    </row>
    <row r="163" spans="1:21" x14ac:dyDescent="0.3">
      <c r="A163">
        <v>22</v>
      </c>
      <c r="B163">
        <v>13</v>
      </c>
      <c r="C163">
        <v>3</v>
      </c>
      <c r="D163">
        <v>5</v>
      </c>
      <c r="E163">
        <v>2</v>
      </c>
      <c r="F163">
        <v>179</v>
      </c>
      <c r="G163">
        <v>26</v>
      </c>
      <c r="H163">
        <v>9</v>
      </c>
      <c r="I163">
        <v>30</v>
      </c>
      <c r="J163">
        <v>343253</v>
      </c>
      <c r="K163">
        <v>95</v>
      </c>
      <c r="L163">
        <v>0</v>
      </c>
      <c r="M163">
        <v>3</v>
      </c>
      <c r="N163">
        <v>0</v>
      </c>
      <c r="O163">
        <v>0</v>
      </c>
      <c r="P163">
        <v>0</v>
      </c>
      <c r="Q163">
        <v>0</v>
      </c>
      <c r="R163">
        <v>56</v>
      </c>
      <c r="S163">
        <v>171</v>
      </c>
      <c r="U163">
        <v>8</v>
      </c>
    </row>
    <row r="164" spans="1:21" x14ac:dyDescent="0.3">
      <c r="A164">
        <v>33</v>
      </c>
      <c r="B164">
        <v>14</v>
      </c>
      <c r="C164">
        <v>3</v>
      </c>
      <c r="D164">
        <v>6</v>
      </c>
      <c r="E164">
        <v>2</v>
      </c>
      <c r="F164">
        <v>248</v>
      </c>
      <c r="G164">
        <v>25</v>
      </c>
      <c r="H164">
        <v>14</v>
      </c>
      <c r="I164">
        <v>47</v>
      </c>
      <c r="J164">
        <v>343253</v>
      </c>
      <c r="K164">
        <v>95</v>
      </c>
      <c r="L164">
        <v>0</v>
      </c>
      <c r="M164">
        <v>1</v>
      </c>
      <c r="N164">
        <v>2</v>
      </c>
      <c r="O164">
        <v>0</v>
      </c>
      <c r="P164">
        <v>0</v>
      </c>
      <c r="Q164">
        <v>1</v>
      </c>
      <c r="R164">
        <v>86</v>
      </c>
      <c r="S164">
        <v>165</v>
      </c>
      <c r="T164">
        <v>32</v>
      </c>
      <c r="U164">
        <v>3</v>
      </c>
    </row>
    <row r="165" spans="1:21" x14ac:dyDescent="0.3">
      <c r="A165">
        <v>20</v>
      </c>
      <c r="B165">
        <v>13</v>
      </c>
      <c r="C165">
        <v>3</v>
      </c>
      <c r="D165">
        <v>6</v>
      </c>
      <c r="E165">
        <v>2</v>
      </c>
      <c r="F165">
        <v>260</v>
      </c>
      <c r="G165">
        <v>50</v>
      </c>
      <c r="H165">
        <v>11</v>
      </c>
      <c r="I165">
        <v>36</v>
      </c>
      <c r="J165">
        <v>343253</v>
      </c>
      <c r="K165">
        <v>95</v>
      </c>
      <c r="L165">
        <v>0</v>
      </c>
      <c r="M165">
        <v>1</v>
      </c>
      <c r="N165">
        <v>4</v>
      </c>
      <c r="O165">
        <v>1</v>
      </c>
      <c r="P165">
        <v>0</v>
      </c>
      <c r="Q165">
        <v>0</v>
      </c>
      <c r="R165">
        <v>65</v>
      </c>
      <c r="S165">
        <v>168</v>
      </c>
      <c r="T165">
        <v>23</v>
      </c>
      <c r="U165">
        <v>40</v>
      </c>
    </row>
    <row r="166" spans="1:21" x14ac:dyDescent="0.3">
      <c r="A166">
        <v>17</v>
      </c>
      <c r="B166">
        <v>11</v>
      </c>
      <c r="C166">
        <v>3</v>
      </c>
      <c r="D166">
        <v>2</v>
      </c>
      <c r="E166">
        <v>2</v>
      </c>
      <c r="F166">
        <v>179</v>
      </c>
      <c r="G166">
        <v>22</v>
      </c>
      <c r="H166">
        <v>17</v>
      </c>
      <c r="I166">
        <v>40</v>
      </c>
      <c r="J166">
        <v>343253</v>
      </c>
      <c r="K166">
        <v>95</v>
      </c>
      <c r="L166">
        <v>0</v>
      </c>
      <c r="M166">
        <v>2</v>
      </c>
      <c r="N166">
        <v>2</v>
      </c>
      <c r="O166">
        <v>0</v>
      </c>
      <c r="P166">
        <v>1</v>
      </c>
      <c r="Q166">
        <v>0</v>
      </c>
      <c r="R166">
        <v>63</v>
      </c>
      <c r="S166">
        <v>170</v>
      </c>
      <c r="T166">
        <v>22</v>
      </c>
      <c r="U166">
        <v>40</v>
      </c>
    </row>
    <row r="167" spans="1:21" x14ac:dyDescent="0.3">
      <c r="A167">
        <v>14</v>
      </c>
      <c r="B167">
        <v>1</v>
      </c>
      <c r="C167">
        <v>3</v>
      </c>
      <c r="D167">
        <v>2</v>
      </c>
      <c r="E167">
        <v>2</v>
      </c>
      <c r="F167">
        <v>155</v>
      </c>
      <c r="G167">
        <v>12</v>
      </c>
      <c r="H167">
        <v>14</v>
      </c>
      <c r="I167">
        <v>34</v>
      </c>
      <c r="J167">
        <v>343253</v>
      </c>
      <c r="K167">
        <v>95</v>
      </c>
      <c r="L167">
        <v>0</v>
      </c>
      <c r="M167">
        <v>1</v>
      </c>
      <c r="N167">
        <v>2</v>
      </c>
      <c r="O167">
        <v>1</v>
      </c>
      <c r="P167">
        <v>0</v>
      </c>
      <c r="Q167">
        <v>0</v>
      </c>
      <c r="R167">
        <v>95</v>
      </c>
      <c r="S167">
        <v>196</v>
      </c>
      <c r="T167">
        <v>25</v>
      </c>
      <c r="U167">
        <v>16</v>
      </c>
    </row>
    <row r="168" spans="1:21" x14ac:dyDescent="0.3">
      <c r="A168">
        <v>20</v>
      </c>
      <c r="B168">
        <v>26</v>
      </c>
      <c r="C168">
        <v>3</v>
      </c>
      <c r="D168">
        <v>2</v>
      </c>
      <c r="E168">
        <v>2</v>
      </c>
      <c r="F168">
        <v>260</v>
      </c>
      <c r="G168">
        <v>50</v>
      </c>
      <c r="H168">
        <v>11</v>
      </c>
      <c r="I168">
        <v>36</v>
      </c>
      <c r="J168">
        <v>343253</v>
      </c>
      <c r="K168">
        <v>95</v>
      </c>
      <c r="L168">
        <v>0</v>
      </c>
      <c r="M168">
        <v>1</v>
      </c>
      <c r="N168">
        <v>4</v>
      </c>
      <c r="O168">
        <v>1</v>
      </c>
      <c r="P168">
        <v>0</v>
      </c>
      <c r="Q168">
        <v>0</v>
      </c>
      <c r="R168">
        <v>65</v>
      </c>
      <c r="S168">
        <v>168</v>
      </c>
      <c r="T168">
        <v>23</v>
      </c>
      <c r="U168">
        <v>16</v>
      </c>
    </row>
    <row r="169" spans="1:21" x14ac:dyDescent="0.3">
      <c r="A169">
        <v>14</v>
      </c>
      <c r="B169">
        <v>13</v>
      </c>
      <c r="C169">
        <v>3</v>
      </c>
      <c r="D169">
        <v>3</v>
      </c>
      <c r="E169">
        <v>2</v>
      </c>
      <c r="F169">
        <v>155</v>
      </c>
      <c r="G169">
        <v>12</v>
      </c>
      <c r="H169">
        <v>14</v>
      </c>
      <c r="I169">
        <v>34</v>
      </c>
      <c r="J169">
        <v>343253</v>
      </c>
      <c r="K169">
        <v>95</v>
      </c>
      <c r="L169">
        <v>0</v>
      </c>
      <c r="M169">
        <v>1</v>
      </c>
      <c r="N169">
        <v>2</v>
      </c>
      <c r="O169">
        <v>1</v>
      </c>
      <c r="P169">
        <v>0</v>
      </c>
      <c r="Q169">
        <v>0</v>
      </c>
      <c r="R169">
        <v>95</v>
      </c>
      <c r="S169">
        <v>196</v>
      </c>
      <c r="T169">
        <v>25</v>
      </c>
      <c r="U169">
        <v>8</v>
      </c>
    </row>
    <row r="170" spans="1:21" x14ac:dyDescent="0.3">
      <c r="A170">
        <v>11</v>
      </c>
      <c r="B170">
        <v>6</v>
      </c>
      <c r="C170">
        <v>3</v>
      </c>
      <c r="D170">
        <v>5</v>
      </c>
      <c r="E170">
        <v>2</v>
      </c>
      <c r="F170">
        <v>289</v>
      </c>
      <c r="G170">
        <v>36</v>
      </c>
      <c r="H170">
        <v>13</v>
      </c>
      <c r="I170">
        <v>33</v>
      </c>
      <c r="J170">
        <v>343253</v>
      </c>
      <c r="K170">
        <v>95</v>
      </c>
      <c r="L170">
        <v>0</v>
      </c>
      <c r="M170">
        <v>1</v>
      </c>
      <c r="N170">
        <v>2</v>
      </c>
      <c r="O170">
        <v>1</v>
      </c>
      <c r="P170">
        <v>0</v>
      </c>
      <c r="Q170">
        <v>1</v>
      </c>
      <c r="R170">
        <v>90</v>
      </c>
      <c r="S170">
        <v>172</v>
      </c>
      <c r="T170">
        <v>30</v>
      </c>
      <c r="U170">
        <v>8</v>
      </c>
    </row>
    <row r="171" spans="1:21" x14ac:dyDescent="0.3">
      <c r="A171">
        <v>17</v>
      </c>
      <c r="B171">
        <v>8</v>
      </c>
      <c r="C171">
        <v>3</v>
      </c>
      <c r="D171">
        <v>5</v>
      </c>
      <c r="E171">
        <v>2</v>
      </c>
      <c r="F171">
        <v>179</v>
      </c>
      <c r="G171">
        <v>22</v>
      </c>
      <c r="H171">
        <v>17</v>
      </c>
      <c r="I171">
        <v>40</v>
      </c>
      <c r="J171">
        <v>343253</v>
      </c>
      <c r="K171">
        <v>95</v>
      </c>
      <c r="L171">
        <v>0</v>
      </c>
      <c r="M171">
        <v>2</v>
      </c>
      <c r="N171">
        <v>2</v>
      </c>
      <c r="O171">
        <v>0</v>
      </c>
      <c r="P171">
        <v>1</v>
      </c>
      <c r="Q171">
        <v>0</v>
      </c>
      <c r="R171">
        <v>63</v>
      </c>
      <c r="S171">
        <v>170</v>
      </c>
      <c r="T171">
        <v>22</v>
      </c>
      <c r="U171">
        <v>8</v>
      </c>
    </row>
    <row r="172" spans="1:21" x14ac:dyDescent="0.3">
      <c r="A172">
        <v>20</v>
      </c>
      <c r="B172">
        <v>28</v>
      </c>
      <c r="C172">
        <v>3</v>
      </c>
      <c r="D172">
        <v>6</v>
      </c>
      <c r="E172">
        <v>2</v>
      </c>
      <c r="F172">
        <v>260</v>
      </c>
      <c r="G172">
        <v>50</v>
      </c>
      <c r="H172">
        <v>11</v>
      </c>
      <c r="I172">
        <v>36</v>
      </c>
      <c r="J172">
        <v>343253</v>
      </c>
      <c r="K172">
        <v>95</v>
      </c>
      <c r="L172">
        <v>0</v>
      </c>
      <c r="M172">
        <v>1</v>
      </c>
      <c r="N172">
        <v>4</v>
      </c>
      <c r="O172">
        <v>1</v>
      </c>
      <c r="P172">
        <v>0</v>
      </c>
      <c r="Q172">
        <v>0</v>
      </c>
      <c r="R172">
        <v>65</v>
      </c>
      <c r="S172">
        <v>168</v>
      </c>
      <c r="T172">
        <v>23</v>
      </c>
      <c r="U172">
        <v>4</v>
      </c>
    </row>
    <row r="173" spans="1:21" x14ac:dyDescent="0.3">
      <c r="A173">
        <v>28</v>
      </c>
      <c r="B173">
        <v>23</v>
      </c>
      <c r="C173">
        <v>3</v>
      </c>
      <c r="D173">
        <v>6</v>
      </c>
      <c r="E173">
        <v>2</v>
      </c>
      <c r="F173">
        <v>225</v>
      </c>
      <c r="G173">
        <v>26</v>
      </c>
      <c r="H173">
        <v>9</v>
      </c>
      <c r="I173">
        <v>28</v>
      </c>
      <c r="J173">
        <v>343253</v>
      </c>
      <c r="K173">
        <v>95</v>
      </c>
      <c r="L173">
        <v>0</v>
      </c>
      <c r="M173">
        <v>1</v>
      </c>
      <c r="N173">
        <v>1</v>
      </c>
      <c r="O173">
        <v>0</v>
      </c>
      <c r="P173">
        <v>0</v>
      </c>
      <c r="Q173">
        <v>2</v>
      </c>
      <c r="R173">
        <v>69</v>
      </c>
      <c r="S173">
        <v>169</v>
      </c>
      <c r="T173">
        <v>24</v>
      </c>
      <c r="U173">
        <v>1</v>
      </c>
    </row>
    <row r="174" spans="1:21" x14ac:dyDescent="0.3">
      <c r="A174">
        <v>7</v>
      </c>
      <c r="B174">
        <v>14</v>
      </c>
      <c r="C174">
        <v>3</v>
      </c>
      <c r="D174">
        <v>2</v>
      </c>
      <c r="E174">
        <v>2</v>
      </c>
      <c r="F174">
        <v>279</v>
      </c>
      <c r="G174">
        <v>5</v>
      </c>
      <c r="H174">
        <v>14</v>
      </c>
      <c r="I174">
        <v>39</v>
      </c>
      <c r="J174">
        <v>343253</v>
      </c>
      <c r="K174">
        <v>95</v>
      </c>
      <c r="L174">
        <v>0</v>
      </c>
      <c r="M174">
        <v>1</v>
      </c>
      <c r="N174">
        <v>2</v>
      </c>
      <c r="O174">
        <v>1</v>
      </c>
      <c r="P174">
        <v>1</v>
      </c>
      <c r="Q174">
        <v>0</v>
      </c>
      <c r="R174">
        <v>68</v>
      </c>
      <c r="S174">
        <v>168</v>
      </c>
      <c r="T174">
        <v>24</v>
      </c>
      <c r="U174">
        <v>8</v>
      </c>
    </row>
    <row r="175" spans="1:21" x14ac:dyDescent="0.3">
      <c r="A175">
        <v>3</v>
      </c>
      <c r="B175">
        <v>13</v>
      </c>
      <c r="C175">
        <v>3</v>
      </c>
      <c r="D175">
        <v>3</v>
      </c>
      <c r="E175">
        <v>2</v>
      </c>
      <c r="F175">
        <v>179</v>
      </c>
      <c r="G175">
        <v>51</v>
      </c>
      <c r="H175">
        <v>18</v>
      </c>
      <c r="I175">
        <v>38</v>
      </c>
      <c r="J175">
        <v>343253</v>
      </c>
      <c r="K175">
        <v>95</v>
      </c>
      <c r="L175">
        <v>0</v>
      </c>
      <c r="M175">
        <v>1</v>
      </c>
      <c r="N175">
        <v>0</v>
      </c>
      <c r="O175">
        <v>1</v>
      </c>
      <c r="P175">
        <v>0</v>
      </c>
      <c r="Q175">
        <v>0</v>
      </c>
      <c r="R175">
        <v>89</v>
      </c>
      <c r="S175">
        <v>170</v>
      </c>
      <c r="T175">
        <v>31</v>
      </c>
      <c r="U175">
        <v>24</v>
      </c>
    </row>
    <row r="176" spans="1:21" x14ac:dyDescent="0.3">
      <c r="A176">
        <v>28</v>
      </c>
      <c r="B176">
        <v>23</v>
      </c>
      <c r="C176">
        <v>3</v>
      </c>
      <c r="D176">
        <v>4</v>
      </c>
      <c r="E176">
        <v>2</v>
      </c>
      <c r="F176">
        <v>225</v>
      </c>
      <c r="G176">
        <v>26</v>
      </c>
      <c r="H176">
        <v>9</v>
      </c>
      <c r="I176">
        <v>28</v>
      </c>
      <c r="J176">
        <v>343253</v>
      </c>
      <c r="K176">
        <v>95</v>
      </c>
      <c r="L176">
        <v>0</v>
      </c>
      <c r="M176">
        <v>1</v>
      </c>
      <c r="N176">
        <v>1</v>
      </c>
      <c r="O176">
        <v>0</v>
      </c>
      <c r="P176">
        <v>0</v>
      </c>
      <c r="Q176">
        <v>2</v>
      </c>
      <c r="R176">
        <v>69</v>
      </c>
      <c r="S176">
        <v>169</v>
      </c>
      <c r="T176">
        <v>24</v>
      </c>
      <c r="U176">
        <v>2</v>
      </c>
    </row>
    <row r="177" spans="1:21" x14ac:dyDescent="0.3">
      <c r="A177">
        <v>28</v>
      </c>
      <c r="B177">
        <v>11</v>
      </c>
      <c r="C177">
        <v>3</v>
      </c>
      <c r="D177">
        <v>2</v>
      </c>
      <c r="E177">
        <v>3</v>
      </c>
      <c r="F177">
        <v>225</v>
      </c>
      <c r="G177">
        <v>26</v>
      </c>
      <c r="H177">
        <v>9</v>
      </c>
      <c r="I177">
        <v>28</v>
      </c>
      <c r="J177">
        <v>343253</v>
      </c>
      <c r="K177">
        <v>95</v>
      </c>
      <c r="L177">
        <v>0</v>
      </c>
      <c r="M177">
        <v>1</v>
      </c>
      <c r="N177">
        <v>1</v>
      </c>
      <c r="O177">
        <v>0</v>
      </c>
      <c r="P177">
        <v>0</v>
      </c>
      <c r="Q177">
        <v>2</v>
      </c>
      <c r="R177">
        <v>69</v>
      </c>
      <c r="S177">
        <v>169</v>
      </c>
      <c r="T177">
        <v>24</v>
      </c>
      <c r="U177">
        <v>8</v>
      </c>
    </row>
    <row r="178" spans="1:21" x14ac:dyDescent="0.3">
      <c r="A178">
        <v>22</v>
      </c>
      <c r="B178">
        <v>13</v>
      </c>
      <c r="C178">
        <v>3</v>
      </c>
      <c r="D178">
        <v>2</v>
      </c>
      <c r="E178">
        <v>3</v>
      </c>
      <c r="F178">
        <v>179</v>
      </c>
      <c r="G178">
        <v>26</v>
      </c>
      <c r="H178">
        <v>9</v>
      </c>
      <c r="I178">
        <v>30</v>
      </c>
      <c r="J178">
        <v>343253</v>
      </c>
      <c r="K178">
        <v>95</v>
      </c>
      <c r="L178">
        <v>0</v>
      </c>
      <c r="M178">
        <v>3</v>
      </c>
      <c r="N178">
        <v>0</v>
      </c>
      <c r="O178">
        <v>0</v>
      </c>
      <c r="P178">
        <v>0</v>
      </c>
      <c r="Q178">
        <v>0</v>
      </c>
      <c r="R178">
        <v>56</v>
      </c>
      <c r="S178">
        <v>171</v>
      </c>
      <c r="T178">
        <v>19</v>
      </c>
      <c r="U178">
        <v>1</v>
      </c>
    </row>
    <row r="179" spans="1:21" x14ac:dyDescent="0.3">
      <c r="A179">
        <v>28</v>
      </c>
      <c r="B179">
        <v>11</v>
      </c>
      <c r="C179">
        <v>3</v>
      </c>
      <c r="D179">
        <v>3</v>
      </c>
      <c r="E179">
        <v>3</v>
      </c>
      <c r="F179">
        <v>225</v>
      </c>
      <c r="G179">
        <v>26</v>
      </c>
      <c r="H179">
        <v>9</v>
      </c>
      <c r="I179">
        <v>28</v>
      </c>
      <c r="J179">
        <v>343253</v>
      </c>
      <c r="K179">
        <v>95</v>
      </c>
      <c r="L179">
        <v>0</v>
      </c>
      <c r="M179">
        <v>1</v>
      </c>
      <c r="N179">
        <v>1</v>
      </c>
      <c r="O179">
        <v>0</v>
      </c>
      <c r="P179">
        <v>0</v>
      </c>
      <c r="Q179">
        <v>2</v>
      </c>
      <c r="R179">
        <v>69</v>
      </c>
      <c r="S179">
        <v>169</v>
      </c>
      <c r="T179">
        <v>24</v>
      </c>
      <c r="U179">
        <v>8</v>
      </c>
    </row>
    <row r="180" spans="1:21" x14ac:dyDescent="0.3">
      <c r="A180">
        <v>28</v>
      </c>
      <c r="B180">
        <v>11</v>
      </c>
      <c r="C180">
        <v>3</v>
      </c>
      <c r="D180">
        <v>4</v>
      </c>
      <c r="E180">
        <v>3</v>
      </c>
      <c r="F180">
        <v>225</v>
      </c>
      <c r="G180">
        <v>26</v>
      </c>
      <c r="H180">
        <v>9</v>
      </c>
      <c r="I180">
        <v>28</v>
      </c>
      <c r="J180">
        <v>343253</v>
      </c>
      <c r="K180">
        <v>95</v>
      </c>
      <c r="L180">
        <v>0</v>
      </c>
      <c r="M180">
        <v>1</v>
      </c>
      <c r="N180">
        <v>1</v>
      </c>
      <c r="O180">
        <v>0</v>
      </c>
      <c r="P180">
        <v>0</v>
      </c>
      <c r="Q180">
        <v>2</v>
      </c>
      <c r="R180">
        <v>69</v>
      </c>
      <c r="S180">
        <v>169</v>
      </c>
      <c r="T180">
        <v>24</v>
      </c>
      <c r="U180">
        <v>16</v>
      </c>
    </row>
    <row r="181" spans="1:21" x14ac:dyDescent="0.3">
      <c r="A181">
        <v>3</v>
      </c>
      <c r="B181">
        <v>13</v>
      </c>
      <c r="C181">
        <v>3</v>
      </c>
      <c r="D181">
        <v>4</v>
      </c>
      <c r="E181">
        <v>3</v>
      </c>
      <c r="F181">
        <v>179</v>
      </c>
      <c r="G181">
        <v>51</v>
      </c>
      <c r="H181">
        <v>18</v>
      </c>
      <c r="I181">
        <v>38</v>
      </c>
      <c r="J181">
        <v>343253</v>
      </c>
      <c r="K181">
        <v>95</v>
      </c>
      <c r="L181">
        <v>0</v>
      </c>
      <c r="M181">
        <v>1</v>
      </c>
      <c r="N181">
        <v>0</v>
      </c>
      <c r="O181">
        <v>1</v>
      </c>
      <c r="P181">
        <v>0</v>
      </c>
      <c r="Q181">
        <v>0</v>
      </c>
      <c r="R181">
        <v>89</v>
      </c>
      <c r="S181">
        <v>170</v>
      </c>
      <c r="T181">
        <v>31</v>
      </c>
      <c r="U181">
        <v>3</v>
      </c>
    </row>
    <row r="182" spans="1:21" x14ac:dyDescent="0.3">
      <c r="A182">
        <v>7</v>
      </c>
      <c r="B182">
        <v>14</v>
      </c>
      <c r="C182">
        <v>3</v>
      </c>
      <c r="D182">
        <v>5</v>
      </c>
      <c r="E182">
        <v>3</v>
      </c>
      <c r="F182">
        <v>279</v>
      </c>
      <c r="G182">
        <v>5</v>
      </c>
      <c r="H182">
        <v>14</v>
      </c>
      <c r="I182">
        <v>39</v>
      </c>
      <c r="J182">
        <v>343253</v>
      </c>
      <c r="K182">
        <v>95</v>
      </c>
      <c r="L182">
        <v>0</v>
      </c>
      <c r="M182">
        <v>1</v>
      </c>
      <c r="N182">
        <v>2</v>
      </c>
      <c r="O182">
        <v>1</v>
      </c>
      <c r="P182">
        <v>1</v>
      </c>
      <c r="Q182">
        <v>0</v>
      </c>
      <c r="R182">
        <v>68</v>
      </c>
      <c r="S182">
        <v>168</v>
      </c>
      <c r="T182">
        <v>24</v>
      </c>
      <c r="U182">
        <v>16</v>
      </c>
    </row>
    <row r="183" spans="1:21" x14ac:dyDescent="0.3">
      <c r="A183">
        <v>28</v>
      </c>
      <c r="B183">
        <v>28</v>
      </c>
      <c r="C183">
        <v>3</v>
      </c>
      <c r="D183">
        <v>6</v>
      </c>
      <c r="E183">
        <v>3</v>
      </c>
      <c r="F183">
        <v>225</v>
      </c>
      <c r="G183">
        <v>26</v>
      </c>
      <c r="H183">
        <v>9</v>
      </c>
      <c r="I183">
        <v>28</v>
      </c>
      <c r="J183">
        <v>343253</v>
      </c>
      <c r="K183">
        <v>95</v>
      </c>
      <c r="L183">
        <v>0</v>
      </c>
      <c r="M183">
        <v>1</v>
      </c>
      <c r="N183">
        <v>1</v>
      </c>
      <c r="O183">
        <v>0</v>
      </c>
      <c r="P183">
        <v>0</v>
      </c>
      <c r="Q183">
        <v>2</v>
      </c>
      <c r="R183">
        <v>69</v>
      </c>
      <c r="S183">
        <v>169</v>
      </c>
      <c r="T183">
        <v>24</v>
      </c>
      <c r="U183">
        <v>2</v>
      </c>
    </row>
    <row r="184" spans="1:21" x14ac:dyDescent="0.3">
      <c r="A184">
        <v>33</v>
      </c>
      <c r="B184">
        <v>14</v>
      </c>
      <c r="C184">
        <v>3</v>
      </c>
      <c r="D184">
        <v>6</v>
      </c>
      <c r="E184">
        <v>3</v>
      </c>
      <c r="F184">
        <v>248</v>
      </c>
      <c r="G184">
        <v>25</v>
      </c>
      <c r="H184">
        <v>14</v>
      </c>
      <c r="I184">
        <v>47</v>
      </c>
      <c r="J184">
        <v>343253</v>
      </c>
      <c r="K184">
        <v>95</v>
      </c>
      <c r="L184">
        <v>0</v>
      </c>
      <c r="M184">
        <v>1</v>
      </c>
      <c r="N184">
        <v>2</v>
      </c>
      <c r="O184">
        <v>0</v>
      </c>
      <c r="P184">
        <v>0</v>
      </c>
      <c r="Q184">
        <v>1</v>
      </c>
      <c r="R184">
        <v>86</v>
      </c>
      <c r="S184">
        <v>165</v>
      </c>
      <c r="T184">
        <v>32</v>
      </c>
      <c r="U184">
        <v>3</v>
      </c>
    </row>
    <row r="185" spans="1:21" x14ac:dyDescent="0.3">
      <c r="A185">
        <v>28</v>
      </c>
      <c r="B185">
        <v>28</v>
      </c>
      <c r="C185">
        <v>3</v>
      </c>
      <c r="D185">
        <v>2</v>
      </c>
      <c r="E185">
        <v>3</v>
      </c>
      <c r="F185">
        <v>225</v>
      </c>
      <c r="G185">
        <v>26</v>
      </c>
      <c r="H185">
        <v>9</v>
      </c>
      <c r="I185">
        <v>28</v>
      </c>
      <c r="J185">
        <v>343253</v>
      </c>
      <c r="K185">
        <v>95</v>
      </c>
      <c r="L185">
        <v>0</v>
      </c>
      <c r="M185">
        <v>1</v>
      </c>
      <c r="N185">
        <v>1</v>
      </c>
      <c r="O185">
        <v>0</v>
      </c>
      <c r="P185">
        <v>0</v>
      </c>
      <c r="Q185">
        <v>2</v>
      </c>
      <c r="R185">
        <v>69</v>
      </c>
      <c r="S185">
        <v>169</v>
      </c>
      <c r="T185">
        <v>24</v>
      </c>
      <c r="U185">
        <v>1</v>
      </c>
    </row>
    <row r="186" spans="1:21" x14ac:dyDescent="0.3">
      <c r="A186">
        <v>15</v>
      </c>
      <c r="B186">
        <v>28</v>
      </c>
      <c r="C186">
        <v>4</v>
      </c>
      <c r="D186">
        <v>4</v>
      </c>
      <c r="E186">
        <v>3</v>
      </c>
      <c r="F186">
        <v>291</v>
      </c>
      <c r="G186">
        <v>31</v>
      </c>
      <c r="H186">
        <v>12</v>
      </c>
      <c r="I186">
        <v>40</v>
      </c>
      <c r="J186">
        <v>326452</v>
      </c>
      <c r="K186">
        <v>96</v>
      </c>
      <c r="L186">
        <v>0</v>
      </c>
      <c r="M186">
        <v>1</v>
      </c>
      <c r="N186">
        <v>1</v>
      </c>
      <c r="O186">
        <v>1</v>
      </c>
      <c r="P186">
        <v>0</v>
      </c>
      <c r="Q186">
        <v>1</v>
      </c>
      <c r="R186">
        <v>73</v>
      </c>
      <c r="S186">
        <v>171</v>
      </c>
      <c r="T186">
        <v>25</v>
      </c>
      <c r="U186">
        <v>1</v>
      </c>
    </row>
    <row r="187" spans="1:21" x14ac:dyDescent="0.3">
      <c r="A187">
        <v>28</v>
      </c>
      <c r="B187">
        <v>23</v>
      </c>
      <c r="C187">
        <v>4</v>
      </c>
      <c r="D187">
        <v>4</v>
      </c>
      <c r="E187">
        <v>3</v>
      </c>
      <c r="F187">
        <v>225</v>
      </c>
      <c r="G187">
        <v>26</v>
      </c>
      <c r="H187">
        <v>9</v>
      </c>
      <c r="I187">
        <v>28</v>
      </c>
      <c r="J187">
        <v>326452</v>
      </c>
      <c r="K187">
        <v>96</v>
      </c>
      <c r="L187">
        <v>0</v>
      </c>
      <c r="M187">
        <v>1</v>
      </c>
      <c r="N187">
        <v>1</v>
      </c>
      <c r="O187">
        <v>0</v>
      </c>
      <c r="P187">
        <v>0</v>
      </c>
      <c r="Q187">
        <v>2</v>
      </c>
      <c r="R187">
        <v>69</v>
      </c>
      <c r="S187">
        <v>169</v>
      </c>
      <c r="T187">
        <v>24</v>
      </c>
      <c r="U187">
        <v>1</v>
      </c>
    </row>
    <row r="188" spans="1:21" x14ac:dyDescent="0.3">
      <c r="A188">
        <v>14</v>
      </c>
      <c r="B188">
        <v>28</v>
      </c>
      <c r="C188">
        <v>4</v>
      </c>
      <c r="D188">
        <v>3</v>
      </c>
      <c r="E188">
        <v>3</v>
      </c>
      <c r="F188">
        <v>155</v>
      </c>
      <c r="G188">
        <v>12</v>
      </c>
      <c r="H188">
        <v>14</v>
      </c>
      <c r="I188">
        <v>34</v>
      </c>
      <c r="J188">
        <v>326452</v>
      </c>
      <c r="K188">
        <v>96</v>
      </c>
      <c r="L188">
        <v>0</v>
      </c>
      <c r="M188">
        <v>1</v>
      </c>
      <c r="N188">
        <v>2</v>
      </c>
      <c r="O188">
        <v>1</v>
      </c>
      <c r="P188">
        <v>0</v>
      </c>
      <c r="Q188">
        <v>0</v>
      </c>
      <c r="R188">
        <v>95</v>
      </c>
      <c r="S188">
        <v>196</v>
      </c>
      <c r="T188">
        <v>25</v>
      </c>
      <c r="U188">
        <v>1</v>
      </c>
    </row>
    <row r="189" spans="1:21" x14ac:dyDescent="0.3">
      <c r="A189">
        <v>24</v>
      </c>
      <c r="B189">
        <v>13</v>
      </c>
      <c r="C189">
        <v>4</v>
      </c>
      <c r="D189">
        <v>4</v>
      </c>
      <c r="E189">
        <v>3</v>
      </c>
      <c r="F189">
        <v>246</v>
      </c>
      <c r="G189">
        <v>25</v>
      </c>
      <c r="H189">
        <v>16</v>
      </c>
      <c r="I189">
        <v>41</v>
      </c>
      <c r="J189">
        <v>326452</v>
      </c>
      <c r="K189">
        <v>96</v>
      </c>
      <c r="L189">
        <v>0</v>
      </c>
      <c r="M189">
        <v>1</v>
      </c>
      <c r="N189">
        <v>0</v>
      </c>
      <c r="O189">
        <v>1</v>
      </c>
      <c r="P189">
        <v>0</v>
      </c>
      <c r="Q189">
        <v>0</v>
      </c>
      <c r="R189">
        <v>67</v>
      </c>
      <c r="S189">
        <v>170</v>
      </c>
      <c r="T189">
        <v>23</v>
      </c>
      <c r="U189">
        <v>24</v>
      </c>
    </row>
    <row r="190" spans="1:21" x14ac:dyDescent="0.3">
      <c r="A190">
        <v>14</v>
      </c>
      <c r="B190">
        <v>23</v>
      </c>
      <c r="C190">
        <v>4</v>
      </c>
      <c r="D190">
        <v>5</v>
      </c>
      <c r="E190">
        <v>3</v>
      </c>
      <c r="F190">
        <v>155</v>
      </c>
      <c r="G190">
        <v>12</v>
      </c>
      <c r="H190">
        <v>14</v>
      </c>
      <c r="I190">
        <v>34</v>
      </c>
      <c r="J190">
        <v>326452</v>
      </c>
      <c r="K190">
        <v>96</v>
      </c>
      <c r="L190">
        <v>0</v>
      </c>
      <c r="M190">
        <v>1</v>
      </c>
      <c r="N190">
        <v>2</v>
      </c>
      <c r="O190">
        <v>1</v>
      </c>
      <c r="P190">
        <v>0</v>
      </c>
      <c r="Q190">
        <v>0</v>
      </c>
      <c r="R190">
        <v>95</v>
      </c>
      <c r="S190">
        <v>196</v>
      </c>
      <c r="T190">
        <v>25</v>
      </c>
      <c r="U190">
        <v>1</v>
      </c>
    </row>
    <row r="191" spans="1:21" x14ac:dyDescent="0.3">
      <c r="A191">
        <v>28</v>
      </c>
      <c r="B191">
        <v>28</v>
      </c>
      <c r="C191">
        <v>4</v>
      </c>
      <c r="D191">
        <v>6</v>
      </c>
      <c r="E191">
        <v>3</v>
      </c>
      <c r="F191">
        <v>225</v>
      </c>
      <c r="G191">
        <v>26</v>
      </c>
      <c r="H191">
        <v>9</v>
      </c>
      <c r="I191">
        <v>28</v>
      </c>
      <c r="J191">
        <v>326452</v>
      </c>
      <c r="K191">
        <v>96</v>
      </c>
      <c r="L191">
        <v>0</v>
      </c>
      <c r="M191">
        <v>1</v>
      </c>
      <c r="N191">
        <v>1</v>
      </c>
      <c r="O191">
        <v>0</v>
      </c>
      <c r="P191">
        <v>0</v>
      </c>
      <c r="Q191">
        <v>2</v>
      </c>
      <c r="R191">
        <v>69</v>
      </c>
      <c r="S191">
        <v>169</v>
      </c>
      <c r="T191">
        <v>24</v>
      </c>
      <c r="U191">
        <v>2</v>
      </c>
    </row>
    <row r="192" spans="1:21" x14ac:dyDescent="0.3">
      <c r="A192">
        <v>20</v>
      </c>
      <c r="B192">
        <v>28</v>
      </c>
      <c r="C192">
        <v>4</v>
      </c>
      <c r="D192">
        <v>6</v>
      </c>
      <c r="E192">
        <v>3</v>
      </c>
      <c r="F192">
        <v>260</v>
      </c>
      <c r="G192">
        <v>50</v>
      </c>
      <c r="H192">
        <v>11</v>
      </c>
      <c r="I192">
        <v>36</v>
      </c>
      <c r="J192">
        <v>326452</v>
      </c>
      <c r="K192">
        <v>96</v>
      </c>
      <c r="L192">
        <v>0</v>
      </c>
      <c r="M192">
        <v>1</v>
      </c>
      <c r="N192">
        <v>4</v>
      </c>
      <c r="O192">
        <v>1</v>
      </c>
      <c r="P192">
        <v>0</v>
      </c>
      <c r="Q192">
        <v>0</v>
      </c>
      <c r="R192">
        <v>65</v>
      </c>
      <c r="S192">
        <v>168</v>
      </c>
      <c r="T192">
        <v>23</v>
      </c>
      <c r="U192">
        <v>4</v>
      </c>
    </row>
    <row r="193" spans="1:21" x14ac:dyDescent="0.3">
      <c r="A193">
        <v>3</v>
      </c>
      <c r="B193">
        <v>13</v>
      </c>
      <c r="C193">
        <v>4</v>
      </c>
      <c r="D193">
        <v>4</v>
      </c>
      <c r="E193">
        <v>3</v>
      </c>
      <c r="F193">
        <v>179</v>
      </c>
      <c r="G193">
        <v>51</v>
      </c>
      <c r="H193">
        <v>18</v>
      </c>
      <c r="I193">
        <v>38</v>
      </c>
      <c r="J193">
        <v>326452</v>
      </c>
      <c r="K193">
        <v>96</v>
      </c>
      <c r="L193">
        <v>0</v>
      </c>
      <c r="M193">
        <v>1</v>
      </c>
      <c r="N193">
        <v>0</v>
      </c>
      <c r="O193">
        <v>1</v>
      </c>
      <c r="P193">
        <v>0</v>
      </c>
      <c r="Q193">
        <v>0</v>
      </c>
      <c r="R193">
        <v>89</v>
      </c>
      <c r="S193">
        <v>170</v>
      </c>
      <c r="T193">
        <v>31</v>
      </c>
      <c r="U193">
        <v>24</v>
      </c>
    </row>
    <row r="194" spans="1:21" x14ac:dyDescent="0.3">
      <c r="A194">
        <v>36</v>
      </c>
      <c r="B194">
        <v>23</v>
      </c>
      <c r="C194">
        <v>4</v>
      </c>
      <c r="D194">
        <v>5</v>
      </c>
      <c r="E194">
        <v>3</v>
      </c>
      <c r="F194">
        <v>118</v>
      </c>
      <c r="G194">
        <v>13</v>
      </c>
      <c r="H194">
        <v>18</v>
      </c>
      <c r="I194">
        <v>50</v>
      </c>
      <c r="J194">
        <v>326452</v>
      </c>
      <c r="K194">
        <v>96</v>
      </c>
      <c r="L194">
        <v>0</v>
      </c>
      <c r="M194">
        <v>1</v>
      </c>
      <c r="N194">
        <v>1</v>
      </c>
      <c r="O194">
        <v>1</v>
      </c>
      <c r="P194">
        <v>0</v>
      </c>
      <c r="Q194">
        <v>0</v>
      </c>
      <c r="R194">
        <v>98</v>
      </c>
      <c r="S194">
        <v>178</v>
      </c>
      <c r="T194">
        <v>31</v>
      </c>
      <c r="U194">
        <v>1</v>
      </c>
    </row>
    <row r="195" spans="1:21" x14ac:dyDescent="0.3">
      <c r="A195">
        <v>15</v>
      </c>
      <c r="B195">
        <v>23</v>
      </c>
      <c r="C195">
        <v>4</v>
      </c>
      <c r="D195">
        <v>6</v>
      </c>
      <c r="E195">
        <v>3</v>
      </c>
      <c r="F195">
        <v>291</v>
      </c>
      <c r="G195">
        <v>31</v>
      </c>
      <c r="H195">
        <v>12</v>
      </c>
      <c r="I195">
        <v>40</v>
      </c>
      <c r="J195">
        <v>326452</v>
      </c>
      <c r="K195">
        <v>96</v>
      </c>
      <c r="L195">
        <v>0</v>
      </c>
      <c r="M195">
        <v>1</v>
      </c>
      <c r="N195">
        <v>1</v>
      </c>
      <c r="O195">
        <v>1</v>
      </c>
      <c r="P195">
        <v>0</v>
      </c>
      <c r="Q195">
        <v>1</v>
      </c>
      <c r="R195">
        <v>73</v>
      </c>
      <c r="S195">
        <v>171</v>
      </c>
      <c r="T195">
        <v>25</v>
      </c>
      <c r="U195">
        <v>3</v>
      </c>
    </row>
    <row r="196" spans="1:21" x14ac:dyDescent="0.3">
      <c r="A196">
        <v>24</v>
      </c>
      <c r="B196">
        <v>14</v>
      </c>
      <c r="C196">
        <v>4</v>
      </c>
      <c r="D196">
        <v>6</v>
      </c>
      <c r="E196">
        <v>3</v>
      </c>
      <c r="F196">
        <v>246</v>
      </c>
      <c r="G196">
        <v>25</v>
      </c>
      <c r="H196">
        <v>16</v>
      </c>
      <c r="I196">
        <v>41</v>
      </c>
      <c r="J196">
        <v>326452</v>
      </c>
      <c r="K196">
        <v>96</v>
      </c>
      <c r="L196">
        <v>0</v>
      </c>
      <c r="M196">
        <v>1</v>
      </c>
      <c r="N196">
        <v>0</v>
      </c>
      <c r="O196">
        <v>1</v>
      </c>
      <c r="P196">
        <v>0</v>
      </c>
      <c r="Q196">
        <v>0</v>
      </c>
      <c r="R196">
        <v>67</v>
      </c>
      <c r="S196">
        <v>170</v>
      </c>
      <c r="T196">
        <v>23</v>
      </c>
      <c r="U196">
        <v>8</v>
      </c>
    </row>
    <row r="197" spans="1:21" x14ac:dyDescent="0.3">
      <c r="A197">
        <v>15</v>
      </c>
      <c r="B197">
        <v>28</v>
      </c>
      <c r="C197">
        <v>4</v>
      </c>
      <c r="D197">
        <v>6</v>
      </c>
      <c r="E197">
        <v>3</v>
      </c>
      <c r="F197">
        <v>291</v>
      </c>
      <c r="G197">
        <v>31</v>
      </c>
      <c r="H197">
        <v>12</v>
      </c>
      <c r="I197">
        <v>40</v>
      </c>
      <c r="J197">
        <v>326452</v>
      </c>
      <c r="K197">
        <v>96</v>
      </c>
      <c r="L197">
        <v>0</v>
      </c>
      <c r="M197">
        <v>1</v>
      </c>
      <c r="N197">
        <v>1</v>
      </c>
      <c r="O197">
        <v>1</v>
      </c>
      <c r="P197">
        <v>0</v>
      </c>
      <c r="Q197">
        <v>1</v>
      </c>
      <c r="R197">
        <v>73</v>
      </c>
      <c r="S197">
        <v>171</v>
      </c>
      <c r="T197">
        <v>25</v>
      </c>
      <c r="U197">
        <v>1</v>
      </c>
    </row>
    <row r="198" spans="1:21" x14ac:dyDescent="0.3">
      <c r="A198">
        <v>33</v>
      </c>
      <c r="B198">
        <v>28</v>
      </c>
      <c r="C198">
        <v>4</v>
      </c>
      <c r="D198">
        <v>6</v>
      </c>
      <c r="E198">
        <v>3</v>
      </c>
      <c r="F198">
        <v>248</v>
      </c>
      <c r="G198">
        <v>25</v>
      </c>
      <c r="H198">
        <v>14</v>
      </c>
      <c r="I198">
        <v>47</v>
      </c>
      <c r="J198">
        <v>326452</v>
      </c>
      <c r="K198">
        <v>96</v>
      </c>
      <c r="L198">
        <v>0</v>
      </c>
      <c r="M198">
        <v>1</v>
      </c>
      <c r="N198">
        <v>2</v>
      </c>
      <c r="O198">
        <v>0</v>
      </c>
      <c r="P198">
        <v>0</v>
      </c>
      <c r="Q198">
        <v>1</v>
      </c>
      <c r="R198">
        <v>86</v>
      </c>
      <c r="S198">
        <v>165</v>
      </c>
      <c r="T198">
        <v>32</v>
      </c>
      <c r="U198">
        <v>8</v>
      </c>
    </row>
    <row r="199" spans="1:21" x14ac:dyDescent="0.3">
      <c r="A199">
        <v>20</v>
      </c>
      <c r="B199">
        <v>19</v>
      </c>
      <c r="C199">
        <v>4</v>
      </c>
      <c r="D199">
        <v>6</v>
      </c>
      <c r="E199">
        <v>3</v>
      </c>
      <c r="F199">
        <v>260</v>
      </c>
      <c r="G199">
        <v>50</v>
      </c>
      <c r="H199">
        <v>11</v>
      </c>
      <c r="I199">
        <v>36</v>
      </c>
      <c r="J199">
        <v>326452</v>
      </c>
      <c r="K199">
        <v>96</v>
      </c>
      <c r="L199">
        <v>0</v>
      </c>
      <c r="M199">
        <v>1</v>
      </c>
      <c r="N199">
        <v>4</v>
      </c>
      <c r="O199">
        <v>1</v>
      </c>
      <c r="P199">
        <v>0</v>
      </c>
      <c r="Q199">
        <v>0</v>
      </c>
      <c r="R199">
        <v>65</v>
      </c>
      <c r="S199">
        <v>168</v>
      </c>
      <c r="T199">
        <v>23</v>
      </c>
      <c r="U199">
        <v>56</v>
      </c>
    </row>
    <row r="200" spans="1:21" x14ac:dyDescent="0.3">
      <c r="A200">
        <v>11</v>
      </c>
      <c r="B200">
        <v>19</v>
      </c>
      <c r="C200">
        <v>4</v>
      </c>
      <c r="D200">
        <v>3</v>
      </c>
      <c r="E200">
        <v>3</v>
      </c>
      <c r="F200">
        <v>289</v>
      </c>
      <c r="G200">
        <v>36</v>
      </c>
      <c r="H200">
        <v>13</v>
      </c>
      <c r="I200">
        <v>33</v>
      </c>
      <c r="J200">
        <v>326452</v>
      </c>
      <c r="K200">
        <v>96</v>
      </c>
      <c r="L200">
        <v>0</v>
      </c>
      <c r="M200">
        <v>1</v>
      </c>
      <c r="N200">
        <v>2</v>
      </c>
      <c r="O200">
        <v>1</v>
      </c>
      <c r="P200">
        <v>0</v>
      </c>
      <c r="Q200">
        <v>1</v>
      </c>
      <c r="R200">
        <v>90</v>
      </c>
      <c r="S200">
        <v>172</v>
      </c>
      <c r="T200">
        <v>30</v>
      </c>
      <c r="U200">
        <v>8</v>
      </c>
    </row>
    <row r="201" spans="1:21" x14ac:dyDescent="0.3">
      <c r="A201">
        <v>14</v>
      </c>
      <c r="B201">
        <v>12</v>
      </c>
      <c r="C201">
        <v>4</v>
      </c>
      <c r="D201">
        <v>4</v>
      </c>
      <c r="E201">
        <v>3</v>
      </c>
      <c r="F201">
        <v>155</v>
      </c>
      <c r="G201">
        <v>12</v>
      </c>
      <c r="H201">
        <v>14</v>
      </c>
      <c r="I201">
        <v>34</v>
      </c>
      <c r="J201">
        <v>326452</v>
      </c>
      <c r="K201">
        <v>96</v>
      </c>
      <c r="L201">
        <v>0</v>
      </c>
      <c r="M201">
        <v>1</v>
      </c>
      <c r="N201">
        <v>2</v>
      </c>
      <c r="O201">
        <v>1</v>
      </c>
      <c r="P201">
        <v>0</v>
      </c>
      <c r="Q201">
        <v>0</v>
      </c>
      <c r="R201">
        <v>95</v>
      </c>
      <c r="S201">
        <v>196</v>
      </c>
      <c r="T201">
        <v>25</v>
      </c>
      <c r="U201">
        <v>24</v>
      </c>
    </row>
    <row r="202" spans="1:21" x14ac:dyDescent="0.3">
      <c r="A202">
        <v>23</v>
      </c>
      <c r="B202">
        <v>19</v>
      </c>
      <c r="C202">
        <v>4</v>
      </c>
      <c r="D202">
        <v>4</v>
      </c>
      <c r="E202">
        <v>3</v>
      </c>
      <c r="F202">
        <v>378</v>
      </c>
      <c r="G202">
        <v>49</v>
      </c>
      <c r="H202">
        <v>11</v>
      </c>
      <c r="I202">
        <v>36</v>
      </c>
      <c r="J202">
        <v>326452</v>
      </c>
      <c r="K202">
        <v>96</v>
      </c>
      <c r="L202">
        <v>0</v>
      </c>
      <c r="M202">
        <v>1</v>
      </c>
      <c r="N202">
        <v>2</v>
      </c>
      <c r="O202">
        <v>0</v>
      </c>
      <c r="P202">
        <v>1</v>
      </c>
      <c r="Q202">
        <v>4</v>
      </c>
      <c r="R202">
        <v>65</v>
      </c>
      <c r="S202">
        <v>174</v>
      </c>
      <c r="T202">
        <v>21</v>
      </c>
      <c r="U202">
        <v>8</v>
      </c>
    </row>
    <row r="203" spans="1:21" x14ac:dyDescent="0.3">
      <c r="A203">
        <v>11</v>
      </c>
      <c r="B203">
        <v>13</v>
      </c>
      <c r="C203">
        <v>4</v>
      </c>
      <c r="D203">
        <v>5</v>
      </c>
      <c r="E203">
        <v>3</v>
      </c>
      <c r="F203">
        <v>289</v>
      </c>
      <c r="G203">
        <v>36</v>
      </c>
      <c r="H203">
        <v>13</v>
      </c>
      <c r="I203">
        <v>33</v>
      </c>
      <c r="J203">
        <v>326452</v>
      </c>
      <c r="K203">
        <v>96</v>
      </c>
      <c r="L203">
        <v>0</v>
      </c>
      <c r="M203">
        <v>1</v>
      </c>
      <c r="N203">
        <v>2</v>
      </c>
      <c r="O203">
        <v>1</v>
      </c>
      <c r="P203">
        <v>0</v>
      </c>
      <c r="Q203">
        <v>1</v>
      </c>
      <c r="R203">
        <v>90</v>
      </c>
      <c r="S203">
        <v>172</v>
      </c>
      <c r="T203">
        <v>30</v>
      </c>
      <c r="U203">
        <v>16</v>
      </c>
    </row>
    <row r="204" spans="1:21" x14ac:dyDescent="0.3">
      <c r="A204">
        <v>1</v>
      </c>
      <c r="B204">
        <v>7</v>
      </c>
      <c r="C204">
        <v>4</v>
      </c>
      <c r="D204">
        <v>6</v>
      </c>
      <c r="E204">
        <v>3</v>
      </c>
      <c r="F204">
        <v>235</v>
      </c>
      <c r="G204">
        <v>11</v>
      </c>
      <c r="H204">
        <v>14</v>
      </c>
      <c r="I204">
        <v>37</v>
      </c>
      <c r="J204">
        <v>326452</v>
      </c>
      <c r="K204">
        <v>96</v>
      </c>
      <c r="L204">
        <v>0</v>
      </c>
      <c r="M204">
        <v>3</v>
      </c>
      <c r="N204">
        <v>1</v>
      </c>
      <c r="O204">
        <v>0</v>
      </c>
      <c r="P204">
        <v>0</v>
      </c>
      <c r="Q204">
        <v>1</v>
      </c>
      <c r="R204">
        <v>88</v>
      </c>
      <c r="S204">
        <v>172</v>
      </c>
      <c r="T204">
        <v>29</v>
      </c>
      <c r="U204">
        <v>3</v>
      </c>
    </row>
    <row r="205" spans="1:21" x14ac:dyDescent="0.3">
      <c r="A205">
        <v>2</v>
      </c>
      <c r="B205">
        <v>0</v>
      </c>
      <c r="C205">
        <v>4</v>
      </c>
      <c r="D205">
        <v>2</v>
      </c>
      <c r="E205">
        <v>3</v>
      </c>
      <c r="F205">
        <v>235</v>
      </c>
      <c r="G205">
        <v>29</v>
      </c>
      <c r="H205">
        <v>12</v>
      </c>
      <c r="I205">
        <v>48</v>
      </c>
      <c r="J205">
        <v>326452</v>
      </c>
      <c r="K205">
        <v>96</v>
      </c>
      <c r="L205">
        <v>1</v>
      </c>
      <c r="M205">
        <v>1</v>
      </c>
      <c r="N205">
        <v>1</v>
      </c>
      <c r="O205">
        <v>0</v>
      </c>
      <c r="P205">
        <v>1</v>
      </c>
      <c r="Q205">
        <v>5</v>
      </c>
      <c r="R205">
        <v>88</v>
      </c>
      <c r="S205">
        <v>163</v>
      </c>
      <c r="T205">
        <v>33</v>
      </c>
      <c r="U205">
        <v>0</v>
      </c>
    </row>
    <row r="206" spans="1:21" x14ac:dyDescent="0.3">
      <c r="A206">
        <v>11</v>
      </c>
      <c r="B206">
        <v>13</v>
      </c>
      <c r="C206">
        <v>5</v>
      </c>
      <c r="D206">
        <v>4</v>
      </c>
      <c r="E206">
        <v>3</v>
      </c>
      <c r="F206">
        <v>289</v>
      </c>
      <c r="G206">
        <v>36</v>
      </c>
      <c r="H206">
        <v>13</v>
      </c>
      <c r="I206">
        <v>33</v>
      </c>
      <c r="J206">
        <v>378884</v>
      </c>
      <c r="K206">
        <v>92</v>
      </c>
      <c r="L206">
        <v>0</v>
      </c>
      <c r="M206">
        <v>1</v>
      </c>
      <c r="N206">
        <v>2</v>
      </c>
      <c r="O206">
        <v>1</v>
      </c>
      <c r="P206">
        <v>0</v>
      </c>
      <c r="Q206">
        <v>1</v>
      </c>
      <c r="R206">
        <v>90</v>
      </c>
      <c r="S206">
        <v>172</v>
      </c>
      <c r="T206">
        <v>30</v>
      </c>
      <c r="U206">
        <v>8</v>
      </c>
    </row>
    <row r="207" spans="1:21" x14ac:dyDescent="0.3">
      <c r="A207">
        <v>14</v>
      </c>
      <c r="B207">
        <v>28</v>
      </c>
      <c r="C207">
        <v>5</v>
      </c>
      <c r="D207">
        <v>5</v>
      </c>
      <c r="E207">
        <v>3</v>
      </c>
      <c r="F207">
        <v>155</v>
      </c>
      <c r="G207">
        <v>12</v>
      </c>
      <c r="H207">
        <v>14</v>
      </c>
      <c r="I207">
        <v>34</v>
      </c>
      <c r="J207">
        <v>378884</v>
      </c>
      <c r="K207">
        <v>92</v>
      </c>
      <c r="L207">
        <v>0</v>
      </c>
      <c r="M207">
        <v>1</v>
      </c>
      <c r="N207">
        <v>2</v>
      </c>
      <c r="O207">
        <v>1</v>
      </c>
      <c r="P207">
        <v>0</v>
      </c>
      <c r="Q207">
        <v>0</v>
      </c>
      <c r="R207">
        <v>95</v>
      </c>
      <c r="S207">
        <v>196</v>
      </c>
      <c r="T207">
        <v>25</v>
      </c>
      <c r="U207">
        <v>2</v>
      </c>
    </row>
    <row r="208" spans="1:21" x14ac:dyDescent="0.3">
      <c r="A208">
        <v>14</v>
      </c>
      <c r="B208">
        <v>28</v>
      </c>
      <c r="C208">
        <v>5</v>
      </c>
      <c r="D208">
        <v>2</v>
      </c>
      <c r="E208">
        <v>3</v>
      </c>
      <c r="F208">
        <v>155</v>
      </c>
      <c r="G208">
        <v>12</v>
      </c>
      <c r="H208">
        <v>14</v>
      </c>
      <c r="I208">
        <v>34</v>
      </c>
      <c r="J208">
        <v>378884</v>
      </c>
      <c r="K208">
        <v>92</v>
      </c>
      <c r="L208">
        <v>0</v>
      </c>
      <c r="M208">
        <v>1</v>
      </c>
      <c r="N208">
        <v>2</v>
      </c>
      <c r="O208">
        <v>1</v>
      </c>
      <c r="P208">
        <v>0</v>
      </c>
      <c r="Q208">
        <v>0</v>
      </c>
      <c r="R208">
        <v>95</v>
      </c>
      <c r="S208">
        <v>196</v>
      </c>
      <c r="T208">
        <v>25</v>
      </c>
      <c r="U208">
        <v>1</v>
      </c>
    </row>
    <row r="209" spans="1:21" x14ac:dyDescent="0.3">
      <c r="A209">
        <v>3</v>
      </c>
      <c r="B209">
        <v>18</v>
      </c>
      <c r="C209">
        <v>5</v>
      </c>
      <c r="D209">
        <v>3</v>
      </c>
      <c r="E209">
        <v>3</v>
      </c>
      <c r="F209">
        <v>179</v>
      </c>
      <c r="G209">
        <v>51</v>
      </c>
      <c r="H209">
        <v>18</v>
      </c>
      <c r="I209">
        <v>38</v>
      </c>
      <c r="J209">
        <v>378884</v>
      </c>
      <c r="K209">
        <v>92</v>
      </c>
      <c r="L209">
        <v>0</v>
      </c>
      <c r="M209">
        <v>1</v>
      </c>
      <c r="N209">
        <v>0</v>
      </c>
      <c r="O209">
        <v>1</v>
      </c>
      <c r="P209">
        <v>0</v>
      </c>
      <c r="Q209">
        <v>0</v>
      </c>
      <c r="R209">
        <v>89</v>
      </c>
      <c r="S209">
        <v>170</v>
      </c>
      <c r="T209">
        <v>31</v>
      </c>
      <c r="U209">
        <v>8</v>
      </c>
    </row>
    <row r="210" spans="1:21" x14ac:dyDescent="0.3">
      <c r="A210">
        <v>28</v>
      </c>
      <c r="B210">
        <v>19</v>
      </c>
      <c r="C210">
        <v>5</v>
      </c>
      <c r="D210">
        <v>3</v>
      </c>
      <c r="E210">
        <v>3</v>
      </c>
      <c r="F210">
        <v>225</v>
      </c>
      <c r="G210">
        <v>26</v>
      </c>
      <c r="H210">
        <v>9</v>
      </c>
      <c r="I210">
        <v>28</v>
      </c>
      <c r="J210">
        <v>378884</v>
      </c>
      <c r="K210">
        <v>92</v>
      </c>
      <c r="L210">
        <v>0</v>
      </c>
      <c r="M210">
        <v>1</v>
      </c>
      <c r="N210">
        <v>1</v>
      </c>
      <c r="O210">
        <v>0</v>
      </c>
      <c r="P210">
        <v>0</v>
      </c>
      <c r="Q210">
        <v>2</v>
      </c>
      <c r="R210">
        <v>69</v>
      </c>
      <c r="S210">
        <v>169</v>
      </c>
      <c r="T210">
        <v>24</v>
      </c>
      <c r="U210">
        <v>8</v>
      </c>
    </row>
    <row r="211" spans="1:21" x14ac:dyDescent="0.3">
      <c r="A211">
        <v>27</v>
      </c>
      <c r="B211">
        <v>7</v>
      </c>
      <c r="C211">
        <v>5</v>
      </c>
      <c r="D211">
        <v>4</v>
      </c>
      <c r="E211">
        <v>3</v>
      </c>
      <c r="F211">
        <v>184</v>
      </c>
      <c r="G211">
        <v>42</v>
      </c>
      <c r="H211">
        <v>7</v>
      </c>
      <c r="I211">
        <v>27</v>
      </c>
      <c r="J211">
        <v>378884</v>
      </c>
      <c r="K211">
        <v>92</v>
      </c>
      <c r="L211">
        <v>0</v>
      </c>
      <c r="M211">
        <v>1</v>
      </c>
      <c r="N211">
        <v>0</v>
      </c>
      <c r="O211">
        <v>0</v>
      </c>
      <c r="P211">
        <v>0</v>
      </c>
      <c r="Q211">
        <v>0</v>
      </c>
      <c r="R211">
        <v>58</v>
      </c>
      <c r="S211">
        <v>167</v>
      </c>
      <c r="T211">
        <v>21</v>
      </c>
      <c r="U211">
        <v>4</v>
      </c>
    </row>
    <row r="212" spans="1:21" x14ac:dyDescent="0.3">
      <c r="A212">
        <v>14</v>
      </c>
      <c r="B212">
        <v>28</v>
      </c>
      <c r="C212">
        <v>5</v>
      </c>
      <c r="D212">
        <v>2</v>
      </c>
      <c r="E212">
        <v>3</v>
      </c>
      <c r="F212">
        <v>155</v>
      </c>
      <c r="G212">
        <v>12</v>
      </c>
      <c r="H212">
        <v>14</v>
      </c>
      <c r="I212">
        <v>34</v>
      </c>
      <c r="J212">
        <v>378884</v>
      </c>
      <c r="K212">
        <v>92</v>
      </c>
      <c r="L212">
        <v>0</v>
      </c>
      <c r="M212">
        <v>1</v>
      </c>
      <c r="N212">
        <v>2</v>
      </c>
      <c r="O212">
        <v>1</v>
      </c>
      <c r="P212">
        <v>0</v>
      </c>
      <c r="Q212">
        <v>0</v>
      </c>
      <c r="R212">
        <v>95</v>
      </c>
      <c r="S212">
        <v>196</v>
      </c>
      <c r="T212">
        <v>25</v>
      </c>
      <c r="U212">
        <v>2</v>
      </c>
    </row>
    <row r="213" spans="1:21" x14ac:dyDescent="0.3">
      <c r="A213">
        <v>3</v>
      </c>
      <c r="B213">
        <v>12</v>
      </c>
      <c r="C213">
        <v>5</v>
      </c>
      <c r="D213">
        <v>3</v>
      </c>
      <c r="E213">
        <v>3</v>
      </c>
      <c r="F213">
        <v>179</v>
      </c>
      <c r="G213">
        <v>51</v>
      </c>
      <c r="H213">
        <v>18</v>
      </c>
      <c r="I213">
        <v>38</v>
      </c>
      <c r="J213">
        <v>378884</v>
      </c>
      <c r="K213">
        <v>92</v>
      </c>
      <c r="L213">
        <v>0</v>
      </c>
      <c r="M213">
        <v>1</v>
      </c>
      <c r="N213">
        <v>0</v>
      </c>
      <c r="O213">
        <v>1</v>
      </c>
      <c r="P213">
        <v>0</v>
      </c>
      <c r="Q213">
        <v>0</v>
      </c>
      <c r="R213">
        <v>89</v>
      </c>
      <c r="S213">
        <v>170</v>
      </c>
      <c r="T213">
        <v>31</v>
      </c>
      <c r="U213">
        <v>1</v>
      </c>
    </row>
    <row r="214" spans="1:21" x14ac:dyDescent="0.3">
      <c r="A214">
        <v>11</v>
      </c>
      <c r="B214">
        <v>13</v>
      </c>
      <c r="C214">
        <v>5</v>
      </c>
      <c r="D214">
        <v>4</v>
      </c>
      <c r="E214">
        <v>3</v>
      </c>
      <c r="F214">
        <v>289</v>
      </c>
      <c r="G214">
        <v>36</v>
      </c>
      <c r="H214">
        <v>13</v>
      </c>
      <c r="I214">
        <v>33</v>
      </c>
      <c r="J214">
        <v>378884</v>
      </c>
      <c r="K214">
        <v>92</v>
      </c>
      <c r="L214">
        <v>0</v>
      </c>
      <c r="M214">
        <v>1</v>
      </c>
      <c r="N214">
        <v>2</v>
      </c>
      <c r="O214">
        <v>1</v>
      </c>
      <c r="P214">
        <v>0</v>
      </c>
      <c r="Q214">
        <v>1</v>
      </c>
      <c r="R214">
        <v>90</v>
      </c>
      <c r="S214">
        <v>172</v>
      </c>
      <c r="T214">
        <v>30</v>
      </c>
      <c r="U214">
        <v>24</v>
      </c>
    </row>
    <row r="215" spans="1:21" x14ac:dyDescent="0.3">
      <c r="A215">
        <v>7</v>
      </c>
      <c r="B215">
        <v>0</v>
      </c>
      <c r="C215">
        <v>5</v>
      </c>
      <c r="D215">
        <v>4</v>
      </c>
      <c r="E215">
        <v>3</v>
      </c>
      <c r="F215">
        <v>279</v>
      </c>
      <c r="G215">
        <v>5</v>
      </c>
      <c r="H215">
        <v>14</v>
      </c>
      <c r="I215">
        <v>39</v>
      </c>
      <c r="J215">
        <v>378884</v>
      </c>
      <c r="K215">
        <v>92</v>
      </c>
      <c r="L215">
        <v>1</v>
      </c>
      <c r="M215">
        <v>1</v>
      </c>
      <c r="N215">
        <v>2</v>
      </c>
      <c r="O215">
        <v>1</v>
      </c>
      <c r="P215">
        <v>1</v>
      </c>
      <c r="Q215">
        <v>0</v>
      </c>
      <c r="R215">
        <v>68</v>
      </c>
      <c r="S215">
        <v>168</v>
      </c>
      <c r="T215">
        <v>24</v>
      </c>
      <c r="U215">
        <v>0</v>
      </c>
    </row>
    <row r="216" spans="1:21" x14ac:dyDescent="0.3">
      <c r="A216">
        <v>18</v>
      </c>
      <c r="B216">
        <v>0</v>
      </c>
      <c r="C216">
        <v>5</v>
      </c>
      <c r="D216">
        <v>4</v>
      </c>
      <c r="E216">
        <v>3</v>
      </c>
      <c r="F216">
        <v>330</v>
      </c>
      <c r="G216">
        <v>16</v>
      </c>
      <c r="H216">
        <v>4</v>
      </c>
      <c r="I216">
        <v>28</v>
      </c>
      <c r="J216">
        <v>378884</v>
      </c>
      <c r="K216">
        <v>92</v>
      </c>
      <c r="L216">
        <v>1</v>
      </c>
      <c r="M216">
        <v>2</v>
      </c>
      <c r="N216">
        <v>0</v>
      </c>
      <c r="O216">
        <v>0</v>
      </c>
      <c r="P216">
        <v>0</v>
      </c>
      <c r="Q216">
        <v>0</v>
      </c>
      <c r="R216">
        <v>84</v>
      </c>
      <c r="S216">
        <v>182</v>
      </c>
      <c r="T216">
        <v>25</v>
      </c>
      <c r="U216">
        <v>0</v>
      </c>
    </row>
    <row r="217" spans="1:21" x14ac:dyDescent="0.3">
      <c r="A217">
        <v>23</v>
      </c>
      <c r="B217">
        <v>0</v>
      </c>
      <c r="C217">
        <v>5</v>
      </c>
      <c r="D217">
        <v>4</v>
      </c>
      <c r="E217">
        <v>3</v>
      </c>
      <c r="F217">
        <v>378</v>
      </c>
      <c r="G217">
        <v>49</v>
      </c>
      <c r="H217">
        <v>11</v>
      </c>
      <c r="I217">
        <v>36</v>
      </c>
      <c r="J217">
        <v>378884</v>
      </c>
      <c r="K217">
        <v>92</v>
      </c>
      <c r="L217">
        <v>1</v>
      </c>
      <c r="M217">
        <v>1</v>
      </c>
      <c r="N217">
        <v>2</v>
      </c>
      <c r="O217">
        <v>0</v>
      </c>
      <c r="P217">
        <v>1</v>
      </c>
      <c r="Q217">
        <v>4</v>
      </c>
      <c r="R217">
        <v>65</v>
      </c>
      <c r="S217">
        <v>174</v>
      </c>
      <c r="T217">
        <v>21</v>
      </c>
    </row>
    <row r="218" spans="1:21" x14ac:dyDescent="0.3">
      <c r="A218">
        <v>31</v>
      </c>
      <c r="B218">
        <v>0</v>
      </c>
      <c r="C218">
        <v>5</v>
      </c>
      <c r="D218">
        <v>4</v>
      </c>
      <c r="E218">
        <v>3</v>
      </c>
      <c r="F218">
        <v>388</v>
      </c>
      <c r="G218">
        <v>15</v>
      </c>
      <c r="H218">
        <v>9</v>
      </c>
      <c r="I218">
        <v>50</v>
      </c>
      <c r="J218">
        <v>378884</v>
      </c>
      <c r="K218">
        <v>92</v>
      </c>
      <c r="L218">
        <v>1</v>
      </c>
      <c r="M218">
        <v>1</v>
      </c>
      <c r="N218">
        <v>0</v>
      </c>
      <c r="O218">
        <v>0</v>
      </c>
      <c r="P218">
        <v>0</v>
      </c>
      <c r="Q218">
        <v>0</v>
      </c>
      <c r="R218">
        <v>76</v>
      </c>
      <c r="S218">
        <v>178</v>
      </c>
      <c r="T218">
        <v>24</v>
      </c>
      <c r="U218">
        <v>0</v>
      </c>
    </row>
    <row r="219" spans="1:21" x14ac:dyDescent="0.3">
      <c r="A219">
        <v>3</v>
      </c>
      <c r="B219">
        <v>11</v>
      </c>
      <c r="C219">
        <v>5</v>
      </c>
      <c r="D219">
        <v>3</v>
      </c>
      <c r="E219">
        <v>3</v>
      </c>
      <c r="F219">
        <v>179</v>
      </c>
      <c r="G219">
        <v>51</v>
      </c>
      <c r="H219">
        <v>18</v>
      </c>
      <c r="I219">
        <v>38</v>
      </c>
      <c r="J219">
        <v>378884</v>
      </c>
      <c r="K219">
        <v>92</v>
      </c>
      <c r="L219">
        <v>0</v>
      </c>
      <c r="M219">
        <v>1</v>
      </c>
      <c r="N219">
        <v>0</v>
      </c>
      <c r="O219">
        <v>1</v>
      </c>
      <c r="P219">
        <v>0</v>
      </c>
      <c r="Q219">
        <v>0</v>
      </c>
      <c r="R219">
        <v>89</v>
      </c>
      <c r="S219">
        <v>170</v>
      </c>
      <c r="T219">
        <v>31</v>
      </c>
      <c r="U219">
        <v>1</v>
      </c>
    </row>
    <row r="220" spans="1:21" x14ac:dyDescent="0.3">
      <c r="A220">
        <v>36</v>
      </c>
      <c r="B220">
        <v>13</v>
      </c>
      <c r="C220">
        <v>5</v>
      </c>
      <c r="D220">
        <v>4</v>
      </c>
      <c r="E220">
        <v>3</v>
      </c>
      <c r="F220">
        <v>118</v>
      </c>
      <c r="G220">
        <v>13</v>
      </c>
      <c r="H220">
        <v>18</v>
      </c>
      <c r="I220">
        <v>50</v>
      </c>
      <c r="J220">
        <v>378884</v>
      </c>
      <c r="K220">
        <v>92</v>
      </c>
      <c r="L220">
        <v>0</v>
      </c>
      <c r="M220">
        <v>1</v>
      </c>
      <c r="N220">
        <v>1</v>
      </c>
      <c r="O220">
        <v>1</v>
      </c>
      <c r="P220">
        <v>0</v>
      </c>
      <c r="Q220">
        <v>0</v>
      </c>
      <c r="R220">
        <v>98</v>
      </c>
      <c r="S220">
        <v>178</v>
      </c>
      <c r="T220">
        <v>31</v>
      </c>
      <c r="U220">
        <v>24</v>
      </c>
    </row>
    <row r="221" spans="1:21" x14ac:dyDescent="0.3">
      <c r="A221">
        <v>10</v>
      </c>
      <c r="B221">
        <v>22</v>
      </c>
      <c r="C221">
        <v>5</v>
      </c>
      <c r="D221">
        <v>6</v>
      </c>
      <c r="E221">
        <v>3</v>
      </c>
      <c r="F221">
        <v>361</v>
      </c>
      <c r="G221">
        <v>52</v>
      </c>
      <c r="H221">
        <v>3</v>
      </c>
      <c r="I221">
        <v>28</v>
      </c>
      <c r="K221">
        <v>92</v>
      </c>
      <c r="L221">
        <v>0</v>
      </c>
      <c r="M221">
        <v>1</v>
      </c>
      <c r="N221">
        <v>1</v>
      </c>
      <c r="O221">
        <v>1</v>
      </c>
      <c r="P221">
        <v>0</v>
      </c>
      <c r="Q221">
        <v>4</v>
      </c>
      <c r="R221">
        <v>80</v>
      </c>
      <c r="S221">
        <v>172</v>
      </c>
      <c r="T221">
        <v>27</v>
      </c>
    </row>
    <row r="222" spans="1:21" x14ac:dyDescent="0.3">
      <c r="A222">
        <v>24</v>
      </c>
      <c r="B222">
        <v>19</v>
      </c>
      <c r="C222">
        <v>6</v>
      </c>
      <c r="D222">
        <v>2</v>
      </c>
      <c r="E222">
        <v>3</v>
      </c>
      <c r="F222">
        <v>246</v>
      </c>
      <c r="G222">
        <v>25</v>
      </c>
      <c r="H222">
        <v>16</v>
      </c>
      <c r="J222">
        <v>377550</v>
      </c>
      <c r="K222">
        <v>94</v>
      </c>
      <c r="L222">
        <v>0</v>
      </c>
      <c r="M222">
        <v>1</v>
      </c>
      <c r="N222">
        <v>0</v>
      </c>
      <c r="O222">
        <v>1</v>
      </c>
      <c r="P222">
        <v>0</v>
      </c>
      <c r="Q222">
        <v>0</v>
      </c>
      <c r="R222">
        <v>67</v>
      </c>
      <c r="S222">
        <v>170</v>
      </c>
      <c r="U222">
        <v>8</v>
      </c>
    </row>
    <row r="223" spans="1:21" x14ac:dyDescent="0.3">
      <c r="A223">
        <v>10</v>
      </c>
      <c r="B223">
        <v>22</v>
      </c>
      <c r="C223">
        <v>6</v>
      </c>
      <c r="D223">
        <v>2</v>
      </c>
      <c r="E223">
        <v>3</v>
      </c>
      <c r="F223">
        <v>361</v>
      </c>
      <c r="G223">
        <v>52</v>
      </c>
      <c r="H223">
        <v>3</v>
      </c>
      <c r="I223">
        <v>28</v>
      </c>
      <c r="J223">
        <v>377550</v>
      </c>
      <c r="K223">
        <v>94</v>
      </c>
      <c r="L223">
        <v>0</v>
      </c>
      <c r="M223">
        <v>1</v>
      </c>
      <c r="N223">
        <v>1</v>
      </c>
      <c r="O223">
        <v>1</v>
      </c>
      <c r="P223">
        <v>0</v>
      </c>
      <c r="Q223">
        <v>4</v>
      </c>
      <c r="R223">
        <v>80</v>
      </c>
      <c r="S223">
        <v>172</v>
      </c>
      <c r="T223">
        <v>27</v>
      </c>
      <c r="U223">
        <v>8</v>
      </c>
    </row>
    <row r="224" spans="1:21" x14ac:dyDescent="0.3">
      <c r="A224">
        <v>24</v>
      </c>
      <c r="B224">
        <v>10</v>
      </c>
      <c r="C224">
        <v>6</v>
      </c>
      <c r="D224">
        <v>3</v>
      </c>
      <c r="E224">
        <v>3</v>
      </c>
      <c r="F224">
        <v>246</v>
      </c>
      <c r="G224">
        <v>25</v>
      </c>
      <c r="H224">
        <v>16</v>
      </c>
      <c r="I224">
        <v>41</v>
      </c>
      <c r="J224">
        <v>377550</v>
      </c>
      <c r="K224">
        <v>94</v>
      </c>
      <c r="L224">
        <v>0</v>
      </c>
      <c r="M224">
        <v>1</v>
      </c>
      <c r="N224">
        <v>0</v>
      </c>
      <c r="O224">
        <v>1</v>
      </c>
      <c r="P224">
        <v>0</v>
      </c>
      <c r="Q224">
        <v>0</v>
      </c>
      <c r="R224">
        <v>67</v>
      </c>
      <c r="S224">
        <v>170</v>
      </c>
      <c r="T224">
        <v>23</v>
      </c>
      <c r="U224">
        <v>24</v>
      </c>
    </row>
    <row r="225" spans="1:21" x14ac:dyDescent="0.3">
      <c r="A225">
        <v>15</v>
      </c>
      <c r="B225">
        <v>23</v>
      </c>
      <c r="C225">
        <v>6</v>
      </c>
      <c r="D225">
        <v>5</v>
      </c>
      <c r="E225">
        <v>3</v>
      </c>
      <c r="F225">
        <v>291</v>
      </c>
      <c r="G225">
        <v>31</v>
      </c>
      <c r="H225">
        <v>12</v>
      </c>
      <c r="I225">
        <v>40</v>
      </c>
      <c r="J225">
        <v>377550</v>
      </c>
      <c r="K225">
        <v>94</v>
      </c>
      <c r="L225">
        <v>0</v>
      </c>
      <c r="M225">
        <v>1</v>
      </c>
      <c r="N225">
        <v>1</v>
      </c>
      <c r="O225">
        <v>1</v>
      </c>
      <c r="P225">
        <v>0</v>
      </c>
      <c r="Q225">
        <v>1</v>
      </c>
      <c r="R225">
        <v>73</v>
      </c>
      <c r="S225">
        <v>171</v>
      </c>
      <c r="T225">
        <v>25</v>
      </c>
      <c r="U225">
        <v>4</v>
      </c>
    </row>
    <row r="226" spans="1:21" x14ac:dyDescent="0.3">
      <c r="A226">
        <v>24</v>
      </c>
      <c r="B226">
        <v>10</v>
      </c>
      <c r="C226">
        <v>6</v>
      </c>
      <c r="D226">
        <v>6</v>
      </c>
      <c r="E226">
        <v>3</v>
      </c>
      <c r="F226">
        <v>246</v>
      </c>
      <c r="G226">
        <v>25</v>
      </c>
      <c r="H226">
        <v>16</v>
      </c>
      <c r="J226">
        <v>377550</v>
      </c>
      <c r="K226">
        <v>94</v>
      </c>
      <c r="L226">
        <v>0</v>
      </c>
      <c r="M226">
        <v>1</v>
      </c>
      <c r="N226">
        <v>0</v>
      </c>
      <c r="O226">
        <v>1</v>
      </c>
      <c r="P226">
        <v>0</v>
      </c>
      <c r="Q226">
        <v>0</v>
      </c>
      <c r="R226">
        <v>67</v>
      </c>
      <c r="S226">
        <v>170</v>
      </c>
      <c r="T226">
        <v>23</v>
      </c>
    </row>
    <row r="227" spans="1:21" x14ac:dyDescent="0.3">
      <c r="A227">
        <v>3</v>
      </c>
      <c r="B227">
        <v>11</v>
      </c>
      <c r="C227">
        <v>6</v>
      </c>
      <c r="D227">
        <v>2</v>
      </c>
      <c r="E227">
        <v>3</v>
      </c>
      <c r="F227">
        <v>179</v>
      </c>
      <c r="G227">
        <v>51</v>
      </c>
      <c r="H227">
        <v>18</v>
      </c>
      <c r="I227">
        <v>38</v>
      </c>
      <c r="J227">
        <v>377550</v>
      </c>
      <c r="K227">
        <v>94</v>
      </c>
      <c r="L227">
        <v>0</v>
      </c>
      <c r="M227">
        <v>1</v>
      </c>
      <c r="N227">
        <v>0</v>
      </c>
      <c r="O227">
        <v>1</v>
      </c>
      <c r="P227">
        <v>0</v>
      </c>
      <c r="Q227">
        <v>0</v>
      </c>
      <c r="R227">
        <v>89</v>
      </c>
      <c r="S227">
        <v>170</v>
      </c>
      <c r="T227">
        <v>31</v>
      </c>
      <c r="U227">
        <v>8</v>
      </c>
    </row>
    <row r="228" spans="1:21" x14ac:dyDescent="0.3">
      <c r="A228">
        <v>14</v>
      </c>
      <c r="B228">
        <v>23</v>
      </c>
      <c r="C228">
        <v>6</v>
      </c>
      <c r="D228">
        <v>2</v>
      </c>
      <c r="E228">
        <v>3</v>
      </c>
      <c r="F228">
        <v>155</v>
      </c>
      <c r="G228">
        <v>12</v>
      </c>
      <c r="H228">
        <v>14</v>
      </c>
      <c r="I228">
        <v>34</v>
      </c>
      <c r="J228">
        <v>377550</v>
      </c>
      <c r="K228">
        <v>94</v>
      </c>
      <c r="L228">
        <v>0</v>
      </c>
      <c r="M228">
        <v>1</v>
      </c>
      <c r="N228">
        <v>2</v>
      </c>
      <c r="O228">
        <v>1</v>
      </c>
      <c r="P228">
        <v>0</v>
      </c>
      <c r="Q228">
        <v>0</v>
      </c>
      <c r="R228">
        <v>95</v>
      </c>
      <c r="S228">
        <v>196</v>
      </c>
      <c r="T228">
        <v>25</v>
      </c>
      <c r="U228">
        <v>4</v>
      </c>
    </row>
    <row r="229" spans="1:21" x14ac:dyDescent="0.3">
      <c r="A229">
        <v>24</v>
      </c>
      <c r="B229">
        <v>10</v>
      </c>
      <c r="C229">
        <v>6</v>
      </c>
      <c r="D229">
        <v>2</v>
      </c>
      <c r="E229">
        <v>3</v>
      </c>
      <c r="F229">
        <v>246</v>
      </c>
      <c r="G229">
        <v>25</v>
      </c>
      <c r="H229">
        <v>16</v>
      </c>
      <c r="I229">
        <v>41</v>
      </c>
      <c r="J229">
        <v>377550</v>
      </c>
      <c r="K229">
        <v>94</v>
      </c>
      <c r="L229">
        <v>0</v>
      </c>
      <c r="M229">
        <v>1</v>
      </c>
      <c r="N229">
        <v>0</v>
      </c>
      <c r="O229">
        <v>1</v>
      </c>
      <c r="P229">
        <v>0</v>
      </c>
      <c r="Q229">
        <v>0</v>
      </c>
      <c r="R229">
        <v>67</v>
      </c>
      <c r="S229">
        <v>170</v>
      </c>
      <c r="T229">
        <v>23</v>
      </c>
      <c r="U229">
        <v>8</v>
      </c>
    </row>
    <row r="230" spans="1:21" x14ac:dyDescent="0.3">
      <c r="A230">
        <v>36</v>
      </c>
      <c r="B230">
        <v>13</v>
      </c>
      <c r="C230">
        <v>6</v>
      </c>
      <c r="D230">
        <v>4</v>
      </c>
      <c r="E230">
        <v>3</v>
      </c>
      <c r="F230">
        <v>118</v>
      </c>
      <c r="G230">
        <v>13</v>
      </c>
      <c r="H230">
        <v>18</v>
      </c>
      <c r="I230">
        <v>50</v>
      </c>
      <c r="J230">
        <v>377550</v>
      </c>
      <c r="K230">
        <v>94</v>
      </c>
      <c r="L230">
        <v>0</v>
      </c>
      <c r="M230">
        <v>1</v>
      </c>
      <c r="N230">
        <v>1</v>
      </c>
      <c r="O230">
        <v>1</v>
      </c>
      <c r="P230">
        <v>0</v>
      </c>
      <c r="Q230">
        <v>0</v>
      </c>
      <c r="R230">
        <v>98</v>
      </c>
      <c r="S230">
        <v>178</v>
      </c>
      <c r="T230">
        <v>31</v>
      </c>
      <c r="U230">
        <v>8</v>
      </c>
    </row>
    <row r="231" spans="1:21" x14ac:dyDescent="0.3">
      <c r="A231">
        <v>1</v>
      </c>
      <c r="B231">
        <v>13</v>
      </c>
      <c r="C231">
        <v>6</v>
      </c>
      <c r="D231">
        <v>6</v>
      </c>
      <c r="E231">
        <v>3</v>
      </c>
      <c r="F231">
        <v>235</v>
      </c>
      <c r="G231">
        <v>11</v>
      </c>
      <c r="H231">
        <v>14</v>
      </c>
      <c r="I231">
        <v>37</v>
      </c>
      <c r="J231">
        <v>377550</v>
      </c>
      <c r="K231">
        <v>94</v>
      </c>
      <c r="L231">
        <v>0</v>
      </c>
      <c r="M231">
        <v>3</v>
      </c>
      <c r="N231">
        <v>1</v>
      </c>
      <c r="O231">
        <v>0</v>
      </c>
      <c r="P231">
        <v>0</v>
      </c>
      <c r="Q231">
        <v>1</v>
      </c>
      <c r="R231">
        <v>88</v>
      </c>
      <c r="S231">
        <v>172</v>
      </c>
      <c r="T231">
        <v>29</v>
      </c>
      <c r="U231">
        <v>16</v>
      </c>
    </row>
    <row r="232" spans="1:21" x14ac:dyDescent="0.3">
      <c r="A232">
        <v>36</v>
      </c>
      <c r="B232">
        <v>23</v>
      </c>
      <c r="C232">
        <v>6</v>
      </c>
      <c r="D232">
        <v>3</v>
      </c>
      <c r="E232">
        <v>3</v>
      </c>
      <c r="F232">
        <v>118</v>
      </c>
      <c r="G232">
        <v>13</v>
      </c>
      <c r="H232">
        <v>18</v>
      </c>
      <c r="I232">
        <v>50</v>
      </c>
      <c r="J232">
        <v>377550</v>
      </c>
      <c r="K232">
        <v>94</v>
      </c>
      <c r="L232">
        <v>0</v>
      </c>
      <c r="M232">
        <v>1</v>
      </c>
      <c r="N232">
        <v>1</v>
      </c>
      <c r="O232">
        <v>1</v>
      </c>
      <c r="P232">
        <v>0</v>
      </c>
      <c r="Q232">
        <v>0</v>
      </c>
      <c r="R232">
        <v>98</v>
      </c>
      <c r="S232">
        <v>178</v>
      </c>
      <c r="T232">
        <v>31</v>
      </c>
      <c r="U232">
        <v>1</v>
      </c>
    </row>
    <row r="233" spans="1:21" x14ac:dyDescent="0.3">
      <c r="A233">
        <v>36</v>
      </c>
      <c r="B233">
        <v>13</v>
      </c>
      <c r="C233">
        <v>6</v>
      </c>
      <c r="D233">
        <v>4</v>
      </c>
      <c r="E233">
        <v>3</v>
      </c>
      <c r="F233">
        <v>118</v>
      </c>
      <c r="G233">
        <v>13</v>
      </c>
      <c r="H233">
        <v>18</v>
      </c>
      <c r="I233">
        <v>50</v>
      </c>
      <c r="J233">
        <v>377550</v>
      </c>
      <c r="K233">
        <v>94</v>
      </c>
      <c r="L233">
        <v>0</v>
      </c>
      <c r="M233">
        <v>1</v>
      </c>
      <c r="N233">
        <v>1</v>
      </c>
      <c r="O233">
        <v>1</v>
      </c>
      <c r="P233">
        <v>0</v>
      </c>
      <c r="Q233">
        <v>0</v>
      </c>
      <c r="R233">
        <v>98</v>
      </c>
      <c r="S233">
        <v>178</v>
      </c>
      <c r="T233">
        <v>31</v>
      </c>
      <c r="U233">
        <v>80</v>
      </c>
    </row>
    <row r="234" spans="1:21" x14ac:dyDescent="0.3">
      <c r="A234">
        <v>23</v>
      </c>
      <c r="B234">
        <v>22</v>
      </c>
      <c r="C234">
        <v>6</v>
      </c>
      <c r="D234">
        <v>5</v>
      </c>
      <c r="E234">
        <v>3</v>
      </c>
      <c r="F234">
        <v>378</v>
      </c>
      <c r="G234">
        <v>49</v>
      </c>
      <c r="H234">
        <v>11</v>
      </c>
      <c r="I234">
        <v>36</v>
      </c>
      <c r="J234">
        <v>377550</v>
      </c>
      <c r="K234">
        <v>94</v>
      </c>
      <c r="L234">
        <v>0</v>
      </c>
      <c r="M234">
        <v>1</v>
      </c>
      <c r="N234">
        <v>2</v>
      </c>
      <c r="O234">
        <v>0</v>
      </c>
      <c r="P234">
        <v>1</v>
      </c>
      <c r="Q234">
        <v>4</v>
      </c>
      <c r="R234">
        <v>65</v>
      </c>
      <c r="S234">
        <v>174</v>
      </c>
      <c r="T234">
        <v>21</v>
      </c>
      <c r="U234">
        <v>8</v>
      </c>
    </row>
    <row r="235" spans="1:21" x14ac:dyDescent="0.3">
      <c r="A235">
        <v>3</v>
      </c>
      <c r="B235">
        <v>11</v>
      </c>
      <c r="C235">
        <v>6</v>
      </c>
      <c r="D235">
        <v>6</v>
      </c>
      <c r="E235">
        <v>3</v>
      </c>
      <c r="F235">
        <v>179</v>
      </c>
      <c r="G235">
        <v>51</v>
      </c>
      <c r="H235">
        <v>18</v>
      </c>
      <c r="I235">
        <v>38</v>
      </c>
      <c r="J235">
        <v>377550</v>
      </c>
      <c r="K235">
        <v>94</v>
      </c>
      <c r="L235">
        <v>0</v>
      </c>
      <c r="M235">
        <v>1</v>
      </c>
      <c r="N235">
        <v>0</v>
      </c>
      <c r="O235">
        <v>1</v>
      </c>
      <c r="P235">
        <v>0</v>
      </c>
      <c r="Q235">
        <v>0</v>
      </c>
      <c r="R235">
        <v>89</v>
      </c>
      <c r="S235">
        <v>170</v>
      </c>
      <c r="T235">
        <v>31</v>
      </c>
      <c r="U235">
        <v>2</v>
      </c>
    </row>
    <row r="236" spans="1:21" x14ac:dyDescent="0.3">
      <c r="A236">
        <v>32</v>
      </c>
      <c r="B236">
        <v>28</v>
      </c>
      <c r="C236">
        <v>6</v>
      </c>
      <c r="D236">
        <v>2</v>
      </c>
      <c r="E236">
        <v>1</v>
      </c>
      <c r="F236">
        <v>289</v>
      </c>
      <c r="G236">
        <v>48</v>
      </c>
      <c r="H236">
        <v>29</v>
      </c>
      <c r="I236">
        <v>49</v>
      </c>
      <c r="J236">
        <v>377550</v>
      </c>
      <c r="K236">
        <v>94</v>
      </c>
      <c r="L236">
        <v>0</v>
      </c>
      <c r="M236">
        <v>1</v>
      </c>
      <c r="N236">
        <v>0</v>
      </c>
      <c r="O236">
        <v>0</v>
      </c>
      <c r="P236">
        <v>0</v>
      </c>
      <c r="Q236">
        <v>2</v>
      </c>
      <c r="R236">
        <v>108</v>
      </c>
      <c r="S236">
        <v>172</v>
      </c>
      <c r="T236">
        <v>36</v>
      </c>
      <c r="U236">
        <v>2</v>
      </c>
    </row>
    <row r="237" spans="1:21" x14ac:dyDescent="0.3">
      <c r="A237">
        <v>28</v>
      </c>
      <c r="B237">
        <v>28</v>
      </c>
      <c r="C237">
        <v>6</v>
      </c>
      <c r="D237">
        <v>5</v>
      </c>
      <c r="E237">
        <v>1</v>
      </c>
      <c r="F237">
        <v>225</v>
      </c>
      <c r="G237">
        <v>26</v>
      </c>
      <c r="H237">
        <v>9</v>
      </c>
      <c r="I237">
        <v>28</v>
      </c>
      <c r="J237">
        <v>377550</v>
      </c>
      <c r="K237">
        <v>94</v>
      </c>
      <c r="L237">
        <v>0</v>
      </c>
      <c r="M237">
        <v>1</v>
      </c>
      <c r="N237">
        <v>1</v>
      </c>
      <c r="O237">
        <v>0</v>
      </c>
      <c r="P237">
        <v>0</v>
      </c>
      <c r="Q237">
        <v>2</v>
      </c>
      <c r="R237">
        <v>69</v>
      </c>
      <c r="S237">
        <v>169</v>
      </c>
      <c r="T237">
        <v>24</v>
      </c>
      <c r="U237">
        <v>2</v>
      </c>
    </row>
    <row r="238" spans="1:21" x14ac:dyDescent="0.3">
      <c r="A238">
        <v>14</v>
      </c>
      <c r="B238">
        <v>19</v>
      </c>
      <c r="C238">
        <v>7</v>
      </c>
      <c r="D238">
        <v>3</v>
      </c>
      <c r="E238">
        <v>1</v>
      </c>
      <c r="F238">
        <v>155</v>
      </c>
      <c r="G238">
        <v>12</v>
      </c>
      <c r="H238">
        <v>14</v>
      </c>
      <c r="I238">
        <v>34</v>
      </c>
      <c r="J238">
        <v>275312</v>
      </c>
      <c r="K238">
        <v>98</v>
      </c>
      <c r="L238">
        <v>0</v>
      </c>
      <c r="M238">
        <v>1</v>
      </c>
      <c r="N238">
        <v>2</v>
      </c>
      <c r="O238">
        <v>1</v>
      </c>
      <c r="P238">
        <v>0</v>
      </c>
      <c r="Q238">
        <v>0</v>
      </c>
      <c r="R238">
        <v>95</v>
      </c>
      <c r="S238">
        <v>196</v>
      </c>
      <c r="T238">
        <v>25</v>
      </c>
      <c r="U238">
        <v>16</v>
      </c>
    </row>
    <row r="239" spans="1:21" x14ac:dyDescent="0.3">
      <c r="A239">
        <v>36</v>
      </c>
      <c r="B239">
        <v>1</v>
      </c>
      <c r="C239">
        <v>7</v>
      </c>
      <c r="D239">
        <v>4</v>
      </c>
      <c r="E239">
        <v>1</v>
      </c>
      <c r="F239">
        <v>118</v>
      </c>
      <c r="G239">
        <v>13</v>
      </c>
      <c r="H239">
        <v>18</v>
      </c>
      <c r="I239">
        <v>50</v>
      </c>
      <c r="J239">
        <v>275312</v>
      </c>
      <c r="K239">
        <v>98</v>
      </c>
      <c r="L239">
        <v>0</v>
      </c>
      <c r="M239">
        <v>1</v>
      </c>
      <c r="N239">
        <v>1</v>
      </c>
      <c r="O239">
        <v>1</v>
      </c>
      <c r="P239">
        <v>0</v>
      </c>
      <c r="Q239">
        <v>0</v>
      </c>
      <c r="R239">
        <v>98</v>
      </c>
      <c r="S239">
        <v>178</v>
      </c>
      <c r="T239">
        <v>31</v>
      </c>
      <c r="U239">
        <v>8</v>
      </c>
    </row>
    <row r="240" spans="1:21" x14ac:dyDescent="0.3">
      <c r="A240">
        <v>34</v>
      </c>
      <c r="B240">
        <v>5</v>
      </c>
      <c r="C240">
        <v>7</v>
      </c>
      <c r="D240">
        <v>6</v>
      </c>
      <c r="E240">
        <v>1</v>
      </c>
      <c r="F240">
        <v>118</v>
      </c>
      <c r="G240">
        <v>10</v>
      </c>
      <c r="H240">
        <v>10</v>
      </c>
      <c r="I240">
        <v>37</v>
      </c>
      <c r="J240">
        <v>275312</v>
      </c>
      <c r="K240">
        <v>98</v>
      </c>
      <c r="L240">
        <v>0</v>
      </c>
      <c r="M240">
        <v>1</v>
      </c>
      <c r="N240">
        <v>0</v>
      </c>
      <c r="O240">
        <v>0</v>
      </c>
      <c r="P240">
        <v>0</v>
      </c>
      <c r="Q240">
        <v>0</v>
      </c>
      <c r="R240">
        <v>83</v>
      </c>
      <c r="S240">
        <v>172</v>
      </c>
      <c r="T240">
        <v>28</v>
      </c>
      <c r="U240">
        <v>8</v>
      </c>
    </row>
    <row r="241" spans="1:21" x14ac:dyDescent="0.3">
      <c r="A241">
        <v>34</v>
      </c>
      <c r="B241">
        <v>26</v>
      </c>
      <c r="C241">
        <v>7</v>
      </c>
      <c r="D241">
        <v>6</v>
      </c>
      <c r="E241">
        <v>1</v>
      </c>
      <c r="F241">
        <v>118</v>
      </c>
      <c r="G241">
        <v>10</v>
      </c>
      <c r="H241">
        <v>10</v>
      </c>
      <c r="I241">
        <v>37</v>
      </c>
      <c r="J241">
        <v>275312</v>
      </c>
      <c r="K241">
        <v>98</v>
      </c>
      <c r="L241">
        <v>0</v>
      </c>
      <c r="M241">
        <v>1</v>
      </c>
      <c r="N241">
        <v>0</v>
      </c>
      <c r="O241">
        <v>0</v>
      </c>
      <c r="P241">
        <v>0</v>
      </c>
      <c r="Q241">
        <v>0</v>
      </c>
      <c r="R241">
        <v>83</v>
      </c>
      <c r="S241">
        <v>172</v>
      </c>
      <c r="T241">
        <v>28</v>
      </c>
      <c r="U241">
        <v>4</v>
      </c>
    </row>
    <row r="242" spans="1:21" x14ac:dyDescent="0.3">
      <c r="A242">
        <v>18</v>
      </c>
      <c r="B242">
        <v>26</v>
      </c>
      <c r="C242">
        <v>7</v>
      </c>
      <c r="D242">
        <v>3</v>
      </c>
      <c r="E242">
        <v>1</v>
      </c>
      <c r="F242">
        <v>330</v>
      </c>
      <c r="G242">
        <v>16</v>
      </c>
      <c r="H242">
        <v>4</v>
      </c>
      <c r="I242">
        <v>28</v>
      </c>
      <c r="J242">
        <v>275312</v>
      </c>
      <c r="K242">
        <v>98</v>
      </c>
      <c r="L242">
        <v>0</v>
      </c>
      <c r="M242">
        <v>2</v>
      </c>
      <c r="N242">
        <v>0</v>
      </c>
      <c r="O242">
        <v>0</v>
      </c>
      <c r="P242">
        <v>0</v>
      </c>
      <c r="Q242">
        <v>0</v>
      </c>
      <c r="R242">
        <v>84</v>
      </c>
      <c r="S242">
        <v>182</v>
      </c>
      <c r="T242">
        <v>25</v>
      </c>
      <c r="U242">
        <v>8</v>
      </c>
    </row>
    <row r="243" spans="1:21" x14ac:dyDescent="0.3">
      <c r="A243">
        <v>22</v>
      </c>
      <c r="B243">
        <v>18</v>
      </c>
      <c r="C243">
        <v>7</v>
      </c>
      <c r="D243">
        <v>5</v>
      </c>
      <c r="E243">
        <v>1</v>
      </c>
      <c r="F243">
        <v>179</v>
      </c>
      <c r="G243">
        <v>26</v>
      </c>
      <c r="H243">
        <v>9</v>
      </c>
      <c r="I243">
        <v>30</v>
      </c>
      <c r="J243">
        <v>275312</v>
      </c>
      <c r="K243">
        <v>98</v>
      </c>
      <c r="L243">
        <v>0</v>
      </c>
      <c r="M243">
        <v>3</v>
      </c>
      <c r="N243">
        <v>0</v>
      </c>
      <c r="O243">
        <v>0</v>
      </c>
      <c r="P243">
        <v>0</v>
      </c>
      <c r="Q243">
        <v>0</v>
      </c>
      <c r="R243">
        <v>56</v>
      </c>
      <c r="S243">
        <v>171</v>
      </c>
      <c r="T243">
        <v>19</v>
      </c>
      <c r="U243">
        <v>8</v>
      </c>
    </row>
    <row r="244" spans="1:21" x14ac:dyDescent="0.3">
      <c r="A244">
        <v>14</v>
      </c>
      <c r="B244">
        <v>25</v>
      </c>
      <c r="C244">
        <v>7</v>
      </c>
      <c r="D244">
        <v>6</v>
      </c>
      <c r="E244">
        <v>1</v>
      </c>
      <c r="F244">
        <v>155</v>
      </c>
      <c r="G244">
        <v>12</v>
      </c>
      <c r="H244">
        <v>14</v>
      </c>
      <c r="I244">
        <v>34</v>
      </c>
      <c r="J244">
        <v>275312</v>
      </c>
      <c r="K244">
        <v>98</v>
      </c>
      <c r="L244">
        <v>0</v>
      </c>
      <c r="M244">
        <v>1</v>
      </c>
      <c r="N244">
        <v>2</v>
      </c>
      <c r="O244">
        <v>1</v>
      </c>
      <c r="P244">
        <v>0</v>
      </c>
      <c r="Q244">
        <v>0</v>
      </c>
      <c r="R244">
        <v>95</v>
      </c>
      <c r="S244">
        <v>196</v>
      </c>
      <c r="T244">
        <v>25</v>
      </c>
      <c r="U244">
        <v>2</v>
      </c>
    </row>
    <row r="245" spans="1:21" x14ac:dyDescent="0.3">
      <c r="A245">
        <v>18</v>
      </c>
      <c r="B245">
        <v>1</v>
      </c>
      <c r="C245">
        <v>7</v>
      </c>
      <c r="D245">
        <v>2</v>
      </c>
      <c r="E245">
        <v>1</v>
      </c>
      <c r="F245">
        <v>330</v>
      </c>
      <c r="G245">
        <v>16</v>
      </c>
      <c r="H245">
        <v>4</v>
      </c>
      <c r="I245">
        <v>28</v>
      </c>
      <c r="J245">
        <v>275312</v>
      </c>
      <c r="K245">
        <v>98</v>
      </c>
      <c r="L245">
        <v>0</v>
      </c>
      <c r="M245">
        <v>2</v>
      </c>
      <c r="N245">
        <v>0</v>
      </c>
      <c r="O245">
        <v>0</v>
      </c>
      <c r="P245">
        <v>0</v>
      </c>
      <c r="Q245">
        <v>0</v>
      </c>
      <c r="R245">
        <v>84</v>
      </c>
      <c r="S245">
        <v>182</v>
      </c>
      <c r="T245">
        <v>25</v>
      </c>
      <c r="U245">
        <v>8</v>
      </c>
    </row>
    <row r="246" spans="1:21" x14ac:dyDescent="0.3">
      <c r="A246">
        <v>18</v>
      </c>
      <c r="B246">
        <v>1</v>
      </c>
      <c r="C246">
        <v>7</v>
      </c>
      <c r="D246">
        <v>3</v>
      </c>
      <c r="E246">
        <v>1</v>
      </c>
      <c r="F246">
        <v>330</v>
      </c>
      <c r="G246">
        <v>16</v>
      </c>
      <c r="H246">
        <v>4</v>
      </c>
      <c r="I246">
        <v>28</v>
      </c>
      <c r="J246">
        <v>275312</v>
      </c>
      <c r="K246">
        <v>98</v>
      </c>
      <c r="L246">
        <v>0</v>
      </c>
      <c r="M246">
        <v>2</v>
      </c>
      <c r="N246">
        <v>0</v>
      </c>
      <c r="O246">
        <v>0</v>
      </c>
      <c r="P246">
        <v>0</v>
      </c>
      <c r="Q246">
        <v>0</v>
      </c>
      <c r="R246">
        <v>84</v>
      </c>
      <c r="S246">
        <v>182</v>
      </c>
      <c r="T246">
        <v>25</v>
      </c>
      <c r="U246">
        <v>8</v>
      </c>
    </row>
    <row r="247" spans="1:21" x14ac:dyDescent="0.3">
      <c r="A247">
        <v>30</v>
      </c>
      <c r="B247">
        <v>25</v>
      </c>
      <c r="C247">
        <v>7</v>
      </c>
      <c r="D247">
        <v>2</v>
      </c>
      <c r="E247">
        <v>1</v>
      </c>
      <c r="F247">
        <v>157</v>
      </c>
      <c r="G247">
        <v>27</v>
      </c>
      <c r="H247">
        <v>6</v>
      </c>
      <c r="I247">
        <v>29</v>
      </c>
      <c r="J247">
        <v>275312</v>
      </c>
      <c r="K247">
        <v>98</v>
      </c>
      <c r="L247">
        <v>0</v>
      </c>
      <c r="M247">
        <v>1</v>
      </c>
      <c r="N247">
        <v>0</v>
      </c>
      <c r="O247">
        <v>1</v>
      </c>
      <c r="P247">
        <v>1</v>
      </c>
      <c r="Q247">
        <v>0</v>
      </c>
      <c r="R247">
        <v>75</v>
      </c>
      <c r="S247">
        <v>185</v>
      </c>
      <c r="T247">
        <v>22</v>
      </c>
      <c r="U247">
        <v>3</v>
      </c>
    </row>
    <row r="248" spans="1:21" x14ac:dyDescent="0.3">
      <c r="A248">
        <v>10</v>
      </c>
      <c r="B248">
        <v>22</v>
      </c>
      <c r="C248">
        <v>7</v>
      </c>
      <c r="D248">
        <v>3</v>
      </c>
      <c r="E248">
        <v>1</v>
      </c>
      <c r="F248">
        <v>361</v>
      </c>
      <c r="G248">
        <v>52</v>
      </c>
      <c r="H248">
        <v>3</v>
      </c>
      <c r="I248">
        <v>28</v>
      </c>
      <c r="J248">
        <v>275312</v>
      </c>
      <c r="K248">
        <v>98</v>
      </c>
      <c r="L248">
        <v>0</v>
      </c>
      <c r="M248">
        <v>1</v>
      </c>
      <c r="N248">
        <v>1</v>
      </c>
      <c r="O248">
        <v>1</v>
      </c>
      <c r="P248">
        <v>0</v>
      </c>
      <c r="Q248">
        <v>4</v>
      </c>
      <c r="R248">
        <v>80</v>
      </c>
      <c r="S248">
        <v>172</v>
      </c>
      <c r="T248">
        <v>27</v>
      </c>
      <c r="U248">
        <v>8</v>
      </c>
    </row>
    <row r="249" spans="1:21" x14ac:dyDescent="0.3">
      <c r="A249">
        <v>11</v>
      </c>
      <c r="B249">
        <v>26</v>
      </c>
      <c r="C249">
        <v>7</v>
      </c>
      <c r="D249">
        <v>4</v>
      </c>
      <c r="E249">
        <v>1</v>
      </c>
      <c r="F249">
        <v>289</v>
      </c>
      <c r="G249">
        <v>36</v>
      </c>
      <c r="H249">
        <v>13</v>
      </c>
      <c r="I249">
        <v>33</v>
      </c>
      <c r="J249">
        <v>275312</v>
      </c>
      <c r="K249">
        <v>98</v>
      </c>
      <c r="L249">
        <v>0</v>
      </c>
      <c r="M249">
        <v>1</v>
      </c>
      <c r="N249">
        <v>2</v>
      </c>
      <c r="O249">
        <v>1</v>
      </c>
      <c r="P249">
        <v>0</v>
      </c>
      <c r="Q249">
        <v>1</v>
      </c>
      <c r="R249">
        <v>90</v>
      </c>
      <c r="S249">
        <v>172</v>
      </c>
      <c r="T249">
        <v>30</v>
      </c>
      <c r="U249">
        <v>8</v>
      </c>
    </row>
    <row r="250" spans="1:21" x14ac:dyDescent="0.3">
      <c r="A250">
        <v>3</v>
      </c>
      <c r="B250">
        <v>26</v>
      </c>
      <c r="C250">
        <v>7</v>
      </c>
      <c r="D250">
        <v>5</v>
      </c>
      <c r="E250">
        <v>1</v>
      </c>
      <c r="F250">
        <v>179</v>
      </c>
      <c r="G250">
        <v>51</v>
      </c>
      <c r="H250">
        <v>18</v>
      </c>
      <c r="I250">
        <v>38</v>
      </c>
      <c r="J250">
        <v>275312</v>
      </c>
      <c r="K250">
        <v>98</v>
      </c>
      <c r="L250">
        <v>0</v>
      </c>
      <c r="M250">
        <v>1</v>
      </c>
      <c r="N250">
        <v>0</v>
      </c>
      <c r="O250">
        <v>1</v>
      </c>
      <c r="P250">
        <v>0</v>
      </c>
      <c r="Q250">
        <v>0</v>
      </c>
      <c r="R250">
        <v>89</v>
      </c>
      <c r="S250">
        <v>170</v>
      </c>
      <c r="T250">
        <v>31</v>
      </c>
      <c r="U250">
        <v>8</v>
      </c>
    </row>
    <row r="251" spans="1:21" x14ac:dyDescent="0.3">
      <c r="A251">
        <v>11</v>
      </c>
      <c r="B251">
        <v>19</v>
      </c>
      <c r="C251">
        <v>7</v>
      </c>
      <c r="D251">
        <v>2</v>
      </c>
      <c r="E251">
        <v>1</v>
      </c>
      <c r="F251">
        <v>289</v>
      </c>
      <c r="G251">
        <v>36</v>
      </c>
      <c r="H251">
        <v>13</v>
      </c>
      <c r="I251">
        <v>33</v>
      </c>
      <c r="J251">
        <v>275312</v>
      </c>
      <c r="K251">
        <v>98</v>
      </c>
      <c r="L251">
        <v>0</v>
      </c>
      <c r="M251">
        <v>1</v>
      </c>
      <c r="N251">
        <v>2</v>
      </c>
      <c r="O251">
        <v>1</v>
      </c>
      <c r="P251">
        <v>0</v>
      </c>
      <c r="Q251">
        <v>1</v>
      </c>
      <c r="R251">
        <v>90</v>
      </c>
      <c r="S251">
        <v>172</v>
      </c>
      <c r="T251">
        <v>30</v>
      </c>
      <c r="U251">
        <v>32</v>
      </c>
    </row>
    <row r="252" spans="1:21" x14ac:dyDescent="0.3">
      <c r="A252">
        <v>11</v>
      </c>
      <c r="B252">
        <v>19</v>
      </c>
      <c r="C252">
        <v>7</v>
      </c>
      <c r="D252">
        <v>5</v>
      </c>
      <c r="E252">
        <v>1</v>
      </c>
      <c r="F252">
        <v>289</v>
      </c>
      <c r="G252">
        <v>36</v>
      </c>
      <c r="H252">
        <v>13</v>
      </c>
      <c r="I252">
        <v>33</v>
      </c>
      <c r="J252">
        <v>275312</v>
      </c>
      <c r="K252">
        <v>98</v>
      </c>
      <c r="L252">
        <v>0</v>
      </c>
      <c r="M252">
        <v>1</v>
      </c>
      <c r="N252">
        <v>2</v>
      </c>
      <c r="O252">
        <v>1</v>
      </c>
      <c r="P252">
        <v>0</v>
      </c>
      <c r="Q252">
        <v>1</v>
      </c>
      <c r="R252">
        <v>90</v>
      </c>
      <c r="S252">
        <v>172</v>
      </c>
      <c r="T252">
        <v>30</v>
      </c>
      <c r="U252">
        <v>8</v>
      </c>
    </row>
    <row r="253" spans="1:21" x14ac:dyDescent="0.3">
      <c r="A253">
        <v>20</v>
      </c>
      <c r="B253">
        <v>0</v>
      </c>
      <c r="C253">
        <v>7</v>
      </c>
      <c r="D253">
        <v>5</v>
      </c>
      <c r="E253">
        <v>1</v>
      </c>
      <c r="F253">
        <v>260</v>
      </c>
      <c r="G253">
        <v>50</v>
      </c>
      <c r="H253">
        <v>11</v>
      </c>
      <c r="I253">
        <v>36</v>
      </c>
      <c r="J253">
        <v>275312</v>
      </c>
      <c r="K253">
        <v>98</v>
      </c>
      <c r="L253">
        <v>1</v>
      </c>
      <c r="M253">
        <v>1</v>
      </c>
      <c r="N253">
        <v>4</v>
      </c>
      <c r="O253">
        <v>1</v>
      </c>
      <c r="P253">
        <v>0</v>
      </c>
      <c r="Q253">
        <v>0</v>
      </c>
      <c r="R253">
        <v>65</v>
      </c>
      <c r="S253">
        <v>168</v>
      </c>
      <c r="T253">
        <v>23</v>
      </c>
      <c r="U253">
        <v>0</v>
      </c>
    </row>
    <row r="254" spans="1:21" x14ac:dyDescent="0.3">
      <c r="A254">
        <v>11</v>
      </c>
      <c r="B254">
        <v>19</v>
      </c>
      <c r="C254">
        <v>8</v>
      </c>
      <c r="D254">
        <v>6</v>
      </c>
      <c r="E254">
        <v>1</v>
      </c>
      <c r="F254">
        <v>289</v>
      </c>
      <c r="G254">
        <v>36</v>
      </c>
      <c r="H254">
        <v>13</v>
      </c>
      <c r="I254">
        <v>33</v>
      </c>
      <c r="J254">
        <v>265615</v>
      </c>
      <c r="K254">
        <v>94</v>
      </c>
      <c r="L254">
        <v>0</v>
      </c>
      <c r="M254">
        <v>1</v>
      </c>
      <c r="N254">
        <v>2</v>
      </c>
      <c r="O254">
        <v>1</v>
      </c>
      <c r="P254">
        <v>0</v>
      </c>
      <c r="Q254">
        <v>1</v>
      </c>
      <c r="R254">
        <v>90</v>
      </c>
      <c r="S254">
        <v>172</v>
      </c>
      <c r="T254">
        <v>30</v>
      </c>
      <c r="U254">
        <v>8</v>
      </c>
    </row>
    <row r="255" spans="1:21" x14ac:dyDescent="0.3">
      <c r="A255">
        <v>30</v>
      </c>
      <c r="B255">
        <v>19</v>
      </c>
      <c r="C255">
        <v>8</v>
      </c>
      <c r="D255">
        <v>6</v>
      </c>
      <c r="E255">
        <v>1</v>
      </c>
      <c r="F255">
        <v>157</v>
      </c>
      <c r="G255">
        <v>27</v>
      </c>
      <c r="H255">
        <v>6</v>
      </c>
      <c r="I255">
        <v>29</v>
      </c>
      <c r="J255">
        <v>265615</v>
      </c>
      <c r="K255">
        <v>94</v>
      </c>
      <c r="L255">
        <v>0</v>
      </c>
      <c r="M255">
        <v>1</v>
      </c>
      <c r="N255">
        <v>0</v>
      </c>
      <c r="O255">
        <v>1</v>
      </c>
      <c r="P255">
        <v>1</v>
      </c>
      <c r="Q255">
        <v>0</v>
      </c>
      <c r="R255">
        <v>75</v>
      </c>
      <c r="S255">
        <v>185</v>
      </c>
      <c r="T255">
        <v>22</v>
      </c>
      <c r="U255">
        <v>3</v>
      </c>
    </row>
    <row r="256" spans="1:21" x14ac:dyDescent="0.3">
      <c r="A256">
        <v>11</v>
      </c>
      <c r="B256">
        <v>23</v>
      </c>
      <c r="C256">
        <v>8</v>
      </c>
      <c r="D256">
        <v>2</v>
      </c>
      <c r="E256">
        <v>1</v>
      </c>
      <c r="F256">
        <v>289</v>
      </c>
      <c r="G256">
        <v>36</v>
      </c>
      <c r="H256">
        <v>13</v>
      </c>
      <c r="I256">
        <v>33</v>
      </c>
      <c r="J256">
        <v>265615</v>
      </c>
      <c r="K256">
        <v>94</v>
      </c>
      <c r="L256">
        <v>0</v>
      </c>
      <c r="M256">
        <v>1</v>
      </c>
      <c r="N256">
        <v>2</v>
      </c>
      <c r="O256">
        <v>1</v>
      </c>
      <c r="P256">
        <v>0</v>
      </c>
      <c r="Q256">
        <v>1</v>
      </c>
      <c r="R256">
        <v>90</v>
      </c>
      <c r="S256">
        <v>172</v>
      </c>
      <c r="T256">
        <v>30</v>
      </c>
      <c r="U256">
        <v>1</v>
      </c>
    </row>
    <row r="257" spans="1:21" x14ac:dyDescent="0.3">
      <c r="A257">
        <v>9</v>
      </c>
      <c r="B257">
        <v>18</v>
      </c>
      <c r="C257">
        <v>8</v>
      </c>
      <c r="D257">
        <v>3</v>
      </c>
      <c r="E257">
        <v>1</v>
      </c>
      <c r="F257">
        <v>228</v>
      </c>
      <c r="G257">
        <v>14</v>
      </c>
      <c r="H257">
        <v>16</v>
      </c>
      <c r="I257">
        <v>58</v>
      </c>
      <c r="J257">
        <v>265615</v>
      </c>
      <c r="K257">
        <v>94</v>
      </c>
      <c r="L257">
        <v>0</v>
      </c>
      <c r="M257">
        <v>1</v>
      </c>
      <c r="N257">
        <v>2</v>
      </c>
      <c r="O257">
        <v>0</v>
      </c>
      <c r="P257">
        <v>0</v>
      </c>
      <c r="Q257">
        <v>1</v>
      </c>
      <c r="R257">
        <v>65</v>
      </c>
      <c r="S257">
        <v>172</v>
      </c>
      <c r="T257">
        <v>22</v>
      </c>
      <c r="U257">
        <v>8</v>
      </c>
    </row>
    <row r="258" spans="1:21" x14ac:dyDescent="0.3">
      <c r="A258">
        <v>26</v>
      </c>
      <c r="B258">
        <v>13</v>
      </c>
      <c r="C258">
        <v>8</v>
      </c>
      <c r="D258">
        <v>5</v>
      </c>
      <c r="E258">
        <v>1</v>
      </c>
      <c r="F258">
        <v>300</v>
      </c>
      <c r="G258">
        <v>26</v>
      </c>
      <c r="H258">
        <v>13</v>
      </c>
      <c r="I258">
        <v>43</v>
      </c>
      <c r="J258">
        <v>265615</v>
      </c>
      <c r="K258">
        <v>94</v>
      </c>
      <c r="L258">
        <v>0</v>
      </c>
      <c r="M258">
        <v>1</v>
      </c>
      <c r="N258">
        <v>2</v>
      </c>
      <c r="O258">
        <v>1</v>
      </c>
      <c r="P258">
        <v>1</v>
      </c>
      <c r="Q258">
        <v>1</v>
      </c>
      <c r="R258">
        <v>77</v>
      </c>
      <c r="S258">
        <v>175</v>
      </c>
      <c r="T258">
        <v>25</v>
      </c>
      <c r="U258">
        <v>1</v>
      </c>
    </row>
    <row r="259" spans="1:21" x14ac:dyDescent="0.3">
      <c r="A259">
        <v>26</v>
      </c>
      <c r="B259">
        <v>14</v>
      </c>
      <c r="C259">
        <v>8</v>
      </c>
      <c r="D259">
        <v>5</v>
      </c>
      <c r="E259">
        <v>1</v>
      </c>
      <c r="F259">
        <v>300</v>
      </c>
      <c r="G259">
        <v>26</v>
      </c>
      <c r="H259">
        <v>13</v>
      </c>
      <c r="I259">
        <v>43</v>
      </c>
      <c r="J259">
        <v>265615</v>
      </c>
      <c r="K259">
        <v>94</v>
      </c>
      <c r="L259">
        <v>0</v>
      </c>
      <c r="M259">
        <v>1</v>
      </c>
      <c r="N259">
        <v>2</v>
      </c>
      <c r="O259">
        <v>1</v>
      </c>
      <c r="P259">
        <v>1</v>
      </c>
      <c r="Q259">
        <v>1</v>
      </c>
      <c r="R259">
        <v>77</v>
      </c>
      <c r="S259">
        <v>175</v>
      </c>
      <c r="T259">
        <v>25</v>
      </c>
      <c r="U259">
        <v>2</v>
      </c>
    </row>
    <row r="260" spans="1:21" x14ac:dyDescent="0.3">
      <c r="A260">
        <v>20</v>
      </c>
      <c r="B260">
        <v>28</v>
      </c>
      <c r="C260">
        <v>8</v>
      </c>
      <c r="D260">
        <v>6</v>
      </c>
      <c r="E260">
        <v>1</v>
      </c>
      <c r="F260">
        <v>260</v>
      </c>
      <c r="G260">
        <v>50</v>
      </c>
      <c r="H260">
        <v>11</v>
      </c>
      <c r="I260">
        <v>36</v>
      </c>
      <c r="J260">
        <v>265615</v>
      </c>
      <c r="K260">
        <v>94</v>
      </c>
      <c r="L260">
        <v>0</v>
      </c>
      <c r="M260">
        <v>1</v>
      </c>
      <c r="N260">
        <v>4</v>
      </c>
      <c r="O260">
        <v>1</v>
      </c>
      <c r="P260">
        <v>0</v>
      </c>
      <c r="Q260">
        <v>0</v>
      </c>
      <c r="R260">
        <v>65</v>
      </c>
      <c r="S260">
        <v>168</v>
      </c>
      <c r="T260">
        <v>23</v>
      </c>
      <c r="U260">
        <v>4</v>
      </c>
    </row>
    <row r="261" spans="1:21" x14ac:dyDescent="0.3">
      <c r="A261">
        <v>11</v>
      </c>
      <c r="B261">
        <v>23</v>
      </c>
      <c r="C261">
        <v>8</v>
      </c>
      <c r="D261">
        <v>3</v>
      </c>
      <c r="E261">
        <v>1</v>
      </c>
      <c r="F261">
        <v>289</v>
      </c>
      <c r="G261">
        <v>36</v>
      </c>
      <c r="H261">
        <v>13</v>
      </c>
      <c r="I261">
        <v>33</v>
      </c>
      <c r="J261">
        <v>265615</v>
      </c>
      <c r="K261">
        <v>94</v>
      </c>
      <c r="L261">
        <v>0</v>
      </c>
      <c r="M261">
        <v>1</v>
      </c>
      <c r="N261">
        <v>2</v>
      </c>
      <c r="O261">
        <v>1</v>
      </c>
      <c r="P261">
        <v>0</v>
      </c>
      <c r="Q261">
        <v>1</v>
      </c>
      <c r="R261">
        <v>90</v>
      </c>
      <c r="S261">
        <v>172</v>
      </c>
      <c r="T261">
        <v>30</v>
      </c>
      <c r="U261">
        <v>4</v>
      </c>
    </row>
    <row r="262" spans="1:21" x14ac:dyDescent="0.3">
      <c r="A262">
        <v>33</v>
      </c>
      <c r="B262">
        <v>23</v>
      </c>
      <c r="C262">
        <v>8</v>
      </c>
      <c r="D262">
        <v>4</v>
      </c>
      <c r="E262">
        <v>1</v>
      </c>
      <c r="F262">
        <v>248</v>
      </c>
      <c r="G262">
        <v>25</v>
      </c>
      <c r="H262">
        <v>14</v>
      </c>
      <c r="I262">
        <v>47</v>
      </c>
      <c r="J262">
        <v>265615</v>
      </c>
      <c r="K262">
        <v>94</v>
      </c>
      <c r="L262">
        <v>0</v>
      </c>
      <c r="M262">
        <v>1</v>
      </c>
      <c r="N262">
        <v>2</v>
      </c>
      <c r="O262">
        <v>0</v>
      </c>
      <c r="P262">
        <v>0</v>
      </c>
      <c r="Q262">
        <v>1</v>
      </c>
      <c r="R262">
        <v>86</v>
      </c>
      <c r="S262">
        <v>165</v>
      </c>
      <c r="T262">
        <v>32</v>
      </c>
      <c r="U262">
        <v>1</v>
      </c>
    </row>
    <row r="263" spans="1:21" x14ac:dyDescent="0.3">
      <c r="A263">
        <v>21</v>
      </c>
      <c r="B263">
        <v>11</v>
      </c>
      <c r="C263">
        <v>8</v>
      </c>
      <c r="D263">
        <v>5</v>
      </c>
      <c r="E263">
        <v>1</v>
      </c>
      <c r="F263">
        <v>268</v>
      </c>
      <c r="G263">
        <v>11</v>
      </c>
      <c r="H263">
        <v>8</v>
      </c>
      <c r="I263">
        <v>33</v>
      </c>
      <c r="J263">
        <v>265615</v>
      </c>
      <c r="K263">
        <v>94</v>
      </c>
      <c r="L263">
        <v>0</v>
      </c>
      <c r="M263">
        <v>2</v>
      </c>
      <c r="N263">
        <v>0</v>
      </c>
      <c r="O263">
        <v>0</v>
      </c>
      <c r="P263">
        <v>0</v>
      </c>
      <c r="Q263">
        <v>0</v>
      </c>
      <c r="R263">
        <v>79</v>
      </c>
      <c r="S263">
        <v>178</v>
      </c>
      <c r="T263">
        <v>25</v>
      </c>
      <c r="U263">
        <v>8</v>
      </c>
    </row>
    <row r="264" spans="1:21" x14ac:dyDescent="0.3">
      <c r="A264">
        <v>22</v>
      </c>
      <c r="B264">
        <v>23</v>
      </c>
      <c r="C264">
        <v>8</v>
      </c>
      <c r="D264">
        <v>5</v>
      </c>
      <c r="E264">
        <v>1</v>
      </c>
      <c r="F264">
        <v>179</v>
      </c>
      <c r="G264">
        <v>26</v>
      </c>
      <c r="H264">
        <v>9</v>
      </c>
      <c r="I264">
        <v>30</v>
      </c>
      <c r="J264">
        <v>265615</v>
      </c>
      <c r="K264">
        <v>94</v>
      </c>
      <c r="L264">
        <v>0</v>
      </c>
      <c r="M264">
        <v>3</v>
      </c>
      <c r="N264">
        <v>0</v>
      </c>
      <c r="O264">
        <v>0</v>
      </c>
      <c r="P264">
        <v>0</v>
      </c>
      <c r="Q264">
        <v>0</v>
      </c>
      <c r="R264">
        <v>56</v>
      </c>
      <c r="S264">
        <v>171</v>
      </c>
      <c r="T264">
        <v>19</v>
      </c>
      <c r="U264">
        <v>1</v>
      </c>
    </row>
    <row r="265" spans="1:21" x14ac:dyDescent="0.3">
      <c r="A265">
        <v>36</v>
      </c>
      <c r="B265">
        <v>13</v>
      </c>
      <c r="C265">
        <v>8</v>
      </c>
      <c r="D265">
        <v>5</v>
      </c>
      <c r="E265">
        <v>1</v>
      </c>
      <c r="F265">
        <v>118</v>
      </c>
      <c r="G265">
        <v>13</v>
      </c>
      <c r="H265">
        <v>18</v>
      </c>
      <c r="I265">
        <v>50</v>
      </c>
      <c r="J265">
        <v>265615</v>
      </c>
      <c r="K265">
        <v>94</v>
      </c>
      <c r="L265">
        <v>0</v>
      </c>
      <c r="M265">
        <v>1</v>
      </c>
      <c r="N265">
        <v>1</v>
      </c>
      <c r="O265">
        <v>1</v>
      </c>
      <c r="P265">
        <v>0</v>
      </c>
      <c r="Q265">
        <v>0</v>
      </c>
      <c r="R265">
        <v>98</v>
      </c>
      <c r="S265">
        <v>178</v>
      </c>
      <c r="T265">
        <v>31</v>
      </c>
      <c r="U265">
        <v>3</v>
      </c>
    </row>
    <row r="266" spans="1:21" x14ac:dyDescent="0.3">
      <c r="A266">
        <v>33</v>
      </c>
      <c r="B266">
        <v>25</v>
      </c>
      <c r="C266">
        <v>8</v>
      </c>
      <c r="D266">
        <v>2</v>
      </c>
      <c r="E266">
        <v>1</v>
      </c>
      <c r="F266">
        <v>248</v>
      </c>
      <c r="G266">
        <v>25</v>
      </c>
      <c r="H266">
        <v>14</v>
      </c>
      <c r="I266">
        <v>47</v>
      </c>
      <c r="J266">
        <v>265615</v>
      </c>
      <c r="K266">
        <v>94</v>
      </c>
      <c r="L266">
        <v>0</v>
      </c>
      <c r="M266">
        <v>1</v>
      </c>
      <c r="N266">
        <v>2</v>
      </c>
      <c r="O266">
        <v>0</v>
      </c>
      <c r="P266">
        <v>0</v>
      </c>
      <c r="Q266">
        <v>1</v>
      </c>
      <c r="R266">
        <v>86</v>
      </c>
      <c r="S266">
        <v>165</v>
      </c>
      <c r="T266">
        <v>32</v>
      </c>
      <c r="U266">
        <v>2</v>
      </c>
    </row>
    <row r="267" spans="1:21" x14ac:dyDescent="0.3">
      <c r="A267">
        <v>1</v>
      </c>
      <c r="B267">
        <v>23</v>
      </c>
      <c r="C267">
        <v>8</v>
      </c>
      <c r="D267">
        <v>3</v>
      </c>
      <c r="E267">
        <v>1</v>
      </c>
      <c r="F267">
        <v>235</v>
      </c>
      <c r="G267">
        <v>11</v>
      </c>
      <c r="H267">
        <v>14</v>
      </c>
      <c r="I267">
        <v>37</v>
      </c>
      <c r="J267">
        <v>265615</v>
      </c>
      <c r="K267">
        <v>94</v>
      </c>
      <c r="L267">
        <v>0</v>
      </c>
      <c r="M267">
        <v>3</v>
      </c>
      <c r="N267">
        <v>1</v>
      </c>
      <c r="O267">
        <v>0</v>
      </c>
      <c r="P267">
        <v>0</v>
      </c>
      <c r="Q267">
        <v>1</v>
      </c>
      <c r="R267">
        <v>88</v>
      </c>
      <c r="S267">
        <v>172</v>
      </c>
      <c r="T267">
        <v>29</v>
      </c>
      <c r="U267">
        <v>1</v>
      </c>
    </row>
    <row r="268" spans="1:21" x14ac:dyDescent="0.3">
      <c r="A268">
        <v>36</v>
      </c>
      <c r="B268">
        <v>23</v>
      </c>
      <c r="C268">
        <v>8</v>
      </c>
      <c r="D268">
        <v>5</v>
      </c>
      <c r="E268">
        <v>1</v>
      </c>
      <c r="F268">
        <v>118</v>
      </c>
      <c r="G268">
        <v>13</v>
      </c>
      <c r="H268">
        <v>18</v>
      </c>
      <c r="I268">
        <v>50</v>
      </c>
      <c r="J268">
        <v>265615</v>
      </c>
      <c r="K268">
        <v>94</v>
      </c>
      <c r="L268">
        <v>0</v>
      </c>
      <c r="M268">
        <v>1</v>
      </c>
      <c r="N268">
        <v>1</v>
      </c>
      <c r="O268">
        <v>1</v>
      </c>
      <c r="P268">
        <v>0</v>
      </c>
      <c r="Q268">
        <v>0</v>
      </c>
      <c r="R268">
        <v>98</v>
      </c>
      <c r="S268">
        <v>178</v>
      </c>
      <c r="T268">
        <v>31</v>
      </c>
      <c r="U268">
        <v>1</v>
      </c>
    </row>
    <row r="269" spans="1:21" x14ac:dyDescent="0.3">
      <c r="A269">
        <v>1</v>
      </c>
      <c r="B269">
        <v>19</v>
      </c>
      <c r="C269">
        <v>8</v>
      </c>
      <c r="D269">
        <v>5</v>
      </c>
      <c r="E269">
        <v>1</v>
      </c>
      <c r="F269">
        <v>235</v>
      </c>
      <c r="G269">
        <v>11</v>
      </c>
      <c r="H269">
        <v>14</v>
      </c>
      <c r="I269">
        <v>37</v>
      </c>
      <c r="J269">
        <v>265615</v>
      </c>
      <c r="K269">
        <v>94</v>
      </c>
      <c r="L269">
        <v>0</v>
      </c>
      <c r="M269">
        <v>3</v>
      </c>
      <c r="N269">
        <v>1</v>
      </c>
      <c r="O269">
        <v>0</v>
      </c>
      <c r="R269">
        <v>88</v>
      </c>
      <c r="S269">
        <v>172</v>
      </c>
      <c r="T269">
        <v>29</v>
      </c>
      <c r="U269">
        <v>8</v>
      </c>
    </row>
    <row r="270" spans="1:21" x14ac:dyDescent="0.3">
      <c r="A270">
        <v>10</v>
      </c>
      <c r="B270">
        <v>8</v>
      </c>
      <c r="C270">
        <v>8</v>
      </c>
      <c r="D270">
        <v>3</v>
      </c>
      <c r="E270">
        <v>1</v>
      </c>
      <c r="F270">
        <v>361</v>
      </c>
      <c r="G270">
        <v>52</v>
      </c>
      <c r="H270">
        <v>3</v>
      </c>
      <c r="I270">
        <v>28</v>
      </c>
      <c r="J270">
        <v>265615</v>
      </c>
      <c r="K270">
        <v>94</v>
      </c>
      <c r="N270">
        <v>1</v>
      </c>
      <c r="O270">
        <v>1</v>
      </c>
      <c r="P270">
        <v>0</v>
      </c>
      <c r="Q270">
        <v>4</v>
      </c>
      <c r="R270">
        <v>80</v>
      </c>
      <c r="T270">
        <v>27</v>
      </c>
      <c r="U270">
        <v>8</v>
      </c>
    </row>
    <row r="271" spans="1:21" x14ac:dyDescent="0.3">
      <c r="A271">
        <v>27</v>
      </c>
      <c r="B271">
        <v>6</v>
      </c>
      <c r="C271">
        <v>8</v>
      </c>
      <c r="D271">
        <v>4</v>
      </c>
      <c r="E271">
        <v>1</v>
      </c>
      <c r="F271">
        <v>184</v>
      </c>
      <c r="G271">
        <v>42</v>
      </c>
      <c r="H271">
        <v>7</v>
      </c>
      <c r="I271">
        <v>27</v>
      </c>
      <c r="J271">
        <v>265615</v>
      </c>
      <c r="K271">
        <v>94</v>
      </c>
      <c r="L271">
        <v>0</v>
      </c>
      <c r="M271">
        <v>1</v>
      </c>
      <c r="N271">
        <v>0</v>
      </c>
      <c r="O271">
        <v>0</v>
      </c>
      <c r="P271">
        <v>0</v>
      </c>
      <c r="Q271">
        <v>0</v>
      </c>
      <c r="R271">
        <v>58</v>
      </c>
      <c r="S271">
        <v>167</v>
      </c>
      <c r="T271">
        <v>21</v>
      </c>
    </row>
    <row r="272" spans="1:21" x14ac:dyDescent="0.3">
      <c r="A272">
        <v>3</v>
      </c>
      <c r="B272">
        <v>11</v>
      </c>
      <c r="C272">
        <v>9</v>
      </c>
      <c r="D272">
        <v>2</v>
      </c>
      <c r="E272">
        <v>1</v>
      </c>
      <c r="F272">
        <v>179</v>
      </c>
      <c r="G272">
        <v>51</v>
      </c>
      <c r="H272">
        <v>18</v>
      </c>
      <c r="I272">
        <v>38</v>
      </c>
      <c r="J272">
        <v>294217</v>
      </c>
      <c r="K272">
        <v>81</v>
      </c>
      <c r="L272">
        <v>0</v>
      </c>
      <c r="M272">
        <v>1</v>
      </c>
      <c r="N272">
        <v>0</v>
      </c>
      <c r="O272">
        <v>1</v>
      </c>
      <c r="P272">
        <v>0</v>
      </c>
      <c r="Q272">
        <v>0</v>
      </c>
      <c r="R272">
        <v>89</v>
      </c>
      <c r="S272">
        <v>170</v>
      </c>
      <c r="T272">
        <v>31</v>
      </c>
      <c r="U272">
        <v>8</v>
      </c>
    </row>
    <row r="273" spans="1:21" x14ac:dyDescent="0.3">
      <c r="A273">
        <v>3</v>
      </c>
      <c r="B273">
        <v>23</v>
      </c>
      <c r="C273">
        <v>9</v>
      </c>
      <c r="D273">
        <v>6</v>
      </c>
      <c r="E273">
        <v>1</v>
      </c>
      <c r="F273">
        <v>179</v>
      </c>
      <c r="G273">
        <v>51</v>
      </c>
      <c r="H273">
        <v>18</v>
      </c>
      <c r="I273">
        <v>38</v>
      </c>
      <c r="J273">
        <v>294217</v>
      </c>
      <c r="K273">
        <v>81</v>
      </c>
      <c r="L273">
        <v>0</v>
      </c>
      <c r="M273">
        <v>1</v>
      </c>
      <c r="N273">
        <v>0</v>
      </c>
      <c r="O273">
        <v>1</v>
      </c>
      <c r="P273">
        <v>0</v>
      </c>
      <c r="Q273">
        <v>0</v>
      </c>
      <c r="R273">
        <v>89</v>
      </c>
      <c r="S273">
        <v>170</v>
      </c>
      <c r="T273">
        <v>31</v>
      </c>
      <c r="U273">
        <v>3</v>
      </c>
    </row>
    <row r="274" spans="1:21" x14ac:dyDescent="0.3">
      <c r="A274">
        <v>11</v>
      </c>
      <c r="B274">
        <v>19</v>
      </c>
      <c r="C274">
        <v>9</v>
      </c>
      <c r="D274">
        <v>4</v>
      </c>
      <c r="E274">
        <v>1</v>
      </c>
      <c r="F274">
        <v>289</v>
      </c>
      <c r="G274">
        <v>36</v>
      </c>
      <c r="H274">
        <v>13</v>
      </c>
      <c r="I274">
        <v>33</v>
      </c>
      <c r="J274">
        <v>294217</v>
      </c>
      <c r="K274">
        <v>81</v>
      </c>
      <c r="L274">
        <v>0</v>
      </c>
      <c r="M274">
        <v>1</v>
      </c>
      <c r="N274">
        <v>2</v>
      </c>
      <c r="O274">
        <v>1</v>
      </c>
      <c r="Q274">
        <v>1</v>
      </c>
      <c r="R274">
        <v>90</v>
      </c>
      <c r="U274">
        <v>24</v>
      </c>
    </row>
    <row r="275" spans="1:21" x14ac:dyDescent="0.3">
      <c r="A275">
        <v>5</v>
      </c>
      <c r="B275">
        <v>0</v>
      </c>
      <c r="C275">
        <v>9</v>
      </c>
      <c r="D275">
        <v>5</v>
      </c>
      <c r="E275">
        <v>1</v>
      </c>
      <c r="F275">
        <v>235</v>
      </c>
      <c r="G275">
        <v>20</v>
      </c>
      <c r="H275">
        <v>13</v>
      </c>
      <c r="I275">
        <v>43</v>
      </c>
      <c r="J275">
        <v>294217</v>
      </c>
      <c r="K275">
        <v>81</v>
      </c>
      <c r="L275">
        <v>1</v>
      </c>
      <c r="M275">
        <v>1</v>
      </c>
      <c r="N275">
        <v>1</v>
      </c>
      <c r="O275">
        <v>1</v>
      </c>
      <c r="P275">
        <v>0</v>
      </c>
      <c r="Q275">
        <v>0</v>
      </c>
      <c r="R275">
        <v>106</v>
      </c>
      <c r="U275">
        <v>0</v>
      </c>
    </row>
    <row r="276" spans="1:21" x14ac:dyDescent="0.3">
      <c r="A276">
        <v>24</v>
      </c>
      <c r="B276">
        <v>9</v>
      </c>
      <c r="C276">
        <v>9</v>
      </c>
      <c r="D276">
        <v>2</v>
      </c>
      <c r="E276">
        <v>1</v>
      </c>
      <c r="F276">
        <v>246</v>
      </c>
      <c r="G276">
        <v>25</v>
      </c>
      <c r="H276">
        <v>16</v>
      </c>
      <c r="I276">
        <v>41</v>
      </c>
      <c r="J276">
        <v>294217</v>
      </c>
      <c r="K276">
        <v>81</v>
      </c>
      <c r="L276">
        <v>0</v>
      </c>
      <c r="N276">
        <v>0</v>
      </c>
      <c r="O276">
        <v>1</v>
      </c>
      <c r="P276">
        <v>0</v>
      </c>
      <c r="Q276">
        <v>0</v>
      </c>
      <c r="R276">
        <v>67</v>
      </c>
      <c r="S276">
        <v>170</v>
      </c>
      <c r="T276">
        <v>23</v>
      </c>
      <c r="U276">
        <v>16</v>
      </c>
    </row>
    <row r="277" spans="1:21" x14ac:dyDescent="0.3">
      <c r="A277">
        <v>15</v>
      </c>
      <c r="B277">
        <v>28</v>
      </c>
      <c r="C277">
        <v>9</v>
      </c>
      <c r="D277">
        <v>3</v>
      </c>
      <c r="E277">
        <v>1</v>
      </c>
      <c r="F277">
        <v>291</v>
      </c>
      <c r="G277">
        <v>31</v>
      </c>
      <c r="H277">
        <v>12</v>
      </c>
      <c r="I277">
        <v>40</v>
      </c>
      <c r="J277">
        <v>294217</v>
      </c>
      <c r="K277">
        <v>81</v>
      </c>
      <c r="L277">
        <v>0</v>
      </c>
      <c r="M277">
        <v>1</v>
      </c>
      <c r="N277">
        <v>1</v>
      </c>
      <c r="O277">
        <v>1</v>
      </c>
      <c r="Q277">
        <v>1</v>
      </c>
      <c r="R277">
        <v>73</v>
      </c>
      <c r="S277">
        <v>171</v>
      </c>
      <c r="T277">
        <v>25</v>
      </c>
      <c r="U277">
        <v>3</v>
      </c>
    </row>
    <row r="278" spans="1:21" x14ac:dyDescent="0.3">
      <c r="A278">
        <v>8</v>
      </c>
      <c r="B278">
        <v>0</v>
      </c>
      <c r="C278">
        <v>9</v>
      </c>
      <c r="D278">
        <v>3</v>
      </c>
      <c r="E278">
        <v>1</v>
      </c>
      <c r="F278">
        <v>231</v>
      </c>
      <c r="G278">
        <v>35</v>
      </c>
      <c r="H278">
        <v>14</v>
      </c>
      <c r="I278">
        <v>39</v>
      </c>
      <c r="J278">
        <v>294217</v>
      </c>
      <c r="K278">
        <v>81</v>
      </c>
      <c r="L278">
        <v>1</v>
      </c>
      <c r="M278">
        <v>1</v>
      </c>
      <c r="N278">
        <v>2</v>
      </c>
      <c r="O278">
        <v>1</v>
      </c>
      <c r="P278">
        <v>0</v>
      </c>
      <c r="Q278">
        <v>2</v>
      </c>
      <c r="R278">
        <v>100</v>
      </c>
      <c r="S278">
        <v>170</v>
      </c>
      <c r="T278">
        <v>35</v>
      </c>
      <c r="U278">
        <v>0</v>
      </c>
    </row>
    <row r="279" spans="1:21" x14ac:dyDescent="0.3">
      <c r="A279">
        <v>19</v>
      </c>
      <c r="B279">
        <v>0</v>
      </c>
      <c r="C279">
        <v>9</v>
      </c>
      <c r="D279">
        <v>3</v>
      </c>
      <c r="E279">
        <v>1</v>
      </c>
      <c r="F279">
        <v>291</v>
      </c>
      <c r="G279">
        <v>50</v>
      </c>
      <c r="H279">
        <v>12</v>
      </c>
      <c r="I279">
        <v>32</v>
      </c>
      <c r="J279">
        <v>294217</v>
      </c>
      <c r="K279">
        <v>81</v>
      </c>
      <c r="L279">
        <v>1</v>
      </c>
      <c r="M279">
        <v>1</v>
      </c>
      <c r="N279">
        <v>0</v>
      </c>
      <c r="O279">
        <v>1</v>
      </c>
      <c r="P279">
        <v>0</v>
      </c>
      <c r="Q279">
        <v>0</v>
      </c>
      <c r="R279">
        <v>65</v>
      </c>
      <c r="S279">
        <v>169</v>
      </c>
      <c r="T279">
        <v>23</v>
      </c>
      <c r="U279">
        <v>0</v>
      </c>
    </row>
    <row r="280" spans="1:21" x14ac:dyDescent="0.3">
      <c r="A280">
        <v>3</v>
      </c>
      <c r="B280">
        <v>13</v>
      </c>
      <c r="C280">
        <v>9</v>
      </c>
      <c r="D280">
        <v>4</v>
      </c>
      <c r="E280">
        <v>1</v>
      </c>
      <c r="F280">
        <v>179</v>
      </c>
      <c r="G280">
        <v>51</v>
      </c>
      <c r="H280">
        <v>18</v>
      </c>
      <c r="I280">
        <v>38</v>
      </c>
      <c r="J280">
        <v>294217</v>
      </c>
      <c r="K280">
        <v>81</v>
      </c>
      <c r="L280">
        <v>0</v>
      </c>
      <c r="M280">
        <v>1</v>
      </c>
      <c r="N280">
        <v>0</v>
      </c>
      <c r="O280">
        <v>1</v>
      </c>
      <c r="P280">
        <v>0</v>
      </c>
      <c r="Q280">
        <v>0</v>
      </c>
      <c r="R280">
        <v>89</v>
      </c>
      <c r="S280">
        <v>170</v>
      </c>
      <c r="T280">
        <v>31</v>
      </c>
      <c r="U280">
        <v>8</v>
      </c>
    </row>
    <row r="281" spans="1:21" x14ac:dyDescent="0.3">
      <c r="A281">
        <v>24</v>
      </c>
      <c r="B281">
        <v>9</v>
      </c>
      <c r="C281">
        <v>9</v>
      </c>
      <c r="D281">
        <v>4</v>
      </c>
      <c r="E281">
        <v>1</v>
      </c>
      <c r="F281">
        <v>246</v>
      </c>
      <c r="G281">
        <v>25</v>
      </c>
      <c r="H281">
        <v>16</v>
      </c>
      <c r="I281">
        <v>41</v>
      </c>
      <c r="J281">
        <v>294217</v>
      </c>
      <c r="K281">
        <v>81</v>
      </c>
      <c r="L281">
        <v>0</v>
      </c>
      <c r="M281">
        <v>1</v>
      </c>
      <c r="N281">
        <v>0</v>
      </c>
      <c r="O281">
        <v>1</v>
      </c>
      <c r="P281">
        <v>0</v>
      </c>
      <c r="Q281">
        <v>0</v>
      </c>
      <c r="R281">
        <v>67</v>
      </c>
      <c r="S281">
        <v>170</v>
      </c>
      <c r="T281">
        <v>23</v>
      </c>
      <c r="U281">
        <v>32</v>
      </c>
    </row>
    <row r="282" spans="1:21" x14ac:dyDescent="0.3">
      <c r="A282">
        <v>3</v>
      </c>
      <c r="B282">
        <v>23</v>
      </c>
      <c r="C282">
        <v>9</v>
      </c>
      <c r="D282">
        <v>5</v>
      </c>
      <c r="E282">
        <v>1</v>
      </c>
      <c r="F282">
        <v>179</v>
      </c>
      <c r="G282">
        <v>51</v>
      </c>
      <c r="H282">
        <v>18</v>
      </c>
      <c r="I282">
        <v>38</v>
      </c>
      <c r="J282">
        <v>294217</v>
      </c>
      <c r="K282">
        <v>81</v>
      </c>
      <c r="L282">
        <v>0</v>
      </c>
      <c r="M282">
        <v>1</v>
      </c>
      <c r="N282">
        <v>0</v>
      </c>
      <c r="O282">
        <v>1</v>
      </c>
      <c r="P282">
        <v>0</v>
      </c>
      <c r="Q282">
        <v>0</v>
      </c>
      <c r="R282">
        <v>89</v>
      </c>
      <c r="S282">
        <v>170</v>
      </c>
      <c r="T282">
        <v>31</v>
      </c>
      <c r="U282">
        <v>1</v>
      </c>
    </row>
    <row r="283" spans="1:21" x14ac:dyDescent="0.3">
      <c r="A283">
        <v>15</v>
      </c>
      <c r="B283">
        <v>28</v>
      </c>
      <c r="C283">
        <v>9</v>
      </c>
      <c r="D283">
        <v>6</v>
      </c>
      <c r="E283">
        <v>1</v>
      </c>
      <c r="F283">
        <v>291</v>
      </c>
      <c r="G283">
        <v>31</v>
      </c>
      <c r="H283">
        <v>12</v>
      </c>
      <c r="I283">
        <v>40</v>
      </c>
      <c r="J283">
        <v>294217</v>
      </c>
      <c r="K283">
        <v>81</v>
      </c>
      <c r="L283">
        <v>0</v>
      </c>
      <c r="M283">
        <v>1</v>
      </c>
      <c r="N283">
        <v>1</v>
      </c>
      <c r="O283">
        <v>1</v>
      </c>
      <c r="P283">
        <v>0</v>
      </c>
      <c r="Q283">
        <v>1</v>
      </c>
      <c r="R283">
        <v>73</v>
      </c>
      <c r="S283">
        <v>171</v>
      </c>
      <c r="T283">
        <v>25</v>
      </c>
      <c r="U283">
        <v>4</v>
      </c>
    </row>
    <row r="284" spans="1:21" x14ac:dyDescent="0.3">
      <c r="A284">
        <v>20</v>
      </c>
      <c r="B284">
        <v>28</v>
      </c>
      <c r="C284">
        <v>9</v>
      </c>
      <c r="D284">
        <v>6</v>
      </c>
      <c r="E284">
        <v>1</v>
      </c>
      <c r="F284">
        <v>260</v>
      </c>
      <c r="G284">
        <v>50</v>
      </c>
      <c r="H284">
        <v>11</v>
      </c>
      <c r="I284">
        <v>36</v>
      </c>
      <c r="J284">
        <v>294217</v>
      </c>
      <c r="K284">
        <v>81</v>
      </c>
      <c r="L284">
        <v>0</v>
      </c>
      <c r="M284">
        <v>1</v>
      </c>
      <c r="N284">
        <v>4</v>
      </c>
      <c r="O284">
        <v>1</v>
      </c>
      <c r="P284">
        <v>0</v>
      </c>
      <c r="Q284">
        <v>0</v>
      </c>
      <c r="R284">
        <v>65</v>
      </c>
      <c r="S284">
        <v>168</v>
      </c>
      <c r="T284">
        <v>23</v>
      </c>
      <c r="U284">
        <v>4</v>
      </c>
    </row>
    <row r="285" spans="1:21" x14ac:dyDescent="0.3">
      <c r="A285">
        <v>5</v>
      </c>
      <c r="B285">
        <v>26</v>
      </c>
      <c r="C285">
        <v>9</v>
      </c>
      <c r="D285">
        <v>4</v>
      </c>
      <c r="E285">
        <v>4</v>
      </c>
      <c r="F285">
        <v>235</v>
      </c>
      <c r="G285">
        <v>20</v>
      </c>
      <c r="H285">
        <v>13</v>
      </c>
      <c r="I285">
        <v>43</v>
      </c>
      <c r="J285">
        <v>294217</v>
      </c>
      <c r="K285">
        <v>81</v>
      </c>
      <c r="L285">
        <v>0</v>
      </c>
      <c r="M285">
        <v>1</v>
      </c>
      <c r="N285">
        <v>1</v>
      </c>
      <c r="O285">
        <v>1</v>
      </c>
      <c r="P285">
        <v>0</v>
      </c>
      <c r="Q285">
        <v>0</v>
      </c>
      <c r="R285">
        <v>106</v>
      </c>
      <c r="S285">
        <v>167</v>
      </c>
      <c r="T285">
        <v>38</v>
      </c>
      <c r="U285">
        <v>8</v>
      </c>
    </row>
    <row r="286" spans="1:21" x14ac:dyDescent="0.3">
      <c r="A286">
        <v>36</v>
      </c>
      <c r="B286">
        <v>28</v>
      </c>
      <c r="C286">
        <v>9</v>
      </c>
      <c r="D286">
        <v>5</v>
      </c>
      <c r="E286">
        <v>4</v>
      </c>
      <c r="F286">
        <v>118</v>
      </c>
      <c r="G286">
        <v>13</v>
      </c>
      <c r="H286">
        <v>18</v>
      </c>
      <c r="I286">
        <v>50</v>
      </c>
      <c r="J286">
        <v>294217</v>
      </c>
      <c r="K286">
        <v>81</v>
      </c>
      <c r="L286">
        <v>0</v>
      </c>
      <c r="M286">
        <v>1</v>
      </c>
      <c r="N286">
        <v>1</v>
      </c>
      <c r="O286">
        <v>1</v>
      </c>
      <c r="P286">
        <v>0</v>
      </c>
      <c r="Q286">
        <v>0</v>
      </c>
      <c r="R286">
        <v>98</v>
      </c>
      <c r="S286">
        <v>178</v>
      </c>
      <c r="T286">
        <v>31</v>
      </c>
      <c r="U286">
        <v>1</v>
      </c>
    </row>
    <row r="287" spans="1:21" x14ac:dyDescent="0.3">
      <c r="A287">
        <v>5</v>
      </c>
      <c r="B287">
        <v>0</v>
      </c>
      <c r="C287">
        <v>9</v>
      </c>
      <c r="D287">
        <v>5</v>
      </c>
      <c r="E287">
        <v>4</v>
      </c>
      <c r="F287">
        <v>235</v>
      </c>
      <c r="G287">
        <v>20</v>
      </c>
      <c r="H287">
        <v>13</v>
      </c>
      <c r="I287">
        <v>43</v>
      </c>
      <c r="J287">
        <v>294217</v>
      </c>
      <c r="K287">
        <v>81</v>
      </c>
      <c r="L287">
        <v>1</v>
      </c>
      <c r="M287">
        <v>1</v>
      </c>
      <c r="N287">
        <v>1</v>
      </c>
      <c r="O287">
        <v>1</v>
      </c>
      <c r="P287">
        <v>0</v>
      </c>
      <c r="Q287">
        <v>0</v>
      </c>
      <c r="R287">
        <v>106</v>
      </c>
      <c r="S287">
        <v>167</v>
      </c>
      <c r="T287">
        <v>38</v>
      </c>
      <c r="U287">
        <v>0</v>
      </c>
    </row>
    <row r="288" spans="1:21" x14ac:dyDescent="0.3">
      <c r="A288">
        <v>15</v>
      </c>
      <c r="B288">
        <v>28</v>
      </c>
      <c r="C288">
        <v>9</v>
      </c>
      <c r="D288">
        <v>6</v>
      </c>
      <c r="E288">
        <v>4</v>
      </c>
      <c r="F288">
        <v>291</v>
      </c>
      <c r="G288">
        <v>31</v>
      </c>
      <c r="H288">
        <v>12</v>
      </c>
      <c r="I288">
        <v>40</v>
      </c>
      <c r="J288">
        <v>294217</v>
      </c>
      <c r="K288">
        <v>81</v>
      </c>
      <c r="L288">
        <v>0</v>
      </c>
      <c r="M288">
        <v>1</v>
      </c>
      <c r="N288">
        <v>1</v>
      </c>
      <c r="O288">
        <v>1</v>
      </c>
      <c r="P288">
        <v>0</v>
      </c>
      <c r="Q288">
        <v>1</v>
      </c>
      <c r="R288">
        <v>73</v>
      </c>
      <c r="S288">
        <v>171</v>
      </c>
      <c r="T288">
        <v>25</v>
      </c>
      <c r="U288">
        <v>3</v>
      </c>
    </row>
    <row r="289" spans="1:21" x14ac:dyDescent="0.3">
      <c r="A289">
        <v>15</v>
      </c>
      <c r="B289">
        <v>7</v>
      </c>
      <c r="C289">
        <v>9</v>
      </c>
      <c r="D289">
        <v>2</v>
      </c>
      <c r="E289">
        <v>4</v>
      </c>
      <c r="F289">
        <v>291</v>
      </c>
      <c r="G289">
        <v>31</v>
      </c>
      <c r="H289">
        <v>12</v>
      </c>
      <c r="I289">
        <v>40</v>
      </c>
      <c r="J289">
        <v>294217</v>
      </c>
      <c r="K289">
        <v>81</v>
      </c>
      <c r="L289">
        <v>0</v>
      </c>
      <c r="M289">
        <v>1</v>
      </c>
      <c r="N289">
        <v>1</v>
      </c>
      <c r="O289">
        <v>1</v>
      </c>
      <c r="P289">
        <v>0</v>
      </c>
      <c r="Q289">
        <v>1</v>
      </c>
      <c r="R289">
        <v>73</v>
      </c>
      <c r="S289">
        <v>171</v>
      </c>
      <c r="T289">
        <v>25</v>
      </c>
      <c r="U289">
        <v>40</v>
      </c>
    </row>
    <row r="290" spans="1:21" x14ac:dyDescent="0.3">
      <c r="A290">
        <v>3</v>
      </c>
      <c r="B290">
        <v>13</v>
      </c>
      <c r="C290">
        <v>9</v>
      </c>
      <c r="D290">
        <v>2</v>
      </c>
      <c r="E290">
        <v>4</v>
      </c>
      <c r="F290">
        <v>179</v>
      </c>
      <c r="G290">
        <v>51</v>
      </c>
      <c r="H290">
        <v>18</v>
      </c>
      <c r="I290">
        <v>38</v>
      </c>
      <c r="J290">
        <v>294217</v>
      </c>
      <c r="K290">
        <v>81</v>
      </c>
      <c r="L290">
        <v>0</v>
      </c>
      <c r="M290">
        <v>1</v>
      </c>
      <c r="N290">
        <v>0</v>
      </c>
      <c r="O290">
        <v>1</v>
      </c>
      <c r="P290">
        <v>0</v>
      </c>
      <c r="Q290">
        <v>0</v>
      </c>
      <c r="R290">
        <v>89</v>
      </c>
      <c r="S290">
        <v>170</v>
      </c>
      <c r="T290">
        <v>31</v>
      </c>
      <c r="U290">
        <v>8</v>
      </c>
    </row>
    <row r="291" spans="1:21" x14ac:dyDescent="0.3">
      <c r="A291">
        <v>11</v>
      </c>
      <c r="B291">
        <v>24</v>
      </c>
      <c r="C291">
        <v>10</v>
      </c>
      <c r="D291">
        <v>2</v>
      </c>
      <c r="E291">
        <v>4</v>
      </c>
      <c r="F291">
        <v>289</v>
      </c>
      <c r="G291">
        <v>36</v>
      </c>
      <c r="H291">
        <v>13</v>
      </c>
      <c r="I291">
        <v>33</v>
      </c>
      <c r="J291">
        <v>265017</v>
      </c>
      <c r="K291">
        <v>88</v>
      </c>
      <c r="L291">
        <v>0</v>
      </c>
      <c r="M291">
        <v>1</v>
      </c>
      <c r="N291">
        <v>2</v>
      </c>
      <c r="O291">
        <v>1</v>
      </c>
      <c r="P291">
        <v>0</v>
      </c>
      <c r="Q291">
        <v>1</v>
      </c>
      <c r="R291">
        <v>90</v>
      </c>
      <c r="S291">
        <v>172</v>
      </c>
      <c r="T291">
        <v>30</v>
      </c>
      <c r="U291">
        <v>8</v>
      </c>
    </row>
    <row r="292" spans="1:21" x14ac:dyDescent="0.3">
      <c r="A292">
        <v>1</v>
      </c>
      <c r="B292">
        <v>26</v>
      </c>
      <c r="C292">
        <v>10</v>
      </c>
      <c r="D292">
        <v>2</v>
      </c>
      <c r="E292">
        <v>4</v>
      </c>
      <c r="F292">
        <v>235</v>
      </c>
      <c r="G292">
        <v>11</v>
      </c>
      <c r="H292">
        <v>14</v>
      </c>
      <c r="I292">
        <v>37</v>
      </c>
      <c r="J292">
        <v>265017</v>
      </c>
      <c r="K292">
        <v>88</v>
      </c>
      <c r="L292">
        <v>0</v>
      </c>
      <c r="M292">
        <v>3</v>
      </c>
      <c r="N292">
        <v>1</v>
      </c>
      <c r="O292">
        <v>0</v>
      </c>
      <c r="P292">
        <v>0</v>
      </c>
      <c r="Q292">
        <v>1</v>
      </c>
      <c r="R292">
        <v>88</v>
      </c>
      <c r="S292">
        <v>172</v>
      </c>
      <c r="T292">
        <v>29</v>
      </c>
      <c r="U292">
        <v>4</v>
      </c>
    </row>
    <row r="293" spans="1:21" x14ac:dyDescent="0.3">
      <c r="A293">
        <v>11</v>
      </c>
      <c r="B293">
        <v>26</v>
      </c>
      <c r="C293">
        <v>10</v>
      </c>
      <c r="D293">
        <v>2</v>
      </c>
      <c r="E293">
        <v>4</v>
      </c>
      <c r="F293">
        <v>289</v>
      </c>
      <c r="G293">
        <v>36</v>
      </c>
      <c r="H293">
        <v>13</v>
      </c>
      <c r="I293">
        <v>33</v>
      </c>
      <c r="J293">
        <v>265017</v>
      </c>
      <c r="K293">
        <v>88</v>
      </c>
      <c r="L293">
        <v>0</v>
      </c>
      <c r="M293">
        <v>1</v>
      </c>
      <c r="N293">
        <v>2</v>
      </c>
      <c r="O293">
        <v>1</v>
      </c>
      <c r="P293">
        <v>0</v>
      </c>
      <c r="Q293">
        <v>1</v>
      </c>
      <c r="R293">
        <v>90</v>
      </c>
      <c r="S293">
        <v>172</v>
      </c>
      <c r="T293">
        <v>30</v>
      </c>
      <c r="U293">
        <v>8</v>
      </c>
    </row>
    <row r="294" spans="1:21" x14ac:dyDescent="0.3">
      <c r="A294">
        <v>11</v>
      </c>
      <c r="B294">
        <v>22</v>
      </c>
      <c r="C294">
        <v>10</v>
      </c>
      <c r="D294">
        <v>6</v>
      </c>
      <c r="E294">
        <v>4</v>
      </c>
      <c r="F294">
        <v>289</v>
      </c>
      <c r="G294">
        <v>36</v>
      </c>
      <c r="H294">
        <v>13</v>
      </c>
      <c r="I294">
        <v>33</v>
      </c>
      <c r="J294">
        <v>265017</v>
      </c>
      <c r="K294">
        <v>88</v>
      </c>
      <c r="L294">
        <v>0</v>
      </c>
      <c r="M294">
        <v>1</v>
      </c>
      <c r="N294">
        <v>2</v>
      </c>
      <c r="O294">
        <v>1</v>
      </c>
      <c r="P294">
        <v>0</v>
      </c>
      <c r="Q294">
        <v>1</v>
      </c>
      <c r="R294">
        <v>90</v>
      </c>
      <c r="S294">
        <v>172</v>
      </c>
      <c r="T294">
        <v>30</v>
      </c>
      <c r="U294">
        <v>8</v>
      </c>
    </row>
    <row r="295" spans="1:21" x14ac:dyDescent="0.3">
      <c r="A295">
        <v>36</v>
      </c>
      <c r="B295">
        <v>0</v>
      </c>
      <c r="C295">
        <v>10</v>
      </c>
      <c r="D295">
        <v>6</v>
      </c>
      <c r="E295">
        <v>4</v>
      </c>
      <c r="F295">
        <v>118</v>
      </c>
      <c r="G295">
        <v>13</v>
      </c>
      <c r="H295">
        <v>18</v>
      </c>
      <c r="I295">
        <v>50</v>
      </c>
      <c r="J295">
        <v>265017</v>
      </c>
      <c r="K295">
        <v>88</v>
      </c>
      <c r="L295">
        <v>1</v>
      </c>
      <c r="M295">
        <v>1</v>
      </c>
      <c r="N295">
        <v>1</v>
      </c>
      <c r="O295">
        <v>1</v>
      </c>
      <c r="P295">
        <v>0</v>
      </c>
      <c r="Q295">
        <v>0</v>
      </c>
      <c r="R295">
        <v>98</v>
      </c>
      <c r="S295">
        <v>178</v>
      </c>
      <c r="T295">
        <v>31</v>
      </c>
      <c r="U295">
        <v>0</v>
      </c>
    </row>
    <row r="296" spans="1:21" x14ac:dyDescent="0.3">
      <c r="A296">
        <v>33</v>
      </c>
      <c r="B296">
        <v>0</v>
      </c>
      <c r="C296">
        <v>10</v>
      </c>
      <c r="D296">
        <v>6</v>
      </c>
      <c r="E296">
        <v>4</v>
      </c>
      <c r="F296">
        <v>248</v>
      </c>
      <c r="G296">
        <v>25</v>
      </c>
      <c r="H296">
        <v>14</v>
      </c>
      <c r="I296">
        <v>47</v>
      </c>
      <c r="J296">
        <v>265017</v>
      </c>
      <c r="K296">
        <v>88</v>
      </c>
      <c r="L296">
        <v>1</v>
      </c>
      <c r="M296">
        <v>1</v>
      </c>
      <c r="N296">
        <v>2</v>
      </c>
      <c r="O296">
        <v>0</v>
      </c>
      <c r="P296">
        <v>0</v>
      </c>
      <c r="Q296">
        <v>1</v>
      </c>
      <c r="R296">
        <v>86</v>
      </c>
      <c r="S296">
        <v>165</v>
      </c>
      <c r="T296">
        <v>32</v>
      </c>
      <c r="U296">
        <v>0</v>
      </c>
    </row>
    <row r="297" spans="1:21" x14ac:dyDescent="0.3">
      <c r="A297">
        <v>22</v>
      </c>
      <c r="B297">
        <v>1</v>
      </c>
      <c r="C297">
        <v>10</v>
      </c>
      <c r="D297">
        <v>2</v>
      </c>
      <c r="E297">
        <v>4</v>
      </c>
      <c r="F297">
        <v>179</v>
      </c>
      <c r="G297">
        <v>26</v>
      </c>
      <c r="H297">
        <v>9</v>
      </c>
      <c r="I297">
        <v>30</v>
      </c>
      <c r="J297">
        <v>265017</v>
      </c>
      <c r="K297">
        <v>88</v>
      </c>
      <c r="L297">
        <v>0</v>
      </c>
      <c r="M297">
        <v>3</v>
      </c>
      <c r="N297">
        <v>0</v>
      </c>
      <c r="O297">
        <v>0</v>
      </c>
      <c r="P297">
        <v>0</v>
      </c>
      <c r="Q297">
        <v>0</v>
      </c>
      <c r="R297">
        <v>56</v>
      </c>
      <c r="S297">
        <v>171</v>
      </c>
      <c r="T297">
        <v>19</v>
      </c>
      <c r="U297">
        <v>8</v>
      </c>
    </row>
    <row r="298" spans="1:21" x14ac:dyDescent="0.3">
      <c r="A298">
        <v>34</v>
      </c>
      <c r="B298">
        <v>7</v>
      </c>
      <c r="C298">
        <v>10</v>
      </c>
      <c r="D298">
        <v>2</v>
      </c>
      <c r="E298">
        <v>4</v>
      </c>
      <c r="F298">
        <v>118</v>
      </c>
      <c r="G298">
        <v>10</v>
      </c>
      <c r="H298">
        <v>10</v>
      </c>
      <c r="I298">
        <v>37</v>
      </c>
      <c r="J298">
        <v>265017</v>
      </c>
      <c r="K298">
        <v>88</v>
      </c>
      <c r="L298">
        <v>0</v>
      </c>
      <c r="M298">
        <v>1</v>
      </c>
      <c r="N298">
        <v>0</v>
      </c>
      <c r="O298">
        <v>0</v>
      </c>
      <c r="P298">
        <v>0</v>
      </c>
      <c r="Q298">
        <v>0</v>
      </c>
      <c r="R298">
        <v>83</v>
      </c>
      <c r="S298">
        <v>172</v>
      </c>
      <c r="T298">
        <v>28</v>
      </c>
      <c r="U298">
        <v>3</v>
      </c>
    </row>
    <row r="299" spans="1:21" x14ac:dyDescent="0.3">
      <c r="A299">
        <v>13</v>
      </c>
      <c r="B299">
        <v>22</v>
      </c>
      <c r="C299">
        <v>10</v>
      </c>
      <c r="D299">
        <v>2</v>
      </c>
      <c r="E299">
        <v>4</v>
      </c>
      <c r="F299">
        <v>369</v>
      </c>
      <c r="G299">
        <v>17</v>
      </c>
      <c r="H299">
        <v>12</v>
      </c>
      <c r="I299">
        <v>31</v>
      </c>
      <c r="J299">
        <v>265017</v>
      </c>
      <c r="K299">
        <v>88</v>
      </c>
      <c r="L299">
        <v>0</v>
      </c>
      <c r="M299">
        <v>1</v>
      </c>
      <c r="N299">
        <v>3</v>
      </c>
      <c r="O299">
        <v>1</v>
      </c>
      <c r="P299">
        <v>0</v>
      </c>
      <c r="Q299">
        <v>0</v>
      </c>
      <c r="R299">
        <v>70</v>
      </c>
      <c r="S299">
        <v>169</v>
      </c>
      <c r="T299">
        <v>25</v>
      </c>
      <c r="U299">
        <v>8</v>
      </c>
    </row>
    <row r="300" spans="1:21" x14ac:dyDescent="0.3">
      <c r="A300">
        <v>3</v>
      </c>
      <c r="B300">
        <v>28</v>
      </c>
      <c r="C300">
        <v>10</v>
      </c>
      <c r="D300">
        <v>4</v>
      </c>
      <c r="E300">
        <v>4</v>
      </c>
      <c r="F300">
        <v>179</v>
      </c>
      <c r="G300">
        <v>51</v>
      </c>
      <c r="H300">
        <v>18</v>
      </c>
      <c r="I300">
        <v>38</v>
      </c>
      <c r="J300">
        <v>265017</v>
      </c>
      <c r="K300">
        <v>88</v>
      </c>
      <c r="L300">
        <v>0</v>
      </c>
      <c r="M300">
        <v>1</v>
      </c>
      <c r="N300">
        <v>0</v>
      </c>
      <c r="O300">
        <v>1</v>
      </c>
      <c r="P300">
        <v>0</v>
      </c>
      <c r="Q300">
        <v>0</v>
      </c>
      <c r="R300">
        <v>89</v>
      </c>
      <c r="S300">
        <v>170</v>
      </c>
      <c r="T300">
        <v>31</v>
      </c>
      <c r="U300">
        <v>1</v>
      </c>
    </row>
    <row r="301" spans="1:21" x14ac:dyDescent="0.3">
      <c r="A301">
        <v>22</v>
      </c>
      <c r="B301">
        <v>1</v>
      </c>
      <c r="C301">
        <v>10</v>
      </c>
      <c r="D301">
        <v>4</v>
      </c>
      <c r="E301">
        <v>4</v>
      </c>
      <c r="F301">
        <v>179</v>
      </c>
      <c r="G301">
        <v>26</v>
      </c>
      <c r="H301">
        <v>9</v>
      </c>
      <c r="I301">
        <v>30</v>
      </c>
      <c r="J301">
        <v>265017</v>
      </c>
      <c r="K301">
        <v>88</v>
      </c>
      <c r="L301">
        <v>0</v>
      </c>
      <c r="M301">
        <v>3</v>
      </c>
      <c r="N301">
        <v>0</v>
      </c>
      <c r="O301">
        <v>0</v>
      </c>
      <c r="P301">
        <v>0</v>
      </c>
      <c r="Q301">
        <v>0</v>
      </c>
      <c r="R301">
        <v>56</v>
      </c>
      <c r="S301">
        <v>171</v>
      </c>
      <c r="T301">
        <v>19</v>
      </c>
      <c r="U301">
        <v>64</v>
      </c>
    </row>
    <row r="302" spans="1:21" x14ac:dyDescent="0.3">
      <c r="A302">
        <v>5</v>
      </c>
      <c r="B302">
        <v>0</v>
      </c>
      <c r="C302">
        <v>10</v>
      </c>
      <c r="D302">
        <v>4</v>
      </c>
      <c r="E302">
        <v>4</v>
      </c>
      <c r="F302">
        <v>235</v>
      </c>
      <c r="G302">
        <v>20</v>
      </c>
      <c r="H302">
        <v>13</v>
      </c>
      <c r="I302">
        <v>43</v>
      </c>
      <c r="J302">
        <v>265017</v>
      </c>
      <c r="K302">
        <v>88</v>
      </c>
      <c r="L302">
        <v>1</v>
      </c>
      <c r="M302">
        <v>1</v>
      </c>
      <c r="N302">
        <v>1</v>
      </c>
      <c r="O302">
        <v>1</v>
      </c>
      <c r="P302">
        <v>0</v>
      </c>
      <c r="Q302">
        <v>0</v>
      </c>
      <c r="R302">
        <v>106</v>
      </c>
      <c r="S302">
        <v>167</v>
      </c>
      <c r="T302">
        <v>38</v>
      </c>
      <c r="U302">
        <v>0</v>
      </c>
    </row>
    <row r="303" spans="1:21" x14ac:dyDescent="0.3">
      <c r="A303">
        <v>11</v>
      </c>
      <c r="B303">
        <v>19</v>
      </c>
      <c r="C303">
        <v>10</v>
      </c>
      <c r="D303">
        <v>5</v>
      </c>
      <c r="E303">
        <v>4</v>
      </c>
      <c r="F303">
        <v>289</v>
      </c>
      <c r="G303">
        <v>36</v>
      </c>
      <c r="H303">
        <v>13</v>
      </c>
      <c r="I303">
        <v>33</v>
      </c>
      <c r="J303">
        <v>265017</v>
      </c>
      <c r="K303">
        <v>88</v>
      </c>
      <c r="L303">
        <v>0</v>
      </c>
      <c r="M303">
        <v>1</v>
      </c>
      <c r="N303">
        <v>2</v>
      </c>
      <c r="O303">
        <v>1</v>
      </c>
      <c r="P303">
        <v>0</v>
      </c>
      <c r="Q303">
        <v>1</v>
      </c>
      <c r="R303">
        <v>90</v>
      </c>
      <c r="S303">
        <v>172</v>
      </c>
      <c r="T303">
        <v>30</v>
      </c>
      <c r="U303">
        <v>16</v>
      </c>
    </row>
    <row r="304" spans="1:21" x14ac:dyDescent="0.3">
      <c r="A304">
        <v>20</v>
      </c>
      <c r="B304">
        <v>28</v>
      </c>
      <c r="C304">
        <v>10</v>
      </c>
      <c r="D304">
        <v>6</v>
      </c>
      <c r="E304">
        <v>4</v>
      </c>
      <c r="F304">
        <v>260</v>
      </c>
      <c r="G304">
        <v>50</v>
      </c>
      <c r="H304">
        <v>11</v>
      </c>
      <c r="I304">
        <v>36</v>
      </c>
      <c r="J304">
        <v>265017</v>
      </c>
      <c r="K304">
        <v>88</v>
      </c>
      <c r="L304">
        <v>0</v>
      </c>
      <c r="M304">
        <v>1</v>
      </c>
      <c r="N304">
        <v>4</v>
      </c>
      <c r="O304">
        <v>1</v>
      </c>
      <c r="P304">
        <v>0</v>
      </c>
      <c r="Q304">
        <v>0</v>
      </c>
      <c r="R304">
        <v>65</v>
      </c>
      <c r="S304">
        <v>168</v>
      </c>
      <c r="T304">
        <v>23</v>
      </c>
    </row>
    <row r="305" spans="1:21" x14ac:dyDescent="0.3">
      <c r="A305">
        <v>5</v>
      </c>
      <c r="B305">
        <v>0</v>
      </c>
      <c r="C305">
        <v>10</v>
      </c>
      <c r="D305">
        <v>6</v>
      </c>
      <c r="E305">
        <v>4</v>
      </c>
      <c r="F305">
        <v>235</v>
      </c>
      <c r="G305">
        <v>20</v>
      </c>
      <c r="H305">
        <v>13</v>
      </c>
      <c r="I305">
        <v>43</v>
      </c>
      <c r="J305">
        <v>265017</v>
      </c>
      <c r="K305">
        <v>88</v>
      </c>
      <c r="L305">
        <v>1</v>
      </c>
      <c r="M305">
        <v>1</v>
      </c>
      <c r="N305">
        <v>1</v>
      </c>
      <c r="O305">
        <v>1</v>
      </c>
      <c r="P305">
        <v>0</v>
      </c>
      <c r="Q305">
        <v>0</v>
      </c>
      <c r="R305">
        <v>106</v>
      </c>
      <c r="S305">
        <v>167</v>
      </c>
      <c r="T305">
        <v>38</v>
      </c>
      <c r="U305">
        <v>0</v>
      </c>
    </row>
    <row r="306" spans="1:21" x14ac:dyDescent="0.3">
      <c r="A306">
        <v>5</v>
      </c>
      <c r="B306">
        <v>23</v>
      </c>
      <c r="C306">
        <v>10</v>
      </c>
      <c r="D306">
        <v>2</v>
      </c>
      <c r="E306">
        <v>4</v>
      </c>
      <c r="F306">
        <v>235</v>
      </c>
      <c r="G306">
        <v>20</v>
      </c>
      <c r="H306">
        <v>13</v>
      </c>
      <c r="I306">
        <v>43</v>
      </c>
      <c r="J306">
        <v>265017</v>
      </c>
      <c r="K306">
        <v>88</v>
      </c>
      <c r="L306">
        <v>0</v>
      </c>
      <c r="M306">
        <v>1</v>
      </c>
      <c r="N306">
        <v>1</v>
      </c>
      <c r="O306">
        <v>1</v>
      </c>
      <c r="P306">
        <v>0</v>
      </c>
      <c r="Q306">
        <v>0</v>
      </c>
      <c r="R306">
        <v>106</v>
      </c>
      <c r="S306">
        <v>167</v>
      </c>
      <c r="T306">
        <v>38</v>
      </c>
      <c r="U306">
        <v>2</v>
      </c>
    </row>
    <row r="307" spans="1:21" x14ac:dyDescent="0.3">
      <c r="A307">
        <v>5</v>
      </c>
      <c r="B307">
        <v>23</v>
      </c>
      <c r="C307">
        <v>10</v>
      </c>
      <c r="D307">
        <v>2</v>
      </c>
      <c r="E307">
        <v>4</v>
      </c>
      <c r="F307">
        <v>235</v>
      </c>
      <c r="G307">
        <v>20</v>
      </c>
      <c r="H307">
        <v>13</v>
      </c>
      <c r="I307">
        <v>43</v>
      </c>
      <c r="J307">
        <v>265017</v>
      </c>
      <c r="K307">
        <v>88</v>
      </c>
      <c r="L307">
        <v>0</v>
      </c>
      <c r="M307">
        <v>1</v>
      </c>
      <c r="N307">
        <v>1</v>
      </c>
      <c r="O307">
        <v>1</v>
      </c>
      <c r="P307">
        <v>0</v>
      </c>
      <c r="Q307">
        <v>0</v>
      </c>
      <c r="R307">
        <v>106</v>
      </c>
      <c r="S307">
        <v>167</v>
      </c>
      <c r="T307">
        <v>38</v>
      </c>
      <c r="U307">
        <v>2</v>
      </c>
    </row>
    <row r="308" spans="1:21" x14ac:dyDescent="0.3">
      <c r="A308">
        <v>36</v>
      </c>
      <c r="B308">
        <v>28</v>
      </c>
      <c r="C308">
        <v>10</v>
      </c>
      <c r="D308">
        <v>3</v>
      </c>
      <c r="E308">
        <v>4</v>
      </c>
      <c r="F308">
        <v>118</v>
      </c>
      <c r="G308">
        <v>13</v>
      </c>
      <c r="H308">
        <v>18</v>
      </c>
      <c r="I308">
        <v>50</v>
      </c>
      <c r="J308">
        <v>265017</v>
      </c>
      <c r="K308">
        <v>88</v>
      </c>
      <c r="L308">
        <v>0</v>
      </c>
      <c r="M308">
        <v>1</v>
      </c>
      <c r="N308">
        <v>1</v>
      </c>
      <c r="O308">
        <v>1</v>
      </c>
      <c r="P308">
        <v>0</v>
      </c>
      <c r="Q308">
        <v>0</v>
      </c>
      <c r="R308">
        <v>98</v>
      </c>
      <c r="S308">
        <v>178</v>
      </c>
      <c r="T308">
        <v>31</v>
      </c>
      <c r="U308">
        <v>1</v>
      </c>
    </row>
    <row r="309" spans="1:21" x14ac:dyDescent="0.3">
      <c r="A309">
        <v>15</v>
      </c>
      <c r="B309">
        <v>28</v>
      </c>
      <c r="C309">
        <v>10</v>
      </c>
      <c r="D309">
        <v>3</v>
      </c>
      <c r="E309">
        <v>4</v>
      </c>
      <c r="F309">
        <v>291</v>
      </c>
      <c r="G309">
        <v>31</v>
      </c>
      <c r="H309">
        <v>12</v>
      </c>
      <c r="I309">
        <v>40</v>
      </c>
      <c r="J309">
        <v>265017</v>
      </c>
      <c r="K309">
        <v>88</v>
      </c>
      <c r="L309">
        <v>0</v>
      </c>
      <c r="M309">
        <v>1</v>
      </c>
      <c r="N309">
        <v>1</v>
      </c>
      <c r="O309">
        <v>1</v>
      </c>
      <c r="P309">
        <v>0</v>
      </c>
      <c r="Q309">
        <v>1</v>
      </c>
      <c r="R309">
        <v>73</v>
      </c>
      <c r="S309">
        <v>171</v>
      </c>
      <c r="T309">
        <v>25</v>
      </c>
      <c r="U309">
        <v>4</v>
      </c>
    </row>
    <row r="310" spans="1:21" x14ac:dyDescent="0.3">
      <c r="A310">
        <v>22</v>
      </c>
      <c r="B310">
        <v>23</v>
      </c>
      <c r="C310">
        <v>10</v>
      </c>
      <c r="D310">
        <v>5</v>
      </c>
      <c r="E310">
        <v>4</v>
      </c>
      <c r="F310">
        <v>179</v>
      </c>
      <c r="G310">
        <v>26</v>
      </c>
      <c r="H310">
        <v>9</v>
      </c>
      <c r="I310">
        <v>30</v>
      </c>
      <c r="J310">
        <v>265017</v>
      </c>
      <c r="K310">
        <v>88</v>
      </c>
      <c r="L310">
        <v>0</v>
      </c>
      <c r="M310">
        <v>3</v>
      </c>
      <c r="N310">
        <v>0</v>
      </c>
      <c r="O310">
        <v>0</v>
      </c>
      <c r="P310">
        <v>0</v>
      </c>
      <c r="Q310">
        <v>0</v>
      </c>
      <c r="R310">
        <v>56</v>
      </c>
      <c r="S310">
        <v>171</v>
      </c>
      <c r="T310">
        <v>19</v>
      </c>
      <c r="U310">
        <v>16</v>
      </c>
    </row>
    <row r="311" spans="1:21" x14ac:dyDescent="0.3">
      <c r="A311">
        <v>36</v>
      </c>
      <c r="B311">
        <v>28</v>
      </c>
      <c r="C311">
        <v>10</v>
      </c>
      <c r="D311">
        <v>5</v>
      </c>
      <c r="E311">
        <v>4</v>
      </c>
      <c r="F311">
        <v>118</v>
      </c>
      <c r="G311">
        <v>13</v>
      </c>
      <c r="H311">
        <v>18</v>
      </c>
      <c r="I311">
        <v>50</v>
      </c>
      <c r="J311">
        <v>265017</v>
      </c>
      <c r="K311">
        <v>88</v>
      </c>
      <c r="L311">
        <v>0</v>
      </c>
      <c r="M311">
        <v>1</v>
      </c>
      <c r="N311">
        <v>1</v>
      </c>
      <c r="O311">
        <v>1</v>
      </c>
      <c r="P311">
        <v>0</v>
      </c>
      <c r="Q311">
        <v>0</v>
      </c>
      <c r="R311">
        <v>98</v>
      </c>
      <c r="S311">
        <v>178</v>
      </c>
      <c r="T311">
        <v>31</v>
      </c>
      <c r="U311">
        <v>1</v>
      </c>
    </row>
    <row r="312" spans="1:21" x14ac:dyDescent="0.3">
      <c r="A312">
        <v>10</v>
      </c>
      <c r="B312">
        <v>10</v>
      </c>
      <c r="C312">
        <v>10</v>
      </c>
      <c r="D312">
        <v>2</v>
      </c>
      <c r="E312">
        <v>4</v>
      </c>
      <c r="F312">
        <v>361</v>
      </c>
      <c r="G312">
        <v>52</v>
      </c>
      <c r="H312">
        <v>3</v>
      </c>
      <c r="I312">
        <v>28</v>
      </c>
      <c r="J312">
        <v>265017</v>
      </c>
      <c r="K312">
        <v>88</v>
      </c>
      <c r="L312">
        <v>0</v>
      </c>
      <c r="M312">
        <v>1</v>
      </c>
      <c r="N312">
        <v>1</v>
      </c>
      <c r="O312">
        <v>1</v>
      </c>
      <c r="P312">
        <v>0</v>
      </c>
      <c r="Q312">
        <v>4</v>
      </c>
      <c r="R312">
        <v>80</v>
      </c>
      <c r="S312">
        <v>172</v>
      </c>
      <c r="T312">
        <v>27</v>
      </c>
      <c r="U312">
        <v>8</v>
      </c>
    </row>
    <row r="313" spans="1:21" x14ac:dyDescent="0.3">
      <c r="A313">
        <v>20</v>
      </c>
      <c r="B313">
        <v>0</v>
      </c>
      <c r="C313">
        <v>10</v>
      </c>
      <c r="D313">
        <v>3</v>
      </c>
      <c r="E313">
        <v>4</v>
      </c>
      <c r="F313">
        <v>260</v>
      </c>
      <c r="G313">
        <v>50</v>
      </c>
      <c r="H313">
        <v>11</v>
      </c>
      <c r="I313">
        <v>36</v>
      </c>
      <c r="J313">
        <v>265017</v>
      </c>
      <c r="K313">
        <v>88</v>
      </c>
      <c r="L313">
        <v>1</v>
      </c>
      <c r="M313">
        <v>1</v>
      </c>
      <c r="N313">
        <v>4</v>
      </c>
      <c r="O313">
        <v>1</v>
      </c>
      <c r="P313">
        <v>0</v>
      </c>
      <c r="Q313">
        <v>0</v>
      </c>
      <c r="R313">
        <v>65</v>
      </c>
      <c r="S313">
        <v>168</v>
      </c>
      <c r="T313">
        <v>23</v>
      </c>
      <c r="U313">
        <v>0</v>
      </c>
    </row>
    <row r="314" spans="1:21" x14ac:dyDescent="0.3">
      <c r="A314">
        <v>15</v>
      </c>
      <c r="B314">
        <v>0</v>
      </c>
      <c r="C314">
        <v>10</v>
      </c>
      <c r="D314">
        <v>3</v>
      </c>
      <c r="E314">
        <v>4</v>
      </c>
      <c r="F314">
        <v>291</v>
      </c>
      <c r="G314">
        <v>31</v>
      </c>
      <c r="H314">
        <v>12</v>
      </c>
      <c r="I314">
        <v>40</v>
      </c>
      <c r="J314">
        <v>265017</v>
      </c>
      <c r="K314">
        <v>88</v>
      </c>
      <c r="L314">
        <v>1</v>
      </c>
      <c r="M314">
        <v>1</v>
      </c>
      <c r="N314">
        <v>1</v>
      </c>
      <c r="O314">
        <v>1</v>
      </c>
      <c r="P314">
        <v>0</v>
      </c>
      <c r="Q314">
        <v>1</v>
      </c>
      <c r="R314">
        <v>73</v>
      </c>
      <c r="S314">
        <v>171</v>
      </c>
      <c r="T314">
        <v>25</v>
      </c>
      <c r="U314">
        <v>0</v>
      </c>
    </row>
    <row r="315" spans="1:21" x14ac:dyDescent="0.3">
      <c r="A315">
        <v>30</v>
      </c>
      <c r="B315">
        <v>0</v>
      </c>
      <c r="C315">
        <v>10</v>
      </c>
      <c r="D315">
        <v>3</v>
      </c>
      <c r="E315">
        <v>4</v>
      </c>
      <c r="F315">
        <v>157</v>
      </c>
      <c r="G315">
        <v>27</v>
      </c>
      <c r="H315">
        <v>6</v>
      </c>
      <c r="I315">
        <v>29</v>
      </c>
      <c r="J315">
        <v>265017</v>
      </c>
      <c r="K315">
        <v>88</v>
      </c>
      <c r="L315">
        <v>1</v>
      </c>
      <c r="M315">
        <v>1</v>
      </c>
      <c r="N315">
        <v>0</v>
      </c>
      <c r="O315">
        <v>1</v>
      </c>
      <c r="P315">
        <v>1</v>
      </c>
      <c r="Q315">
        <v>0</v>
      </c>
      <c r="R315">
        <v>75</v>
      </c>
      <c r="S315">
        <v>185</v>
      </c>
      <c r="T315">
        <v>22</v>
      </c>
    </row>
    <row r="316" spans="1:21" x14ac:dyDescent="0.3">
      <c r="A316">
        <v>22</v>
      </c>
      <c r="B316">
        <v>1</v>
      </c>
      <c r="C316">
        <v>10</v>
      </c>
      <c r="D316">
        <v>4</v>
      </c>
      <c r="E316">
        <v>4</v>
      </c>
      <c r="F316">
        <v>179</v>
      </c>
      <c r="G316">
        <v>26</v>
      </c>
      <c r="H316">
        <v>9</v>
      </c>
      <c r="I316">
        <v>30</v>
      </c>
      <c r="J316">
        <v>265017</v>
      </c>
      <c r="K316">
        <v>88</v>
      </c>
      <c r="L316">
        <v>0</v>
      </c>
      <c r="M316">
        <v>3</v>
      </c>
      <c r="N316">
        <v>0</v>
      </c>
      <c r="O316">
        <v>0</v>
      </c>
      <c r="P316">
        <v>0</v>
      </c>
      <c r="Q316">
        <v>0</v>
      </c>
      <c r="R316">
        <v>56</v>
      </c>
      <c r="S316">
        <v>171</v>
      </c>
      <c r="T316">
        <v>19</v>
      </c>
      <c r="U316">
        <v>5</v>
      </c>
    </row>
    <row r="317" spans="1:21" x14ac:dyDescent="0.3">
      <c r="A317">
        <v>22</v>
      </c>
      <c r="B317">
        <v>7</v>
      </c>
      <c r="C317">
        <v>10</v>
      </c>
      <c r="D317">
        <v>4</v>
      </c>
      <c r="E317">
        <v>4</v>
      </c>
      <c r="F317">
        <v>179</v>
      </c>
      <c r="G317">
        <v>26</v>
      </c>
      <c r="H317">
        <v>9</v>
      </c>
      <c r="I317">
        <v>30</v>
      </c>
      <c r="J317">
        <v>265017</v>
      </c>
      <c r="K317">
        <v>88</v>
      </c>
      <c r="L317">
        <v>0</v>
      </c>
      <c r="M317">
        <v>3</v>
      </c>
      <c r="N317">
        <v>0</v>
      </c>
      <c r="O317">
        <v>0</v>
      </c>
      <c r="P317">
        <v>0</v>
      </c>
      <c r="Q317">
        <v>0</v>
      </c>
      <c r="R317">
        <v>56</v>
      </c>
      <c r="S317">
        <v>171</v>
      </c>
      <c r="T317">
        <v>19</v>
      </c>
      <c r="U317">
        <v>5</v>
      </c>
    </row>
    <row r="318" spans="1:21" x14ac:dyDescent="0.3">
      <c r="A318">
        <v>36</v>
      </c>
      <c r="B318">
        <v>23</v>
      </c>
      <c r="C318">
        <v>10</v>
      </c>
      <c r="D318">
        <v>5</v>
      </c>
      <c r="E318">
        <v>4</v>
      </c>
      <c r="F318">
        <v>118</v>
      </c>
      <c r="G318">
        <v>13</v>
      </c>
      <c r="H318">
        <v>18</v>
      </c>
      <c r="I318">
        <v>50</v>
      </c>
      <c r="J318">
        <v>265017</v>
      </c>
      <c r="K318">
        <v>88</v>
      </c>
      <c r="L318">
        <v>0</v>
      </c>
      <c r="M318">
        <v>1</v>
      </c>
      <c r="N318">
        <v>1</v>
      </c>
      <c r="O318">
        <v>1</v>
      </c>
      <c r="P318">
        <v>0</v>
      </c>
      <c r="Q318">
        <v>0</v>
      </c>
      <c r="R318">
        <v>98</v>
      </c>
      <c r="S318">
        <v>178</v>
      </c>
      <c r="T318">
        <v>31</v>
      </c>
      <c r="U318">
        <v>1</v>
      </c>
    </row>
    <row r="319" spans="1:21" x14ac:dyDescent="0.3">
      <c r="A319">
        <v>34</v>
      </c>
      <c r="B319">
        <v>11</v>
      </c>
      <c r="C319">
        <v>11</v>
      </c>
      <c r="D319">
        <v>2</v>
      </c>
      <c r="E319">
        <v>4</v>
      </c>
      <c r="F319">
        <v>118</v>
      </c>
      <c r="G319">
        <v>10</v>
      </c>
      <c r="H319">
        <v>10</v>
      </c>
      <c r="I319">
        <v>37</v>
      </c>
      <c r="J319">
        <v>284031</v>
      </c>
      <c r="K319">
        <v>97</v>
      </c>
      <c r="L319">
        <v>0</v>
      </c>
      <c r="M319">
        <v>1</v>
      </c>
      <c r="N319">
        <v>0</v>
      </c>
      <c r="O319">
        <v>0</v>
      </c>
      <c r="P319">
        <v>0</v>
      </c>
      <c r="Q319">
        <v>0</v>
      </c>
      <c r="R319">
        <v>83</v>
      </c>
      <c r="S319">
        <v>172</v>
      </c>
      <c r="T319">
        <v>28</v>
      </c>
      <c r="U319">
        <v>8</v>
      </c>
    </row>
    <row r="320" spans="1:21" x14ac:dyDescent="0.3">
      <c r="A320">
        <v>33</v>
      </c>
      <c r="B320">
        <v>23</v>
      </c>
      <c r="C320">
        <v>11</v>
      </c>
      <c r="D320">
        <v>2</v>
      </c>
      <c r="E320">
        <v>4</v>
      </c>
      <c r="F320">
        <v>248</v>
      </c>
      <c r="G320">
        <v>25</v>
      </c>
      <c r="H320">
        <v>14</v>
      </c>
      <c r="I320">
        <v>47</v>
      </c>
      <c r="J320">
        <v>284031</v>
      </c>
      <c r="K320">
        <v>97</v>
      </c>
      <c r="L320">
        <v>0</v>
      </c>
      <c r="M320">
        <v>1</v>
      </c>
      <c r="N320">
        <v>2</v>
      </c>
      <c r="O320">
        <v>0</v>
      </c>
      <c r="P320">
        <v>0</v>
      </c>
      <c r="Q320">
        <v>1</v>
      </c>
      <c r="R320">
        <v>86</v>
      </c>
      <c r="S320">
        <v>165</v>
      </c>
      <c r="T320">
        <v>32</v>
      </c>
      <c r="U320">
        <v>2</v>
      </c>
    </row>
    <row r="321" spans="1:21" x14ac:dyDescent="0.3">
      <c r="A321">
        <v>3</v>
      </c>
      <c r="B321">
        <v>6</v>
      </c>
      <c r="C321">
        <v>11</v>
      </c>
      <c r="D321">
        <v>3</v>
      </c>
      <c r="E321">
        <v>4</v>
      </c>
      <c r="F321">
        <v>179</v>
      </c>
      <c r="G321">
        <v>51</v>
      </c>
      <c r="H321">
        <v>18</v>
      </c>
      <c r="I321">
        <v>38</v>
      </c>
      <c r="J321">
        <v>284031</v>
      </c>
      <c r="K321">
        <v>97</v>
      </c>
      <c r="L321">
        <v>0</v>
      </c>
      <c r="M321">
        <v>1</v>
      </c>
      <c r="N321">
        <v>0</v>
      </c>
      <c r="O321">
        <v>1</v>
      </c>
      <c r="P321">
        <v>0</v>
      </c>
      <c r="Q321">
        <v>0</v>
      </c>
      <c r="R321">
        <v>89</v>
      </c>
      <c r="S321">
        <v>170</v>
      </c>
      <c r="T321">
        <v>31</v>
      </c>
      <c r="U321">
        <v>8</v>
      </c>
    </row>
    <row r="322" spans="1:21" x14ac:dyDescent="0.3">
      <c r="A322">
        <v>20</v>
      </c>
      <c r="B322">
        <v>28</v>
      </c>
      <c r="C322">
        <v>11</v>
      </c>
      <c r="D322">
        <v>6</v>
      </c>
      <c r="E322">
        <v>4</v>
      </c>
      <c r="F322">
        <v>260</v>
      </c>
      <c r="G322">
        <v>50</v>
      </c>
      <c r="H322">
        <v>11</v>
      </c>
      <c r="I322">
        <v>36</v>
      </c>
      <c r="J322">
        <v>284031</v>
      </c>
      <c r="K322">
        <v>97</v>
      </c>
      <c r="L322">
        <v>0</v>
      </c>
      <c r="M322">
        <v>1</v>
      </c>
      <c r="N322">
        <v>4</v>
      </c>
      <c r="O322">
        <v>1</v>
      </c>
      <c r="P322">
        <v>0</v>
      </c>
      <c r="Q322">
        <v>0</v>
      </c>
      <c r="R322">
        <v>65</v>
      </c>
      <c r="S322">
        <v>168</v>
      </c>
      <c r="T322">
        <v>23</v>
      </c>
      <c r="U322">
        <v>3</v>
      </c>
    </row>
    <row r="323" spans="1:21" x14ac:dyDescent="0.3">
      <c r="A323">
        <v>15</v>
      </c>
      <c r="B323">
        <v>23</v>
      </c>
      <c r="C323">
        <v>11</v>
      </c>
      <c r="D323">
        <v>2</v>
      </c>
      <c r="E323">
        <v>4</v>
      </c>
      <c r="F323">
        <v>291</v>
      </c>
      <c r="G323">
        <v>31</v>
      </c>
      <c r="H323">
        <v>12</v>
      </c>
      <c r="I323">
        <v>40</v>
      </c>
      <c r="J323">
        <v>284031</v>
      </c>
      <c r="K323">
        <v>97</v>
      </c>
      <c r="L323">
        <v>0</v>
      </c>
      <c r="M323">
        <v>1</v>
      </c>
      <c r="N323">
        <v>1</v>
      </c>
      <c r="O323">
        <v>1</v>
      </c>
      <c r="P323">
        <v>0</v>
      </c>
      <c r="Q323">
        <v>1</v>
      </c>
      <c r="R323">
        <v>73</v>
      </c>
      <c r="S323">
        <v>171</v>
      </c>
      <c r="T323">
        <v>25</v>
      </c>
      <c r="U323">
        <v>1</v>
      </c>
    </row>
    <row r="324" spans="1:21" x14ac:dyDescent="0.3">
      <c r="A324">
        <v>23</v>
      </c>
      <c r="B324">
        <v>1</v>
      </c>
      <c r="C324">
        <v>11</v>
      </c>
      <c r="D324">
        <v>2</v>
      </c>
      <c r="E324">
        <v>4</v>
      </c>
      <c r="F324">
        <v>378</v>
      </c>
      <c r="G324">
        <v>49</v>
      </c>
      <c r="H324">
        <v>11</v>
      </c>
      <c r="I324">
        <v>36</v>
      </c>
      <c r="J324">
        <v>284031</v>
      </c>
      <c r="K324">
        <v>97</v>
      </c>
      <c r="L324">
        <v>0</v>
      </c>
      <c r="M324">
        <v>1</v>
      </c>
      <c r="N324">
        <v>2</v>
      </c>
      <c r="O324">
        <v>0</v>
      </c>
      <c r="P324">
        <v>1</v>
      </c>
      <c r="Q324">
        <v>4</v>
      </c>
      <c r="R324">
        <v>65</v>
      </c>
      <c r="S324">
        <v>174</v>
      </c>
      <c r="T324">
        <v>21</v>
      </c>
      <c r="U324">
        <v>8</v>
      </c>
    </row>
    <row r="325" spans="1:21" x14ac:dyDescent="0.3">
      <c r="A325">
        <v>14</v>
      </c>
      <c r="B325">
        <v>11</v>
      </c>
      <c r="C325">
        <v>11</v>
      </c>
      <c r="D325">
        <v>2</v>
      </c>
      <c r="E325">
        <v>4</v>
      </c>
      <c r="F325">
        <v>155</v>
      </c>
      <c r="G325">
        <v>12</v>
      </c>
      <c r="H325">
        <v>14</v>
      </c>
      <c r="I325">
        <v>34</v>
      </c>
      <c r="J325">
        <v>284031</v>
      </c>
      <c r="K325">
        <v>97</v>
      </c>
      <c r="L325">
        <v>0</v>
      </c>
      <c r="M325">
        <v>1</v>
      </c>
      <c r="N325">
        <v>2</v>
      </c>
      <c r="O325">
        <v>1</v>
      </c>
      <c r="P325">
        <v>0</v>
      </c>
      <c r="Q325">
        <v>0</v>
      </c>
      <c r="R325">
        <v>95</v>
      </c>
      <c r="S325">
        <v>196</v>
      </c>
      <c r="T325">
        <v>25</v>
      </c>
    </row>
    <row r="326" spans="1:21" x14ac:dyDescent="0.3">
      <c r="A326">
        <v>5</v>
      </c>
      <c r="B326">
        <v>26</v>
      </c>
      <c r="C326">
        <v>11</v>
      </c>
      <c r="D326">
        <v>2</v>
      </c>
      <c r="E326">
        <v>4</v>
      </c>
      <c r="F326">
        <v>235</v>
      </c>
      <c r="G326">
        <v>20</v>
      </c>
      <c r="H326">
        <v>13</v>
      </c>
      <c r="I326">
        <v>43</v>
      </c>
      <c r="J326">
        <v>284031</v>
      </c>
      <c r="K326">
        <v>97</v>
      </c>
      <c r="L326">
        <v>0</v>
      </c>
      <c r="M326">
        <v>1</v>
      </c>
      <c r="N326">
        <v>1</v>
      </c>
      <c r="O326">
        <v>1</v>
      </c>
      <c r="P326">
        <v>0</v>
      </c>
      <c r="Q326">
        <v>0</v>
      </c>
      <c r="R326">
        <v>106</v>
      </c>
      <c r="S326">
        <v>167</v>
      </c>
      <c r="T326">
        <v>38</v>
      </c>
      <c r="U326">
        <v>8</v>
      </c>
    </row>
    <row r="327" spans="1:21" x14ac:dyDescent="0.3">
      <c r="A327">
        <v>18</v>
      </c>
      <c r="B327">
        <v>0</v>
      </c>
      <c r="C327">
        <v>11</v>
      </c>
      <c r="D327">
        <v>3</v>
      </c>
      <c r="E327">
        <v>4</v>
      </c>
      <c r="F327">
        <v>330</v>
      </c>
      <c r="G327">
        <v>16</v>
      </c>
      <c r="H327">
        <v>4</v>
      </c>
      <c r="I327">
        <v>28</v>
      </c>
      <c r="J327">
        <v>284031</v>
      </c>
      <c r="K327">
        <v>97</v>
      </c>
      <c r="L327">
        <v>1</v>
      </c>
      <c r="M327">
        <v>2</v>
      </c>
      <c r="N327">
        <v>0</v>
      </c>
      <c r="O327">
        <v>0</v>
      </c>
      <c r="P327">
        <v>0</v>
      </c>
      <c r="Q327">
        <v>0</v>
      </c>
      <c r="R327">
        <v>84</v>
      </c>
      <c r="S327">
        <v>182</v>
      </c>
      <c r="T327">
        <v>25</v>
      </c>
      <c r="U327">
        <v>0</v>
      </c>
    </row>
    <row r="328" spans="1:21" x14ac:dyDescent="0.3">
      <c r="A328">
        <v>1</v>
      </c>
      <c r="B328">
        <v>18</v>
      </c>
      <c r="C328">
        <v>11</v>
      </c>
      <c r="D328">
        <v>4</v>
      </c>
      <c r="E328">
        <v>4</v>
      </c>
      <c r="F328">
        <v>235</v>
      </c>
      <c r="G328">
        <v>11</v>
      </c>
      <c r="H328">
        <v>14</v>
      </c>
      <c r="I328">
        <v>37</v>
      </c>
      <c r="J328">
        <v>284031</v>
      </c>
      <c r="K328">
        <v>97</v>
      </c>
      <c r="L328">
        <v>0</v>
      </c>
      <c r="M328">
        <v>3</v>
      </c>
      <c r="N328">
        <v>1</v>
      </c>
      <c r="O328">
        <v>0</v>
      </c>
      <c r="P328">
        <v>0</v>
      </c>
      <c r="Q328">
        <v>1</v>
      </c>
      <c r="R328">
        <v>88</v>
      </c>
      <c r="S328">
        <v>172</v>
      </c>
      <c r="T328">
        <v>29</v>
      </c>
      <c r="U328">
        <v>1</v>
      </c>
    </row>
    <row r="329" spans="1:21" x14ac:dyDescent="0.3">
      <c r="A329">
        <v>34</v>
      </c>
      <c r="B329">
        <v>11</v>
      </c>
      <c r="C329">
        <v>11</v>
      </c>
      <c r="D329">
        <v>4</v>
      </c>
      <c r="E329">
        <v>4</v>
      </c>
      <c r="F329">
        <v>118</v>
      </c>
      <c r="G329">
        <v>10</v>
      </c>
      <c r="H329">
        <v>10</v>
      </c>
      <c r="I329">
        <v>37</v>
      </c>
      <c r="J329">
        <v>284031</v>
      </c>
      <c r="K329">
        <v>97</v>
      </c>
      <c r="L329">
        <v>0</v>
      </c>
      <c r="M329">
        <v>1</v>
      </c>
      <c r="N329">
        <v>0</v>
      </c>
      <c r="O329">
        <v>0</v>
      </c>
      <c r="P329">
        <v>0</v>
      </c>
      <c r="Q329">
        <v>0</v>
      </c>
      <c r="R329">
        <v>83</v>
      </c>
      <c r="S329">
        <v>172</v>
      </c>
      <c r="T329">
        <v>28</v>
      </c>
      <c r="U329">
        <v>3</v>
      </c>
    </row>
    <row r="330" spans="1:21" x14ac:dyDescent="0.3">
      <c r="A330">
        <v>1</v>
      </c>
      <c r="B330">
        <v>25</v>
      </c>
      <c r="C330">
        <v>11</v>
      </c>
      <c r="D330">
        <v>5</v>
      </c>
      <c r="E330">
        <v>4</v>
      </c>
      <c r="F330">
        <v>235</v>
      </c>
      <c r="G330">
        <v>11</v>
      </c>
      <c r="H330">
        <v>14</v>
      </c>
      <c r="I330">
        <v>37</v>
      </c>
      <c r="J330">
        <v>284031</v>
      </c>
      <c r="K330">
        <v>97</v>
      </c>
      <c r="L330">
        <v>0</v>
      </c>
      <c r="M330">
        <v>3</v>
      </c>
      <c r="N330">
        <v>1</v>
      </c>
      <c r="O330">
        <v>0</v>
      </c>
      <c r="P330">
        <v>0</v>
      </c>
      <c r="Q330">
        <v>1</v>
      </c>
      <c r="R330">
        <v>88</v>
      </c>
      <c r="S330">
        <v>172</v>
      </c>
      <c r="T330">
        <v>29</v>
      </c>
      <c r="U330">
        <v>2</v>
      </c>
    </row>
    <row r="331" spans="1:21" x14ac:dyDescent="0.3">
      <c r="A331">
        <v>3</v>
      </c>
      <c r="B331">
        <v>28</v>
      </c>
      <c r="C331">
        <v>11</v>
      </c>
      <c r="D331">
        <v>5</v>
      </c>
      <c r="E331">
        <v>4</v>
      </c>
      <c r="F331">
        <v>179</v>
      </c>
      <c r="G331">
        <v>51</v>
      </c>
      <c r="H331">
        <v>18</v>
      </c>
      <c r="I331">
        <v>38</v>
      </c>
      <c r="J331">
        <v>284031</v>
      </c>
      <c r="K331">
        <v>97</v>
      </c>
      <c r="L331">
        <v>0</v>
      </c>
      <c r="M331">
        <v>1</v>
      </c>
      <c r="N331">
        <v>0</v>
      </c>
      <c r="O331">
        <v>1</v>
      </c>
      <c r="P331">
        <v>0</v>
      </c>
      <c r="Q331">
        <v>0</v>
      </c>
      <c r="R331">
        <v>89</v>
      </c>
      <c r="S331">
        <v>170</v>
      </c>
      <c r="T331">
        <v>31</v>
      </c>
      <c r="U331">
        <v>3</v>
      </c>
    </row>
    <row r="332" spans="1:21" x14ac:dyDescent="0.3">
      <c r="A332">
        <v>24</v>
      </c>
      <c r="B332">
        <v>13</v>
      </c>
      <c r="C332">
        <v>11</v>
      </c>
      <c r="D332">
        <v>6</v>
      </c>
      <c r="E332">
        <v>4</v>
      </c>
      <c r="F332">
        <v>246</v>
      </c>
      <c r="G332">
        <v>25</v>
      </c>
      <c r="H332">
        <v>16</v>
      </c>
      <c r="I332">
        <v>41</v>
      </c>
      <c r="J332">
        <v>284031</v>
      </c>
      <c r="K332">
        <v>97</v>
      </c>
      <c r="L332">
        <v>0</v>
      </c>
      <c r="M332">
        <v>1</v>
      </c>
      <c r="N332">
        <v>0</v>
      </c>
      <c r="O332">
        <v>1</v>
      </c>
      <c r="P332">
        <v>0</v>
      </c>
      <c r="Q332">
        <v>0</v>
      </c>
      <c r="R332">
        <v>67</v>
      </c>
      <c r="S332">
        <v>170</v>
      </c>
      <c r="T332">
        <v>23</v>
      </c>
      <c r="U332">
        <v>8</v>
      </c>
    </row>
    <row r="333" spans="1:21" x14ac:dyDescent="0.3">
      <c r="A333">
        <v>15</v>
      </c>
      <c r="B333">
        <v>12</v>
      </c>
      <c r="C333">
        <v>11</v>
      </c>
      <c r="D333">
        <v>6</v>
      </c>
      <c r="E333">
        <v>4</v>
      </c>
      <c r="F333">
        <v>291</v>
      </c>
      <c r="G333">
        <v>31</v>
      </c>
      <c r="H333">
        <v>12</v>
      </c>
      <c r="I333">
        <v>40</v>
      </c>
      <c r="J333">
        <v>284031</v>
      </c>
      <c r="K333">
        <v>97</v>
      </c>
      <c r="L333">
        <v>0</v>
      </c>
      <c r="M333">
        <v>1</v>
      </c>
      <c r="N333">
        <v>1</v>
      </c>
      <c r="O333">
        <v>1</v>
      </c>
      <c r="P333">
        <v>0</v>
      </c>
      <c r="Q333">
        <v>1</v>
      </c>
      <c r="R333">
        <v>73</v>
      </c>
      <c r="S333">
        <v>171</v>
      </c>
      <c r="T333">
        <v>25</v>
      </c>
      <c r="U333">
        <v>4</v>
      </c>
    </row>
    <row r="334" spans="1:21" x14ac:dyDescent="0.3">
      <c r="A334">
        <v>24</v>
      </c>
      <c r="B334">
        <v>13</v>
      </c>
      <c r="C334">
        <v>11</v>
      </c>
      <c r="D334">
        <v>2</v>
      </c>
      <c r="E334">
        <v>4</v>
      </c>
      <c r="F334">
        <v>246</v>
      </c>
      <c r="G334">
        <v>25</v>
      </c>
      <c r="H334">
        <v>16</v>
      </c>
      <c r="I334">
        <v>41</v>
      </c>
      <c r="J334">
        <v>284031</v>
      </c>
      <c r="K334">
        <v>97</v>
      </c>
      <c r="L334">
        <v>0</v>
      </c>
      <c r="M334">
        <v>1</v>
      </c>
      <c r="N334">
        <v>0</v>
      </c>
      <c r="O334">
        <v>1</v>
      </c>
      <c r="P334">
        <v>0</v>
      </c>
      <c r="Q334">
        <v>0</v>
      </c>
      <c r="R334">
        <v>67</v>
      </c>
      <c r="S334">
        <v>170</v>
      </c>
      <c r="T334">
        <v>23</v>
      </c>
      <c r="U334">
        <v>8</v>
      </c>
    </row>
    <row r="335" spans="1:21" x14ac:dyDescent="0.3">
      <c r="A335">
        <v>3</v>
      </c>
      <c r="B335">
        <v>28</v>
      </c>
      <c r="C335">
        <v>11</v>
      </c>
      <c r="D335">
        <v>3</v>
      </c>
      <c r="E335">
        <v>4</v>
      </c>
      <c r="F335">
        <v>179</v>
      </c>
      <c r="G335">
        <v>51</v>
      </c>
      <c r="H335">
        <v>18</v>
      </c>
      <c r="I335">
        <v>38</v>
      </c>
      <c r="J335">
        <v>284031</v>
      </c>
      <c r="K335">
        <v>97</v>
      </c>
      <c r="L335">
        <v>0</v>
      </c>
      <c r="M335">
        <v>1</v>
      </c>
      <c r="N335">
        <v>0</v>
      </c>
      <c r="O335">
        <v>1</v>
      </c>
      <c r="P335">
        <v>0</v>
      </c>
      <c r="Q335">
        <v>0</v>
      </c>
      <c r="R335">
        <v>89</v>
      </c>
      <c r="S335">
        <v>170</v>
      </c>
      <c r="T335">
        <v>31</v>
      </c>
      <c r="U335">
        <v>1</v>
      </c>
    </row>
    <row r="336" spans="1:21" x14ac:dyDescent="0.3">
      <c r="A336">
        <v>20</v>
      </c>
      <c r="B336">
        <v>10</v>
      </c>
      <c r="C336">
        <v>11</v>
      </c>
      <c r="D336">
        <v>4</v>
      </c>
      <c r="E336">
        <v>4</v>
      </c>
      <c r="F336">
        <v>260</v>
      </c>
      <c r="G336">
        <v>50</v>
      </c>
      <c r="H336">
        <v>11</v>
      </c>
      <c r="I336">
        <v>36</v>
      </c>
      <c r="J336">
        <v>284031</v>
      </c>
      <c r="K336">
        <v>97</v>
      </c>
      <c r="L336">
        <v>0</v>
      </c>
      <c r="M336">
        <v>1</v>
      </c>
      <c r="N336">
        <v>4</v>
      </c>
      <c r="O336">
        <v>1</v>
      </c>
      <c r="P336">
        <v>0</v>
      </c>
      <c r="Q336">
        <v>0</v>
      </c>
      <c r="R336">
        <v>65</v>
      </c>
      <c r="S336">
        <v>168</v>
      </c>
      <c r="T336">
        <v>23</v>
      </c>
      <c r="U336">
        <v>8</v>
      </c>
    </row>
    <row r="337" spans="1:21" x14ac:dyDescent="0.3">
      <c r="A337">
        <v>20</v>
      </c>
      <c r="B337">
        <v>15</v>
      </c>
      <c r="C337">
        <v>11</v>
      </c>
      <c r="D337">
        <v>6</v>
      </c>
      <c r="E337">
        <v>4</v>
      </c>
      <c r="F337">
        <v>260</v>
      </c>
      <c r="G337">
        <v>50</v>
      </c>
      <c r="H337">
        <v>11</v>
      </c>
      <c r="I337">
        <v>36</v>
      </c>
      <c r="J337">
        <v>284031</v>
      </c>
      <c r="K337">
        <v>97</v>
      </c>
      <c r="L337">
        <v>0</v>
      </c>
      <c r="M337">
        <v>1</v>
      </c>
      <c r="N337">
        <v>4</v>
      </c>
      <c r="O337">
        <v>1</v>
      </c>
      <c r="P337">
        <v>0</v>
      </c>
      <c r="Q337">
        <v>0</v>
      </c>
      <c r="R337">
        <v>65</v>
      </c>
      <c r="S337">
        <v>168</v>
      </c>
      <c r="T337">
        <v>23</v>
      </c>
      <c r="U337">
        <v>8</v>
      </c>
    </row>
    <row r="338" spans="1:21" x14ac:dyDescent="0.3">
      <c r="A338">
        <v>23</v>
      </c>
      <c r="B338">
        <v>0</v>
      </c>
      <c r="C338">
        <v>11</v>
      </c>
      <c r="D338">
        <v>6</v>
      </c>
      <c r="E338">
        <v>4</v>
      </c>
      <c r="F338">
        <v>378</v>
      </c>
      <c r="G338">
        <v>49</v>
      </c>
      <c r="H338">
        <v>11</v>
      </c>
      <c r="I338">
        <v>36</v>
      </c>
      <c r="J338">
        <v>284031</v>
      </c>
      <c r="K338">
        <v>97</v>
      </c>
      <c r="L338">
        <v>1</v>
      </c>
      <c r="M338">
        <v>1</v>
      </c>
      <c r="N338">
        <v>2</v>
      </c>
      <c r="O338">
        <v>0</v>
      </c>
      <c r="P338">
        <v>1</v>
      </c>
      <c r="Q338">
        <v>4</v>
      </c>
      <c r="R338">
        <v>65</v>
      </c>
      <c r="S338">
        <v>174</v>
      </c>
      <c r="T338">
        <v>21</v>
      </c>
      <c r="U338">
        <v>0</v>
      </c>
    </row>
    <row r="339" spans="1:21" x14ac:dyDescent="0.3">
      <c r="A339">
        <v>7</v>
      </c>
      <c r="B339">
        <v>0</v>
      </c>
      <c r="C339">
        <v>11</v>
      </c>
      <c r="D339">
        <v>3</v>
      </c>
      <c r="E339">
        <v>4</v>
      </c>
      <c r="F339">
        <v>279</v>
      </c>
      <c r="G339">
        <v>5</v>
      </c>
      <c r="H339">
        <v>14</v>
      </c>
      <c r="I339">
        <v>39</v>
      </c>
      <c r="J339">
        <v>284031</v>
      </c>
      <c r="K339">
        <v>97</v>
      </c>
      <c r="L339">
        <v>1</v>
      </c>
      <c r="M339">
        <v>1</v>
      </c>
      <c r="N339">
        <v>2</v>
      </c>
      <c r="O339">
        <v>1</v>
      </c>
      <c r="P339">
        <v>1</v>
      </c>
      <c r="Q339">
        <v>0</v>
      </c>
      <c r="R339">
        <v>68</v>
      </c>
      <c r="S339">
        <v>168</v>
      </c>
      <c r="T339">
        <v>24</v>
      </c>
      <c r="U339">
        <v>120</v>
      </c>
    </row>
    <row r="340" spans="1:21" x14ac:dyDescent="0.3">
      <c r="A340">
        <v>3</v>
      </c>
      <c r="B340">
        <v>23</v>
      </c>
      <c r="C340">
        <v>11</v>
      </c>
      <c r="D340">
        <v>5</v>
      </c>
      <c r="E340">
        <v>4</v>
      </c>
      <c r="F340">
        <v>179</v>
      </c>
      <c r="G340">
        <v>51</v>
      </c>
      <c r="H340">
        <v>18</v>
      </c>
      <c r="I340">
        <v>38</v>
      </c>
      <c r="J340">
        <v>284031</v>
      </c>
      <c r="K340">
        <v>97</v>
      </c>
      <c r="L340">
        <v>0</v>
      </c>
      <c r="M340">
        <v>1</v>
      </c>
      <c r="N340">
        <v>0</v>
      </c>
      <c r="O340">
        <v>1</v>
      </c>
      <c r="P340">
        <v>0</v>
      </c>
      <c r="Q340">
        <v>0</v>
      </c>
      <c r="R340">
        <v>89</v>
      </c>
      <c r="S340">
        <v>170</v>
      </c>
      <c r="T340">
        <v>31</v>
      </c>
      <c r="U340">
        <v>1</v>
      </c>
    </row>
    <row r="341" spans="1:21" x14ac:dyDescent="0.3">
      <c r="A341">
        <v>28</v>
      </c>
      <c r="B341">
        <v>12</v>
      </c>
      <c r="C341">
        <v>12</v>
      </c>
      <c r="D341">
        <v>2</v>
      </c>
      <c r="E341">
        <v>4</v>
      </c>
      <c r="F341">
        <v>225</v>
      </c>
      <c r="G341">
        <v>26</v>
      </c>
      <c r="H341">
        <v>9</v>
      </c>
      <c r="I341">
        <v>28</v>
      </c>
      <c r="J341">
        <v>236629</v>
      </c>
      <c r="K341">
        <v>93</v>
      </c>
      <c r="L341">
        <v>0</v>
      </c>
      <c r="M341">
        <v>1</v>
      </c>
      <c r="N341">
        <v>1</v>
      </c>
      <c r="O341">
        <v>0</v>
      </c>
      <c r="P341">
        <v>0</v>
      </c>
      <c r="Q341">
        <v>2</v>
      </c>
      <c r="R341">
        <v>69</v>
      </c>
      <c r="S341">
        <v>169</v>
      </c>
      <c r="T341">
        <v>24</v>
      </c>
      <c r="U341">
        <v>3</v>
      </c>
    </row>
    <row r="342" spans="1:21" x14ac:dyDescent="0.3">
      <c r="A342">
        <v>3</v>
      </c>
      <c r="B342">
        <v>28</v>
      </c>
      <c r="C342">
        <v>12</v>
      </c>
      <c r="D342">
        <v>2</v>
      </c>
      <c r="E342">
        <v>4</v>
      </c>
      <c r="F342">
        <v>179</v>
      </c>
      <c r="G342">
        <v>51</v>
      </c>
      <c r="H342">
        <v>18</v>
      </c>
      <c r="I342">
        <v>38</v>
      </c>
      <c r="J342">
        <v>236629</v>
      </c>
      <c r="K342">
        <v>93</v>
      </c>
      <c r="L342">
        <v>0</v>
      </c>
      <c r="M342">
        <v>1</v>
      </c>
      <c r="N342">
        <v>0</v>
      </c>
      <c r="O342">
        <v>1</v>
      </c>
      <c r="P342">
        <v>0</v>
      </c>
      <c r="Q342">
        <v>0</v>
      </c>
      <c r="R342">
        <v>89</v>
      </c>
      <c r="S342">
        <v>170</v>
      </c>
      <c r="T342">
        <v>31</v>
      </c>
      <c r="U342">
        <v>2</v>
      </c>
    </row>
    <row r="343" spans="1:21" x14ac:dyDescent="0.3">
      <c r="A343">
        <v>3</v>
      </c>
      <c r="B343">
        <v>28</v>
      </c>
      <c r="C343">
        <v>12</v>
      </c>
      <c r="D343">
        <v>2</v>
      </c>
      <c r="E343">
        <v>4</v>
      </c>
      <c r="F343">
        <v>179</v>
      </c>
      <c r="G343">
        <v>51</v>
      </c>
      <c r="H343">
        <v>18</v>
      </c>
      <c r="I343">
        <v>38</v>
      </c>
      <c r="J343">
        <v>236629</v>
      </c>
      <c r="K343">
        <v>93</v>
      </c>
      <c r="L343">
        <v>0</v>
      </c>
      <c r="M343">
        <v>1</v>
      </c>
      <c r="N343">
        <v>0</v>
      </c>
      <c r="O343">
        <v>1</v>
      </c>
      <c r="P343">
        <v>0</v>
      </c>
      <c r="Q343">
        <v>0</v>
      </c>
      <c r="R343">
        <v>89</v>
      </c>
      <c r="S343">
        <v>170</v>
      </c>
      <c r="T343">
        <v>31</v>
      </c>
      <c r="U343">
        <v>1</v>
      </c>
    </row>
    <row r="344" spans="1:21" x14ac:dyDescent="0.3">
      <c r="A344">
        <v>1</v>
      </c>
      <c r="B344">
        <v>23</v>
      </c>
      <c r="C344">
        <v>12</v>
      </c>
      <c r="D344">
        <v>2</v>
      </c>
      <c r="E344">
        <v>4</v>
      </c>
      <c r="F344">
        <v>235</v>
      </c>
      <c r="G344">
        <v>11</v>
      </c>
      <c r="H344">
        <v>14</v>
      </c>
      <c r="I344">
        <v>37</v>
      </c>
      <c r="J344">
        <v>236629</v>
      </c>
      <c r="K344">
        <v>93</v>
      </c>
      <c r="L344">
        <v>0</v>
      </c>
      <c r="M344">
        <v>3</v>
      </c>
      <c r="N344">
        <v>1</v>
      </c>
      <c r="O344">
        <v>0</v>
      </c>
      <c r="P344">
        <v>0</v>
      </c>
      <c r="Q344">
        <v>1</v>
      </c>
      <c r="R344">
        <v>88</v>
      </c>
      <c r="S344">
        <v>172</v>
      </c>
      <c r="T344">
        <v>29</v>
      </c>
      <c r="U344">
        <v>3</v>
      </c>
    </row>
    <row r="345" spans="1:21" x14ac:dyDescent="0.3">
      <c r="A345">
        <v>36</v>
      </c>
      <c r="B345">
        <v>28</v>
      </c>
      <c r="C345">
        <v>12</v>
      </c>
      <c r="D345">
        <v>3</v>
      </c>
      <c r="E345">
        <v>4</v>
      </c>
      <c r="F345">
        <v>118</v>
      </c>
      <c r="G345">
        <v>13</v>
      </c>
      <c r="H345">
        <v>18</v>
      </c>
      <c r="I345">
        <v>50</v>
      </c>
      <c r="J345">
        <v>236629</v>
      </c>
      <c r="K345">
        <v>93</v>
      </c>
      <c r="L345">
        <v>0</v>
      </c>
      <c r="M345">
        <v>1</v>
      </c>
      <c r="N345">
        <v>1</v>
      </c>
      <c r="O345">
        <v>1</v>
      </c>
      <c r="P345">
        <v>0</v>
      </c>
      <c r="Q345">
        <v>0</v>
      </c>
      <c r="R345">
        <v>98</v>
      </c>
      <c r="S345">
        <v>178</v>
      </c>
      <c r="T345">
        <v>31</v>
      </c>
      <c r="U345">
        <v>1</v>
      </c>
    </row>
    <row r="346" spans="1:21" x14ac:dyDescent="0.3">
      <c r="A346">
        <v>20</v>
      </c>
      <c r="B346">
        <v>28</v>
      </c>
      <c r="C346">
        <v>12</v>
      </c>
      <c r="D346">
        <v>6</v>
      </c>
      <c r="E346">
        <v>4</v>
      </c>
      <c r="F346">
        <v>260</v>
      </c>
      <c r="G346">
        <v>50</v>
      </c>
      <c r="H346">
        <v>11</v>
      </c>
      <c r="I346">
        <v>36</v>
      </c>
      <c r="J346">
        <v>236629</v>
      </c>
      <c r="K346">
        <v>93</v>
      </c>
      <c r="L346">
        <v>0</v>
      </c>
      <c r="M346">
        <v>1</v>
      </c>
      <c r="N346">
        <v>4</v>
      </c>
      <c r="O346">
        <v>1</v>
      </c>
      <c r="P346">
        <v>0</v>
      </c>
      <c r="Q346">
        <v>0</v>
      </c>
      <c r="R346">
        <v>65</v>
      </c>
      <c r="S346">
        <v>168</v>
      </c>
      <c r="T346">
        <v>23</v>
      </c>
      <c r="U346">
        <v>4</v>
      </c>
    </row>
    <row r="347" spans="1:21" x14ac:dyDescent="0.3">
      <c r="A347">
        <v>24</v>
      </c>
      <c r="B347">
        <v>4</v>
      </c>
      <c r="C347">
        <v>12</v>
      </c>
      <c r="D347">
        <v>5</v>
      </c>
      <c r="E347">
        <v>4</v>
      </c>
      <c r="F347">
        <v>246</v>
      </c>
      <c r="G347">
        <v>25</v>
      </c>
      <c r="H347">
        <v>16</v>
      </c>
      <c r="I347">
        <v>41</v>
      </c>
      <c r="J347">
        <v>236629</v>
      </c>
      <c r="K347">
        <v>93</v>
      </c>
      <c r="L347">
        <v>0</v>
      </c>
      <c r="M347">
        <v>1</v>
      </c>
      <c r="N347">
        <v>0</v>
      </c>
      <c r="O347">
        <v>1</v>
      </c>
      <c r="P347">
        <v>0</v>
      </c>
      <c r="Q347">
        <v>0</v>
      </c>
      <c r="R347">
        <v>67</v>
      </c>
      <c r="S347">
        <v>170</v>
      </c>
      <c r="T347">
        <v>23</v>
      </c>
      <c r="U347">
        <v>8</v>
      </c>
    </row>
    <row r="348" spans="1:21" x14ac:dyDescent="0.3">
      <c r="A348">
        <v>3</v>
      </c>
      <c r="B348">
        <v>28</v>
      </c>
      <c r="C348">
        <v>12</v>
      </c>
      <c r="D348">
        <v>5</v>
      </c>
      <c r="E348">
        <v>4</v>
      </c>
      <c r="F348">
        <v>179</v>
      </c>
      <c r="G348">
        <v>51</v>
      </c>
      <c r="H348">
        <v>18</v>
      </c>
      <c r="I348">
        <v>38</v>
      </c>
      <c r="J348">
        <v>236629</v>
      </c>
      <c r="K348">
        <v>93</v>
      </c>
      <c r="L348">
        <v>0</v>
      </c>
      <c r="M348">
        <v>1</v>
      </c>
      <c r="N348">
        <v>0</v>
      </c>
      <c r="O348">
        <v>1</v>
      </c>
      <c r="P348">
        <v>0</v>
      </c>
      <c r="Q348">
        <v>0</v>
      </c>
      <c r="R348">
        <v>89</v>
      </c>
      <c r="S348">
        <v>170</v>
      </c>
      <c r="T348">
        <v>31</v>
      </c>
      <c r="U348">
        <v>1</v>
      </c>
    </row>
    <row r="349" spans="1:21" x14ac:dyDescent="0.3">
      <c r="A349">
        <v>3</v>
      </c>
      <c r="B349">
        <v>28</v>
      </c>
      <c r="C349">
        <v>12</v>
      </c>
      <c r="D349">
        <v>6</v>
      </c>
      <c r="E349">
        <v>4</v>
      </c>
      <c r="F349">
        <v>179</v>
      </c>
      <c r="G349">
        <v>51</v>
      </c>
      <c r="H349">
        <v>18</v>
      </c>
      <c r="I349">
        <v>38</v>
      </c>
      <c r="J349">
        <v>236629</v>
      </c>
      <c r="K349">
        <v>93</v>
      </c>
      <c r="L349">
        <v>0</v>
      </c>
      <c r="M349">
        <v>1</v>
      </c>
      <c r="N349">
        <v>0</v>
      </c>
      <c r="O349">
        <v>1</v>
      </c>
      <c r="P349">
        <v>0</v>
      </c>
      <c r="Q349">
        <v>0</v>
      </c>
      <c r="R349">
        <v>89</v>
      </c>
      <c r="S349">
        <v>170</v>
      </c>
      <c r="T349">
        <v>31</v>
      </c>
      <c r="U349">
        <v>1</v>
      </c>
    </row>
    <row r="350" spans="1:21" x14ac:dyDescent="0.3">
      <c r="A350">
        <v>22</v>
      </c>
      <c r="B350">
        <v>23</v>
      </c>
      <c r="C350">
        <v>12</v>
      </c>
      <c r="D350">
        <v>3</v>
      </c>
      <c r="E350">
        <v>4</v>
      </c>
      <c r="F350">
        <v>179</v>
      </c>
      <c r="G350">
        <v>26</v>
      </c>
      <c r="H350">
        <v>9</v>
      </c>
      <c r="I350">
        <v>30</v>
      </c>
      <c r="J350">
        <v>236629</v>
      </c>
      <c r="K350">
        <v>93</v>
      </c>
      <c r="L350">
        <v>0</v>
      </c>
      <c r="M350">
        <v>3</v>
      </c>
      <c r="N350">
        <v>0</v>
      </c>
      <c r="O350">
        <v>0</v>
      </c>
      <c r="P350">
        <v>0</v>
      </c>
      <c r="Q350">
        <v>0</v>
      </c>
      <c r="R350">
        <v>56</v>
      </c>
      <c r="S350">
        <v>171</v>
      </c>
      <c r="T350">
        <v>19</v>
      </c>
      <c r="U350">
        <v>1</v>
      </c>
    </row>
    <row r="351" spans="1:21" x14ac:dyDescent="0.3">
      <c r="A351">
        <v>34</v>
      </c>
      <c r="B351">
        <v>25</v>
      </c>
      <c r="C351">
        <v>12</v>
      </c>
      <c r="D351">
        <v>3</v>
      </c>
      <c r="E351">
        <v>4</v>
      </c>
      <c r="F351">
        <v>118</v>
      </c>
      <c r="G351">
        <v>10</v>
      </c>
      <c r="H351">
        <v>10</v>
      </c>
      <c r="I351">
        <v>37</v>
      </c>
      <c r="J351">
        <v>236629</v>
      </c>
      <c r="K351">
        <v>93</v>
      </c>
      <c r="L351">
        <v>0</v>
      </c>
      <c r="M351">
        <v>1</v>
      </c>
      <c r="N351">
        <v>0</v>
      </c>
      <c r="O351">
        <v>0</v>
      </c>
      <c r="P351">
        <v>0</v>
      </c>
      <c r="Q351">
        <v>0</v>
      </c>
      <c r="R351">
        <v>83</v>
      </c>
      <c r="S351">
        <v>172</v>
      </c>
      <c r="T351">
        <v>28</v>
      </c>
      <c r="U351">
        <v>8</v>
      </c>
    </row>
    <row r="352" spans="1:21" x14ac:dyDescent="0.3">
      <c r="A352">
        <v>1</v>
      </c>
      <c r="B352">
        <v>25</v>
      </c>
      <c r="C352">
        <v>12</v>
      </c>
      <c r="D352">
        <v>5</v>
      </c>
      <c r="E352">
        <v>4</v>
      </c>
      <c r="F352">
        <v>235</v>
      </c>
      <c r="G352">
        <v>11</v>
      </c>
      <c r="H352">
        <v>14</v>
      </c>
      <c r="I352">
        <v>37</v>
      </c>
      <c r="J352">
        <v>236629</v>
      </c>
      <c r="K352">
        <v>93</v>
      </c>
      <c r="L352">
        <v>0</v>
      </c>
      <c r="M352">
        <v>3</v>
      </c>
      <c r="O352">
        <v>0</v>
      </c>
      <c r="P352">
        <v>0</v>
      </c>
      <c r="Q352">
        <v>1</v>
      </c>
      <c r="R352">
        <v>88</v>
      </c>
      <c r="S352">
        <v>172</v>
      </c>
      <c r="T352">
        <v>29</v>
      </c>
      <c r="U352">
        <v>2</v>
      </c>
    </row>
    <row r="353" spans="1:21" x14ac:dyDescent="0.3">
      <c r="A353">
        <v>3</v>
      </c>
      <c r="B353">
        <v>28</v>
      </c>
      <c r="C353">
        <v>12</v>
      </c>
      <c r="D353">
        <v>6</v>
      </c>
      <c r="E353">
        <v>4</v>
      </c>
      <c r="F353">
        <v>179</v>
      </c>
      <c r="G353">
        <v>51</v>
      </c>
      <c r="H353">
        <v>18</v>
      </c>
      <c r="I353">
        <v>38</v>
      </c>
      <c r="J353">
        <v>236629</v>
      </c>
      <c r="K353">
        <v>93</v>
      </c>
      <c r="L353">
        <v>0</v>
      </c>
      <c r="M353">
        <v>1</v>
      </c>
      <c r="N353">
        <v>0</v>
      </c>
      <c r="O353">
        <v>1</v>
      </c>
      <c r="P353">
        <v>0</v>
      </c>
      <c r="Q353">
        <v>0</v>
      </c>
      <c r="R353">
        <v>89</v>
      </c>
      <c r="S353">
        <v>170</v>
      </c>
      <c r="T353">
        <v>31</v>
      </c>
      <c r="U353">
        <v>1</v>
      </c>
    </row>
    <row r="354" spans="1:21" x14ac:dyDescent="0.3">
      <c r="A354">
        <v>5</v>
      </c>
      <c r="B354">
        <v>13</v>
      </c>
      <c r="C354">
        <v>12</v>
      </c>
      <c r="D354">
        <v>3</v>
      </c>
      <c r="E354">
        <v>2</v>
      </c>
      <c r="F354">
        <v>235</v>
      </c>
      <c r="G354">
        <v>20</v>
      </c>
      <c r="H354">
        <v>13</v>
      </c>
      <c r="I354">
        <v>43</v>
      </c>
      <c r="J354">
        <v>236629</v>
      </c>
      <c r="K354">
        <v>93</v>
      </c>
      <c r="L354">
        <v>0</v>
      </c>
      <c r="M354">
        <v>1</v>
      </c>
      <c r="N354">
        <v>1</v>
      </c>
      <c r="O354">
        <v>1</v>
      </c>
      <c r="P354">
        <v>0</v>
      </c>
      <c r="Q354">
        <v>0</v>
      </c>
      <c r="R354">
        <v>106</v>
      </c>
      <c r="S354">
        <v>167</v>
      </c>
      <c r="T354">
        <v>38</v>
      </c>
      <c r="U354">
        <v>8</v>
      </c>
    </row>
    <row r="355" spans="1:21" x14ac:dyDescent="0.3">
      <c r="A355">
        <v>1</v>
      </c>
      <c r="B355">
        <v>14</v>
      </c>
      <c r="C355">
        <v>12</v>
      </c>
      <c r="D355">
        <v>3</v>
      </c>
      <c r="E355">
        <v>2</v>
      </c>
      <c r="F355">
        <v>235</v>
      </c>
      <c r="G355">
        <v>11</v>
      </c>
      <c r="H355">
        <v>14</v>
      </c>
      <c r="I355">
        <v>37</v>
      </c>
      <c r="J355">
        <v>236629</v>
      </c>
      <c r="K355">
        <v>93</v>
      </c>
      <c r="L355">
        <v>0</v>
      </c>
      <c r="M355">
        <v>3</v>
      </c>
      <c r="N355">
        <v>1</v>
      </c>
      <c r="O355">
        <v>0</v>
      </c>
      <c r="P355">
        <v>0</v>
      </c>
      <c r="Q355">
        <v>1</v>
      </c>
      <c r="R355">
        <v>88</v>
      </c>
      <c r="S355">
        <v>172</v>
      </c>
      <c r="T355">
        <v>29</v>
      </c>
      <c r="U355">
        <v>4</v>
      </c>
    </row>
    <row r="356" spans="1:21" x14ac:dyDescent="0.3">
      <c r="A356">
        <v>20</v>
      </c>
      <c r="B356">
        <v>26</v>
      </c>
      <c r="C356">
        <v>12</v>
      </c>
      <c r="D356">
        <v>4</v>
      </c>
      <c r="E356">
        <v>2</v>
      </c>
      <c r="F356">
        <v>260</v>
      </c>
      <c r="G356">
        <v>50</v>
      </c>
      <c r="H356">
        <v>11</v>
      </c>
      <c r="I356">
        <v>36</v>
      </c>
      <c r="J356">
        <v>236629</v>
      </c>
      <c r="K356">
        <v>93</v>
      </c>
      <c r="L356">
        <v>0</v>
      </c>
      <c r="M356">
        <v>1</v>
      </c>
      <c r="N356">
        <v>4</v>
      </c>
      <c r="O356">
        <v>1</v>
      </c>
      <c r="P356">
        <v>0</v>
      </c>
      <c r="Q356">
        <v>0</v>
      </c>
      <c r="R356">
        <v>65</v>
      </c>
      <c r="S356">
        <v>168</v>
      </c>
      <c r="T356">
        <v>23</v>
      </c>
      <c r="U356">
        <v>8</v>
      </c>
    </row>
    <row r="357" spans="1:21" x14ac:dyDescent="0.3">
      <c r="A357">
        <v>30</v>
      </c>
      <c r="B357">
        <v>28</v>
      </c>
      <c r="C357">
        <v>12</v>
      </c>
      <c r="D357">
        <v>2</v>
      </c>
      <c r="E357">
        <v>2</v>
      </c>
      <c r="F357">
        <v>157</v>
      </c>
      <c r="G357">
        <v>27</v>
      </c>
      <c r="H357">
        <v>6</v>
      </c>
      <c r="I357">
        <v>29</v>
      </c>
      <c r="J357">
        <v>236629</v>
      </c>
      <c r="K357">
        <v>93</v>
      </c>
      <c r="L357">
        <v>0</v>
      </c>
      <c r="M357">
        <v>1</v>
      </c>
      <c r="N357">
        <v>0</v>
      </c>
      <c r="O357">
        <v>1</v>
      </c>
      <c r="P357">
        <v>1</v>
      </c>
      <c r="Q357">
        <v>0</v>
      </c>
      <c r="R357">
        <v>75</v>
      </c>
      <c r="S357">
        <v>185</v>
      </c>
      <c r="T357">
        <v>22</v>
      </c>
      <c r="U357">
        <v>2</v>
      </c>
    </row>
    <row r="358" spans="1:21" x14ac:dyDescent="0.3">
      <c r="A358">
        <v>3</v>
      </c>
      <c r="B358">
        <v>28</v>
      </c>
      <c r="C358">
        <v>12</v>
      </c>
      <c r="D358">
        <v>2</v>
      </c>
      <c r="E358">
        <v>2</v>
      </c>
      <c r="F358">
        <v>179</v>
      </c>
      <c r="G358">
        <v>51</v>
      </c>
      <c r="H358">
        <v>18</v>
      </c>
      <c r="I358">
        <v>38</v>
      </c>
      <c r="J358">
        <v>236629</v>
      </c>
      <c r="K358">
        <v>93</v>
      </c>
      <c r="L358">
        <v>0</v>
      </c>
      <c r="M358">
        <v>1</v>
      </c>
      <c r="N358">
        <v>0</v>
      </c>
      <c r="O358">
        <v>1</v>
      </c>
      <c r="P358">
        <v>0</v>
      </c>
      <c r="Q358">
        <v>0</v>
      </c>
      <c r="R358">
        <v>89</v>
      </c>
      <c r="S358">
        <v>170</v>
      </c>
      <c r="T358">
        <v>31</v>
      </c>
      <c r="U358">
        <v>3</v>
      </c>
    </row>
    <row r="359" spans="1:21" x14ac:dyDescent="0.3">
      <c r="A359">
        <v>11</v>
      </c>
      <c r="B359">
        <v>19</v>
      </c>
      <c r="C359">
        <v>12</v>
      </c>
      <c r="D359">
        <v>2</v>
      </c>
      <c r="E359">
        <v>2</v>
      </c>
      <c r="F359">
        <v>289</v>
      </c>
      <c r="G359">
        <v>36</v>
      </c>
      <c r="H359">
        <v>13</v>
      </c>
      <c r="I359">
        <v>33</v>
      </c>
      <c r="J359">
        <v>236629</v>
      </c>
      <c r="K359">
        <v>93</v>
      </c>
      <c r="L359">
        <v>0</v>
      </c>
      <c r="M359">
        <v>1</v>
      </c>
      <c r="N359">
        <v>2</v>
      </c>
      <c r="O359">
        <v>1</v>
      </c>
      <c r="P359">
        <v>0</v>
      </c>
      <c r="Q359">
        <v>1</v>
      </c>
      <c r="R359">
        <v>90</v>
      </c>
      <c r="S359">
        <v>172</v>
      </c>
      <c r="T359">
        <v>30</v>
      </c>
      <c r="U359">
        <v>8</v>
      </c>
    </row>
    <row r="360" spans="1:21" x14ac:dyDescent="0.3">
      <c r="A360">
        <v>28</v>
      </c>
      <c r="B360">
        <v>23</v>
      </c>
      <c r="C360">
        <v>1</v>
      </c>
      <c r="D360">
        <v>4</v>
      </c>
      <c r="E360">
        <v>2</v>
      </c>
      <c r="F360">
        <v>225</v>
      </c>
      <c r="G360">
        <v>26</v>
      </c>
      <c r="H360">
        <v>9</v>
      </c>
      <c r="I360">
        <v>28</v>
      </c>
      <c r="J360">
        <v>330061</v>
      </c>
      <c r="K360">
        <v>100</v>
      </c>
      <c r="L360">
        <v>0</v>
      </c>
      <c r="M360">
        <v>1</v>
      </c>
      <c r="N360">
        <v>1</v>
      </c>
      <c r="O360">
        <v>0</v>
      </c>
      <c r="P360">
        <v>0</v>
      </c>
      <c r="Q360">
        <v>2</v>
      </c>
      <c r="R360">
        <v>69</v>
      </c>
      <c r="S360">
        <v>169</v>
      </c>
      <c r="T360">
        <v>24</v>
      </c>
      <c r="U360">
        <v>5</v>
      </c>
    </row>
    <row r="361" spans="1:21" x14ac:dyDescent="0.3">
      <c r="A361">
        <v>34</v>
      </c>
      <c r="B361">
        <v>19</v>
      </c>
      <c r="C361">
        <v>1</v>
      </c>
      <c r="D361">
        <v>2</v>
      </c>
      <c r="E361">
        <v>2</v>
      </c>
      <c r="F361">
        <v>118</v>
      </c>
      <c r="G361">
        <v>10</v>
      </c>
      <c r="H361">
        <v>10</v>
      </c>
      <c r="I361">
        <v>37</v>
      </c>
      <c r="J361">
        <v>330061</v>
      </c>
      <c r="K361">
        <v>100</v>
      </c>
      <c r="L361">
        <v>0</v>
      </c>
      <c r="M361">
        <v>1</v>
      </c>
      <c r="N361">
        <v>0</v>
      </c>
      <c r="O361">
        <v>0</v>
      </c>
      <c r="P361">
        <v>0</v>
      </c>
      <c r="Q361">
        <v>0</v>
      </c>
      <c r="R361">
        <v>83</v>
      </c>
      <c r="S361">
        <v>172</v>
      </c>
      <c r="T361">
        <v>28</v>
      </c>
      <c r="U361">
        <v>32</v>
      </c>
    </row>
    <row r="362" spans="1:21" x14ac:dyDescent="0.3">
      <c r="A362">
        <v>14</v>
      </c>
      <c r="B362">
        <v>23</v>
      </c>
      <c r="C362">
        <v>1</v>
      </c>
      <c r="D362">
        <v>2</v>
      </c>
      <c r="E362">
        <v>2</v>
      </c>
      <c r="F362">
        <v>155</v>
      </c>
      <c r="G362">
        <v>12</v>
      </c>
      <c r="H362">
        <v>14</v>
      </c>
      <c r="I362">
        <v>34</v>
      </c>
      <c r="J362">
        <v>330061</v>
      </c>
      <c r="K362">
        <v>100</v>
      </c>
      <c r="L362">
        <v>0</v>
      </c>
      <c r="M362">
        <v>1</v>
      </c>
      <c r="N362">
        <v>2</v>
      </c>
      <c r="O362">
        <v>1</v>
      </c>
      <c r="P362">
        <v>0</v>
      </c>
      <c r="Q362">
        <v>0</v>
      </c>
      <c r="R362">
        <v>95</v>
      </c>
      <c r="S362">
        <v>196</v>
      </c>
      <c r="T362">
        <v>25</v>
      </c>
      <c r="U362">
        <v>2</v>
      </c>
    </row>
    <row r="363" spans="1:21" x14ac:dyDescent="0.3">
      <c r="A363">
        <v>1</v>
      </c>
      <c r="B363">
        <v>13</v>
      </c>
      <c r="C363">
        <v>1</v>
      </c>
      <c r="D363">
        <v>3</v>
      </c>
      <c r="E363">
        <v>2</v>
      </c>
      <c r="F363">
        <v>235</v>
      </c>
      <c r="G363">
        <v>11</v>
      </c>
      <c r="H363">
        <v>14</v>
      </c>
      <c r="I363">
        <v>37</v>
      </c>
      <c r="J363">
        <v>330061</v>
      </c>
      <c r="K363">
        <v>100</v>
      </c>
      <c r="L363">
        <v>0</v>
      </c>
      <c r="M363">
        <v>3</v>
      </c>
      <c r="N363">
        <v>1</v>
      </c>
      <c r="O363">
        <v>0</v>
      </c>
      <c r="P363">
        <v>0</v>
      </c>
      <c r="Q363">
        <v>1</v>
      </c>
      <c r="R363">
        <v>88</v>
      </c>
      <c r="S363">
        <v>172</v>
      </c>
      <c r="T363">
        <v>29</v>
      </c>
      <c r="U363">
        <v>1</v>
      </c>
    </row>
    <row r="364" spans="1:21" x14ac:dyDescent="0.3">
      <c r="A364">
        <v>14</v>
      </c>
      <c r="B364">
        <v>23</v>
      </c>
      <c r="C364">
        <v>1</v>
      </c>
      <c r="D364">
        <v>3</v>
      </c>
      <c r="E364">
        <v>2</v>
      </c>
      <c r="F364">
        <v>155</v>
      </c>
      <c r="G364">
        <v>12</v>
      </c>
      <c r="H364">
        <v>14</v>
      </c>
      <c r="I364">
        <v>34</v>
      </c>
      <c r="J364">
        <v>330061</v>
      </c>
      <c r="K364">
        <v>100</v>
      </c>
      <c r="L364">
        <v>0</v>
      </c>
      <c r="M364">
        <v>1</v>
      </c>
      <c r="N364">
        <v>2</v>
      </c>
      <c r="O364">
        <v>1</v>
      </c>
      <c r="P364">
        <v>0</v>
      </c>
      <c r="Q364">
        <v>0</v>
      </c>
      <c r="R364">
        <v>95</v>
      </c>
      <c r="S364">
        <v>196</v>
      </c>
      <c r="T364">
        <v>25</v>
      </c>
      <c r="U364">
        <v>4</v>
      </c>
    </row>
    <row r="365" spans="1:21" x14ac:dyDescent="0.3">
      <c r="A365">
        <v>11</v>
      </c>
      <c r="B365">
        <v>26</v>
      </c>
      <c r="C365">
        <v>1</v>
      </c>
      <c r="D365">
        <v>2</v>
      </c>
      <c r="E365">
        <v>2</v>
      </c>
      <c r="F365">
        <v>289</v>
      </c>
      <c r="G365">
        <v>36</v>
      </c>
      <c r="H365">
        <v>13</v>
      </c>
      <c r="I365">
        <v>33</v>
      </c>
      <c r="J365">
        <v>330061</v>
      </c>
      <c r="K365">
        <v>100</v>
      </c>
      <c r="L365">
        <v>0</v>
      </c>
      <c r="M365">
        <v>1</v>
      </c>
      <c r="N365">
        <v>2</v>
      </c>
      <c r="O365">
        <v>1</v>
      </c>
      <c r="P365">
        <v>0</v>
      </c>
      <c r="Q365">
        <v>1</v>
      </c>
      <c r="R365">
        <v>90</v>
      </c>
      <c r="S365">
        <v>172</v>
      </c>
      <c r="T365">
        <v>30</v>
      </c>
      <c r="U365">
        <v>8</v>
      </c>
    </row>
    <row r="366" spans="1:21" x14ac:dyDescent="0.3">
      <c r="A366">
        <v>15</v>
      </c>
      <c r="B366">
        <v>3</v>
      </c>
      <c r="C366">
        <v>1</v>
      </c>
      <c r="D366">
        <v>4</v>
      </c>
      <c r="E366">
        <v>2</v>
      </c>
      <c r="F366">
        <v>291</v>
      </c>
      <c r="G366">
        <v>31</v>
      </c>
      <c r="H366">
        <v>12</v>
      </c>
      <c r="I366">
        <v>40</v>
      </c>
      <c r="J366">
        <v>330061</v>
      </c>
      <c r="K366">
        <v>100</v>
      </c>
      <c r="L366">
        <v>0</v>
      </c>
      <c r="M366">
        <v>1</v>
      </c>
      <c r="N366">
        <v>1</v>
      </c>
      <c r="O366">
        <v>1</v>
      </c>
      <c r="P366">
        <v>0</v>
      </c>
      <c r="Q366">
        <v>1</v>
      </c>
      <c r="R366">
        <v>73</v>
      </c>
      <c r="S366">
        <v>171</v>
      </c>
      <c r="T366">
        <v>25</v>
      </c>
      <c r="U366">
        <v>8</v>
      </c>
    </row>
    <row r="367" spans="1:21" x14ac:dyDescent="0.3">
      <c r="A367">
        <v>5</v>
      </c>
      <c r="B367">
        <v>26</v>
      </c>
      <c r="C367">
        <v>1</v>
      </c>
      <c r="D367">
        <v>2</v>
      </c>
      <c r="E367">
        <v>2</v>
      </c>
      <c r="F367">
        <v>235</v>
      </c>
      <c r="G367">
        <v>20</v>
      </c>
      <c r="H367">
        <v>13</v>
      </c>
      <c r="I367">
        <v>43</v>
      </c>
      <c r="J367">
        <v>330061</v>
      </c>
      <c r="K367">
        <v>100</v>
      </c>
      <c r="L367">
        <v>0</v>
      </c>
      <c r="M367">
        <v>1</v>
      </c>
      <c r="N367">
        <v>1</v>
      </c>
      <c r="O367">
        <v>1</v>
      </c>
      <c r="P367">
        <v>0</v>
      </c>
      <c r="Q367">
        <v>0</v>
      </c>
      <c r="R367">
        <v>106</v>
      </c>
      <c r="S367">
        <v>167</v>
      </c>
      <c r="T367">
        <v>38</v>
      </c>
      <c r="U367">
        <v>8</v>
      </c>
    </row>
    <row r="368" spans="1:21" x14ac:dyDescent="0.3">
      <c r="A368">
        <v>36</v>
      </c>
      <c r="B368">
        <v>26</v>
      </c>
      <c r="C368">
        <v>1</v>
      </c>
      <c r="D368">
        <v>2</v>
      </c>
      <c r="E368">
        <v>2</v>
      </c>
      <c r="F368">
        <v>118</v>
      </c>
      <c r="G368">
        <v>13</v>
      </c>
      <c r="H368">
        <v>18</v>
      </c>
      <c r="I368">
        <v>50</v>
      </c>
      <c r="J368">
        <v>330061</v>
      </c>
      <c r="K368">
        <v>100</v>
      </c>
      <c r="L368">
        <v>0</v>
      </c>
      <c r="M368">
        <v>1</v>
      </c>
      <c r="N368">
        <v>1</v>
      </c>
      <c r="O368">
        <v>1</v>
      </c>
      <c r="P368">
        <v>0</v>
      </c>
      <c r="Q368">
        <v>0</v>
      </c>
      <c r="R368">
        <v>98</v>
      </c>
      <c r="S368">
        <v>178</v>
      </c>
      <c r="T368">
        <v>31</v>
      </c>
      <c r="U368">
        <v>4</v>
      </c>
    </row>
    <row r="369" spans="1:21" x14ac:dyDescent="0.3">
      <c r="A369">
        <v>3</v>
      </c>
      <c r="C369">
        <v>1</v>
      </c>
      <c r="D369">
        <v>4</v>
      </c>
      <c r="E369">
        <v>2</v>
      </c>
      <c r="F369">
        <v>179</v>
      </c>
      <c r="G369">
        <v>51</v>
      </c>
      <c r="H369">
        <v>18</v>
      </c>
      <c r="I369">
        <v>38</v>
      </c>
      <c r="J369">
        <v>330061</v>
      </c>
      <c r="K369">
        <v>100</v>
      </c>
      <c r="L369">
        <v>0</v>
      </c>
      <c r="M369">
        <v>1</v>
      </c>
      <c r="N369">
        <v>0</v>
      </c>
      <c r="O369">
        <v>1</v>
      </c>
      <c r="P369">
        <v>0</v>
      </c>
      <c r="Q369">
        <v>0</v>
      </c>
      <c r="R369">
        <v>89</v>
      </c>
      <c r="S369">
        <v>170</v>
      </c>
      <c r="T369">
        <v>31</v>
      </c>
      <c r="U369">
        <v>1</v>
      </c>
    </row>
    <row r="370" spans="1:21" x14ac:dyDescent="0.3">
      <c r="A370">
        <v>3</v>
      </c>
      <c r="B370">
        <v>28</v>
      </c>
      <c r="C370">
        <v>1</v>
      </c>
      <c r="D370">
        <v>6</v>
      </c>
      <c r="E370">
        <v>2</v>
      </c>
      <c r="F370">
        <v>179</v>
      </c>
      <c r="G370">
        <v>51</v>
      </c>
      <c r="H370">
        <v>18</v>
      </c>
      <c r="I370">
        <v>38</v>
      </c>
      <c r="J370">
        <v>330061</v>
      </c>
      <c r="K370">
        <v>100</v>
      </c>
      <c r="L370">
        <v>0</v>
      </c>
      <c r="M370">
        <v>1</v>
      </c>
      <c r="N370">
        <v>0</v>
      </c>
      <c r="O370">
        <v>1</v>
      </c>
      <c r="P370">
        <v>0</v>
      </c>
      <c r="Q370">
        <v>0</v>
      </c>
      <c r="R370">
        <v>89</v>
      </c>
      <c r="S370">
        <v>170</v>
      </c>
      <c r="T370">
        <v>31</v>
      </c>
      <c r="U370">
        <v>1</v>
      </c>
    </row>
    <row r="371" spans="1:21" x14ac:dyDescent="0.3">
      <c r="A371">
        <v>34</v>
      </c>
      <c r="B371">
        <v>28</v>
      </c>
      <c r="C371">
        <v>2</v>
      </c>
      <c r="D371">
        <v>3</v>
      </c>
      <c r="E371">
        <v>2</v>
      </c>
      <c r="F371">
        <v>118</v>
      </c>
      <c r="G371">
        <v>10</v>
      </c>
      <c r="H371">
        <v>10</v>
      </c>
      <c r="I371">
        <v>37</v>
      </c>
      <c r="J371">
        <v>251818</v>
      </c>
      <c r="K371">
        <v>96</v>
      </c>
      <c r="L371">
        <v>0</v>
      </c>
      <c r="M371">
        <v>1</v>
      </c>
      <c r="N371">
        <v>0</v>
      </c>
      <c r="O371">
        <v>0</v>
      </c>
      <c r="P371">
        <v>0</v>
      </c>
      <c r="Q371">
        <v>0</v>
      </c>
      <c r="R371">
        <v>83</v>
      </c>
      <c r="S371">
        <v>172</v>
      </c>
      <c r="T371">
        <v>28</v>
      </c>
      <c r="U371">
        <v>2</v>
      </c>
    </row>
    <row r="372" spans="1:21" x14ac:dyDescent="0.3">
      <c r="A372">
        <v>3</v>
      </c>
      <c r="B372">
        <v>27</v>
      </c>
      <c r="C372">
        <v>2</v>
      </c>
      <c r="D372">
        <v>4</v>
      </c>
      <c r="E372">
        <v>2</v>
      </c>
      <c r="F372">
        <v>179</v>
      </c>
      <c r="G372">
        <v>51</v>
      </c>
      <c r="H372">
        <v>18</v>
      </c>
      <c r="I372">
        <v>38</v>
      </c>
      <c r="J372">
        <v>251818</v>
      </c>
      <c r="K372">
        <v>96</v>
      </c>
      <c r="L372">
        <v>0</v>
      </c>
      <c r="M372">
        <v>1</v>
      </c>
      <c r="N372">
        <v>0</v>
      </c>
      <c r="O372">
        <v>1</v>
      </c>
      <c r="P372">
        <v>0</v>
      </c>
      <c r="Q372">
        <v>0</v>
      </c>
      <c r="R372">
        <v>89</v>
      </c>
      <c r="S372">
        <v>170</v>
      </c>
      <c r="T372">
        <v>31</v>
      </c>
      <c r="U372">
        <v>3</v>
      </c>
    </row>
    <row r="373" spans="1:21" x14ac:dyDescent="0.3">
      <c r="A373">
        <v>28</v>
      </c>
      <c r="B373">
        <v>7</v>
      </c>
      <c r="C373">
        <v>2</v>
      </c>
      <c r="D373">
        <v>4</v>
      </c>
      <c r="E373">
        <v>2</v>
      </c>
      <c r="F373">
        <v>225</v>
      </c>
      <c r="G373">
        <v>26</v>
      </c>
      <c r="H373">
        <v>9</v>
      </c>
      <c r="I373">
        <v>28</v>
      </c>
      <c r="J373">
        <v>251818</v>
      </c>
      <c r="K373">
        <v>96</v>
      </c>
      <c r="L373">
        <v>0</v>
      </c>
      <c r="M373">
        <v>1</v>
      </c>
      <c r="N373">
        <v>1</v>
      </c>
      <c r="O373">
        <v>0</v>
      </c>
      <c r="P373">
        <v>0</v>
      </c>
      <c r="Q373">
        <v>2</v>
      </c>
      <c r="R373">
        <v>69</v>
      </c>
      <c r="S373">
        <v>169</v>
      </c>
      <c r="T373">
        <v>24</v>
      </c>
      <c r="U373">
        <v>1</v>
      </c>
    </row>
    <row r="374" spans="1:21" x14ac:dyDescent="0.3">
      <c r="A374">
        <v>11</v>
      </c>
      <c r="B374">
        <v>22</v>
      </c>
      <c r="C374">
        <v>2</v>
      </c>
      <c r="D374">
        <v>6</v>
      </c>
      <c r="E374">
        <v>2</v>
      </c>
      <c r="F374">
        <v>289</v>
      </c>
      <c r="G374">
        <v>36</v>
      </c>
      <c r="H374">
        <v>13</v>
      </c>
      <c r="I374">
        <v>33</v>
      </c>
      <c r="J374">
        <v>251818</v>
      </c>
      <c r="K374">
        <v>96</v>
      </c>
      <c r="L374">
        <v>0</v>
      </c>
      <c r="M374">
        <v>1</v>
      </c>
      <c r="N374">
        <v>2</v>
      </c>
      <c r="O374">
        <v>1</v>
      </c>
      <c r="P374">
        <v>0</v>
      </c>
      <c r="Q374">
        <v>1</v>
      </c>
      <c r="R374">
        <v>90</v>
      </c>
      <c r="S374">
        <v>172</v>
      </c>
      <c r="T374">
        <v>30</v>
      </c>
      <c r="U374">
        <v>3</v>
      </c>
    </row>
    <row r="375" spans="1:21" x14ac:dyDescent="0.3">
      <c r="A375">
        <v>20</v>
      </c>
      <c r="C375">
        <v>2</v>
      </c>
      <c r="D375">
        <v>6</v>
      </c>
      <c r="E375">
        <v>2</v>
      </c>
      <c r="F375">
        <v>260</v>
      </c>
      <c r="G375">
        <v>50</v>
      </c>
      <c r="H375">
        <v>11</v>
      </c>
      <c r="I375">
        <v>36</v>
      </c>
      <c r="J375">
        <v>251818</v>
      </c>
      <c r="K375">
        <v>96</v>
      </c>
      <c r="L375">
        <v>0</v>
      </c>
      <c r="M375">
        <v>1</v>
      </c>
      <c r="N375">
        <v>4</v>
      </c>
      <c r="O375">
        <v>1</v>
      </c>
      <c r="P375">
        <v>0</v>
      </c>
      <c r="Q375">
        <v>0</v>
      </c>
      <c r="R375">
        <v>65</v>
      </c>
      <c r="S375">
        <v>168</v>
      </c>
      <c r="T375">
        <v>23</v>
      </c>
      <c r="U375">
        <v>3</v>
      </c>
    </row>
    <row r="376" spans="1:21" x14ac:dyDescent="0.3">
      <c r="A376">
        <v>3</v>
      </c>
      <c r="B376">
        <v>23</v>
      </c>
      <c r="C376">
        <v>2</v>
      </c>
      <c r="D376">
        <v>6</v>
      </c>
      <c r="E376">
        <v>2</v>
      </c>
      <c r="F376">
        <v>179</v>
      </c>
      <c r="G376">
        <v>51</v>
      </c>
      <c r="H376">
        <v>18</v>
      </c>
      <c r="I376">
        <v>38</v>
      </c>
      <c r="J376">
        <v>251818</v>
      </c>
      <c r="K376">
        <v>96</v>
      </c>
      <c r="L376">
        <v>0</v>
      </c>
      <c r="M376">
        <v>1</v>
      </c>
      <c r="N376">
        <v>0</v>
      </c>
      <c r="O376">
        <v>1</v>
      </c>
      <c r="P376">
        <v>0</v>
      </c>
      <c r="Q376">
        <v>0</v>
      </c>
      <c r="R376">
        <v>89</v>
      </c>
      <c r="S376">
        <v>170</v>
      </c>
      <c r="T376">
        <v>31</v>
      </c>
      <c r="U376">
        <v>3</v>
      </c>
    </row>
    <row r="377" spans="1:21" x14ac:dyDescent="0.3">
      <c r="A377">
        <v>3</v>
      </c>
      <c r="B377">
        <v>27</v>
      </c>
      <c r="C377">
        <v>2</v>
      </c>
      <c r="D377">
        <v>2</v>
      </c>
      <c r="E377">
        <v>2</v>
      </c>
      <c r="F377">
        <v>179</v>
      </c>
      <c r="G377">
        <v>51</v>
      </c>
      <c r="H377">
        <v>18</v>
      </c>
      <c r="I377">
        <v>38</v>
      </c>
      <c r="J377">
        <v>251818</v>
      </c>
      <c r="K377">
        <v>96</v>
      </c>
      <c r="L377">
        <v>0</v>
      </c>
      <c r="M377">
        <v>1</v>
      </c>
      <c r="N377">
        <v>0</v>
      </c>
      <c r="O377">
        <v>1</v>
      </c>
      <c r="P377">
        <v>0</v>
      </c>
      <c r="Q377">
        <v>0</v>
      </c>
      <c r="R377">
        <v>89</v>
      </c>
      <c r="S377">
        <v>170</v>
      </c>
      <c r="T377">
        <v>31</v>
      </c>
      <c r="U377">
        <v>2</v>
      </c>
    </row>
    <row r="378" spans="1:21" x14ac:dyDescent="0.3">
      <c r="A378">
        <v>3</v>
      </c>
      <c r="B378">
        <v>27</v>
      </c>
      <c r="C378">
        <v>2</v>
      </c>
      <c r="D378">
        <v>4</v>
      </c>
      <c r="E378">
        <v>2</v>
      </c>
      <c r="F378">
        <v>179</v>
      </c>
      <c r="G378">
        <v>51</v>
      </c>
      <c r="H378">
        <v>18</v>
      </c>
      <c r="I378">
        <v>38</v>
      </c>
      <c r="J378">
        <v>251818</v>
      </c>
      <c r="K378">
        <v>96</v>
      </c>
      <c r="L378">
        <v>0</v>
      </c>
      <c r="M378">
        <v>1</v>
      </c>
      <c r="N378">
        <v>0</v>
      </c>
      <c r="O378">
        <v>1</v>
      </c>
      <c r="P378">
        <v>0</v>
      </c>
      <c r="Q378">
        <v>0</v>
      </c>
      <c r="R378">
        <v>89</v>
      </c>
      <c r="S378">
        <v>170</v>
      </c>
      <c r="T378">
        <v>31</v>
      </c>
      <c r="U378">
        <v>3</v>
      </c>
    </row>
    <row r="379" spans="1:21" x14ac:dyDescent="0.3">
      <c r="A379">
        <v>3</v>
      </c>
      <c r="B379">
        <v>10</v>
      </c>
      <c r="C379">
        <v>2</v>
      </c>
      <c r="D379">
        <v>5</v>
      </c>
      <c r="E379">
        <v>2</v>
      </c>
      <c r="F379">
        <v>179</v>
      </c>
      <c r="G379">
        <v>51</v>
      </c>
      <c r="H379">
        <v>18</v>
      </c>
      <c r="I379">
        <v>38</v>
      </c>
      <c r="J379">
        <v>251818</v>
      </c>
      <c r="K379">
        <v>96</v>
      </c>
      <c r="L379">
        <v>0</v>
      </c>
      <c r="M379">
        <v>1</v>
      </c>
      <c r="N379">
        <v>0</v>
      </c>
      <c r="O379">
        <v>1</v>
      </c>
      <c r="P379">
        <v>0</v>
      </c>
      <c r="Q379">
        <v>0</v>
      </c>
      <c r="R379">
        <v>89</v>
      </c>
      <c r="S379">
        <v>170</v>
      </c>
      <c r="T379">
        <v>31</v>
      </c>
      <c r="U379">
        <v>8</v>
      </c>
    </row>
    <row r="380" spans="1:21" x14ac:dyDescent="0.3">
      <c r="A380">
        <v>24</v>
      </c>
      <c r="B380">
        <v>26</v>
      </c>
      <c r="C380">
        <v>2</v>
      </c>
      <c r="D380">
        <v>5</v>
      </c>
      <c r="E380">
        <v>2</v>
      </c>
      <c r="F380">
        <v>246</v>
      </c>
      <c r="G380">
        <v>25</v>
      </c>
      <c r="H380">
        <v>16</v>
      </c>
      <c r="I380">
        <v>41</v>
      </c>
      <c r="J380">
        <v>251818</v>
      </c>
      <c r="K380">
        <v>96</v>
      </c>
      <c r="L380">
        <v>0</v>
      </c>
      <c r="M380">
        <v>1</v>
      </c>
      <c r="N380">
        <v>0</v>
      </c>
      <c r="O380">
        <v>1</v>
      </c>
      <c r="P380">
        <v>0</v>
      </c>
      <c r="Q380">
        <v>0</v>
      </c>
      <c r="R380">
        <v>67</v>
      </c>
      <c r="S380">
        <v>170</v>
      </c>
      <c r="T380">
        <v>23</v>
      </c>
      <c r="U380">
        <v>8</v>
      </c>
    </row>
    <row r="381" spans="1:21" x14ac:dyDescent="0.3">
      <c r="A381">
        <v>3</v>
      </c>
      <c r="B381">
        <v>27</v>
      </c>
      <c r="C381">
        <v>2</v>
      </c>
      <c r="D381">
        <v>6</v>
      </c>
      <c r="E381">
        <v>2</v>
      </c>
      <c r="F381">
        <v>179</v>
      </c>
      <c r="G381">
        <v>51</v>
      </c>
      <c r="H381">
        <v>18</v>
      </c>
      <c r="I381">
        <v>38</v>
      </c>
      <c r="J381">
        <v>251818</v>
      </c>
      <c r="K381">
        <v>96</v>
      </c>
      <c r="L381">
        <v>0</v>
      </c>
      <c r="M381">
        <v>1</v>
      </c>
      <c r="N381">
        <v>0</v>
      </c>
      <c r="O381">
        <v>1</v>
      </c>
      <c r="P381">
        <v>0</v>
      </c>
      <c r="Q381">
        <v>0</v>
      </c>
      <c r="R381">
        <v>89</v>
      </c>
      <c r="S381">
        <v>170</v>
      </c>
      <c r="T381">
        <v>31</v>
      </c>
      <c r="U381">
        <v>3</v>
      </c>
    </row>
    <row r="382" spans="1:21" x14ac:dyDescent="0.3">
      <c r="A382">
        <v>6</v>
      </c>
      <c r="C382">
        <v>2</v>
      </c>
      <c r="D382">
        <v>2</v>
      </c>
      <c r="E382">
        <v>2</v>
      </c>
      <c r="F382">
        <v>189</v>
      </c>
      <c r="G382">
        <v>29</v>
      </c>
      <c r="H382">
        <v>13</v>
      </c>
      <c r="I382">
        <v>33</v>
      </c>
      <c r="J382">
        <v>251818</v>
      </c>
      <c r="K382">
        <v>96</v>
      </c>
      <c r="L382">
        <v>0</v>
      </c>
      <c r="M382">
        <v>1</v>
      </c>
      <c r="N382">
        <v>2</v>
      </c>
      <c r="O382">
        <v>0</v>
      </c>
      <c r="P382">
        <v>0</v>
      </c>
      <c r="Q382">
        <v>2</v>
      </c>
      <c r="R382">
        <v>69</v>
      </c>
      <c r="S382">
        <v>167</v>
      </c>
      <c r="T382">
        <v>25</v>
      </c>
      <c r="U382">
        <v>8</v>
      </c>
    </row>
    <row r="383" spans="1:21" x14ac:dyDescent="0.3">
      <c r="A383">
        <v>3</v>
      </c>
      <c r="B383">
        <v>27</v>
      </c>
      <c r="C383">
        <v>2</v>
      </c>
      <c r="D383">
        <v>2</v>
      </c>
      <c r="E383">
        <v>2</v>
      </c>
      <c r="F383">
        <v>179</v>
      </c>
      <c r="G383">
        <v>51</v>
      </c>
      <c r="H383">
        <v>18</v>
      </c>
      <c r="I383">
        <v>38</v>
      </c>
      <c r="J383">
        <v>251818</v>
      </c>
      <c r="K383">
        <v>96</v>
      </c>
      <c r="L383">
        <v>0</v>
      </c>
      <c r="M383">
        <v>1</v>
      </c>
      <c r="N383">
        <v>0</v>
      </c>
      <c r="O383">
        <v>1</v>
      </c>
      <c r="P383">
        <v>0</v>
      </c>
      <c r="Q383">
        <v>0</v>
      </c>
      <c r="R383">
        <v>89</v>
      </c>
      <c r="S383">
        <v>170</v>
      </c>
      <c r="T383">
        <v>31</v>
      </c>
      <c r="U383">
        <v>3</v>
      </c>
    </row>
    <row r="384" spans="1:21" x14ac:dyDescent="0.3">
      <c r="A384">
        <v>24</v>
      </c>
      <c r="B384">
        <v>23</v>
      </c>
      <c r="C384">
        <v>2</v>
      </c>
      <c r="D384">
        <v>3</v>
      </c>
      <c r="E384">
        <v>2</v>
      </c>
      <c r="F384">
        <v>246</v>
      </c>
      <c r="G384">
        <v>25</v>
      </c>
      <c r="H384">
        <v>16</v>
      </c>
      <c r="I384">
        <v>41</v>
      </c>
      <c r="J384">
        <v>251818</v>
      </c>
      <c r="K384">
        <v>96</v>
      </c>
      <c r="L384">
        <v>0</v>
      </c>
      <c r="M384">
        <v>1</v>
      </c>
      <c r="N384">
        <v>0</v>
      </c>
      <c r="O384">
        <v>1</v>
      </c>
      <c r="P384">
        <v>0</v>
      </c>
      <c r="Q384">
        <v>0</v>
      </c>
      <c r="R384">
        <v>67</v>
      </c>
      <c r="S384">
        <v>170</v>
      </c>
      <c r="T384">
        <v>23</v>
      </c>
      <c r="U384">
        <v>2</v>
      </c>
    </row>
    <row r="385" spans="1:21" x14ac:dyDescent="0.3">
      <c r="A385">
        <v>15</v>
      </c>
      <c r="B385">
        <v>23</v>
      </c>
      <c r="C385">
        <v>2</v>
      </c>
      <c r="D385">
        <v>3</v>
      </c>
      <c r="E385">
        <v>2</v>
      </c>
      <c r="F385">
        <v>291</v>
      </c>
      <c r="G385">
        <v>31</v>
      </c>
      <c r="H385">
        <v>12</v>
      </c>
      <c r="I385">
        <v>40</v>
      </c>
      <c r="J385">
        <v>251818</v>
      </c>
      <c r="K385">
        <v>96</v>
      </c>
      <c r="L385">
        <v>0</v>
      </c>
      <c r="M385">
        <v>1</v>
      </c>
      <c r="N385">
        <v>1</v>
      </c>
      <c r="O385">
        <v>1</v>
      </c>
      <c r="P385">
        <v>0</v>
      </c>
      <c r="Q385">
        <v>1</v>
      </c>
      <c r="R385">
        <v>73</v>
      </c>
      <c r="S385">
        <v>171</v>
      </c>
      <c r="T385">
        <v>25</v>
      </c>
      <c r="U385">
        <v>2</v>
      </c>
    </row>
    <row r="386" spans="1:21" x14ac:dyDescent="0.3">
      <c r="A386">
        <v>30</v>
      </c>
      <c r="B386">
        <v>11</v>
      </c>
      <c r="C386">
        <v>2</v>
      </c>
      <c r="D386">
        <v>4</v>
      </c>
      <c r="E386">
        <v>2</v>
      </c>
      <c r="F386">
        <v>157</v>
      </c>
      <c r="G386">
        <v>27</v>
      </c>
      <c r="H386">
        <v>6</v>
      </c>
      <c r="I386">
        <v>29</v>
      </c>
      <c r="J386">
        <v>251818</v>
      </c>
      <c r="K386">
        <v>96</v>
      </c>
      <c r="L386">
        <v>0</v>
      </c>
      <c r="M386">
        <v>1</v>
      </c>
      <c r="N386">
        <v>0</v>
      </c>
      <c r="O386">
        <v>1</v>
      </c>
      <c r="P386">
        <v>1</v>
      </c>
      <c r="Q386">
        <v>0</v>
      </c>
      <c r="R386">
        <v>75</v>
      </c>
      <c r="S386">
        <v>185</v>
      </c>
      <c r="T386">
        <v>22</v>
      </c>
      <c r="U386">
        <v>16</v>
      </c>
    </row>
    <row r="387" spans="1:21" x14ac:dyDescent="0.3">
      <c r="A387">
        <v>3</v>
      </c>
      <c r="B387">
        <v>27</v>
      </c>
      <c r="C387">
        <v>2</v>
      </c>
      <c r="D387">
        <v>4</v>
      </c>
      <c r="E387">
        <v>2</v>
      </c>
      <c r="F387">
        <v>179</v>
      </c>
      <c r="G387">
        <v>51</v>
      </c>
      <c r="H387">
        <v>18</v>
      </c>
      <c r="I387">
        <v>38</v>
      </c>
      <c r="J387">
        <v>251818</v>
      </c>
      <c r="K387">
        <v>96</v>
      </c>
      <c r="L387">
        <v>0</v>
      </c>
      <c r="M387">
        <v>1</v>
      </c>
      <c r="N387">
        <v>0</v>
      </c>
      <c r="O387">
        <v>1</v>
      </c>
      <c r="P387">
        <v>0</v>
      </c>
      <c r="Q387">
        <v>0</v>
      </c>
      <c r="R387">
        <v>89</v>
      </c>
      <c r="S387">
        <v>170</v>
      </c>
      <c r="T387">
        <v>31</v>
      </c>
      <c r="U387">
        <v>3</v>
      </c>
    </row>
    <row r="388" spans="1:21" x14ac:dyDescent="0.3">
      <c r="A388">
        <v>3</v>
      </c>
      <c r="B388">
        <v>27</v>
      </c>
      <c r="C388">
        <v>2</v>
      </c>
      <c r="D388">
        <v>6</v>
      </c>
      <c r="E388">
        <v>2</v>
      </c>
      <c r="F388">
        <v>179</v>
      </c>
      <c r="G388">
        <v>51</v>
      </c>
      <c r="H388">
        <v>18</v>
      </c>
      <c r="I388">
        <v>38</v>
      </c>
      <c r="J388">
        <v>251818</v>
      </c>
      <c r="K388">
        <v>96</v>
      </c>
      <c r="L388">
        <v>0</v>
      </c>
      <c r="M388">
        <v>1</v>
      </c>
      <c r="N388">
        <v>0</v>
      </c>
      <c r="O388">
        <v>1</v>
      </c>
      <c r="P388">
        <v>0</v>
      </c>
      <c r="Q388">
        <v>0</v>
      </c>
      <c r="R388">
        <v>89</v>
      </c>
      <c r="S388">
        <v>170</v>
      </c>
      <c r="T388">
        <v>31</v>
      </c>
      <c r="U388">
        <v>3</v>
      </c>
    </row>
    <row r="389" spans="1:21" x14ac:dyDescent="0.3">
      <c r="A389">
        <v>24</v>
      </c>
      <c r="B389">
        <v>10</v>
      </c>
      <c r="C389">
        <v>2</v>
      </c>
      <c r="D389">
        <v>6</v>
      </c>
      <c r="E389">
        <v>2</v>
      </c>
      <c r="F389">
        <v>246</v>
      </c>
      <c r="G389">
        <v>25</v>
      </c>
      <c r="H389">
        <v>16</v>
      </c>
      <c r="I389">
        <v>41</v>
      </c>
      <c r="J389">
        <v>251818</v>
      </c>
      <c r="K389">
        <v>96</v>
      </c>
      <c r="L389">
        <v>0</v>
      </c>
      <c r="M389">
        <v>1</v>
      </c>
      <c r="N389">
        <v>0</v>
      </c>
      <c r="O389">
        <v>1</v>
      </c>
      <c r="P389">
        <v>0</v>
      </c>
      <c r="Q389">
        <v>0</v>
      </c>
      <c r="R389">
        <v>67</v>
      </c>
      <c r="S389">
        <v>170</v>
      </c>
      <c r="T389">
        <v>23</v>
      </c>
      <c r="U389">
        <v>24</v>
      </c>
    </row>
    <row r="390" spans="1:21" x14ac:dyDescent="0.3">
      <c r="A390">
        <v>3</v>
      </c>
      <c r="B390">
        <v>27</v>
      </c>
      <c r="C390">
        <v>2</v>
      </c>
      <c r="D390">
        <v>4</v>
      </c>
      <c r="E390">
        <v>2</v>
      </c>
      <c r="F390">
        <v>179</v>
      </c>
      <c r="G390">
        <v>51</v>
      </c>
      <c r="H390">
        <v>18</v>
      </c>
      <c r="I390">
        <v>38</v>
      </c>
      <c r="J390">
        <v>251818</v>
      </c>
      <c r="K390">
        <v>96</v>
      </c>
      <c r="L390">
        <v>0</v>
      </c>
      <c r="M390">
        <v>1</v>
      </c>
      <c r="N390">
        <v>0</v>
      </c>
      <c r="O390">
        <v>1</v>
      </c>
      <c r="P390">
        <v>0</v>
      </c>
      <c r="Q390">
        <v>0</v>
      </c>
      <c r="R390">
        <v>89</v>
      </c>
      <c r="S390">
        <v>170</v>
      </c>
      <c r="T390">
        <v>31</v>
      </c>
      <c r="U390">
        <v>3</v>
      </c>
    </row>
    <row r="391" spans="1:21" x14ac:dyDescent="0.3">
      <c r="A391">
        <v>3</v>
      </c>
      <c r="B391">
        <v>27</v>
      </c>
      <c r="C391">
        <v>2</v>
      </c>
      <c r="D391">
        <v>6</v>
      </c>
      <c r="E391">
        <v>2</v>
      </c>
      <c r="F391">
        <v>179</v>
      </c>
      <c r="G391">
        <v>51</v>
      </c>
      <c r="H391">
        <v>18</v>
      </c>
      <c r="I391">
        <v>38</v>
      </c>
      <c r="J391">
        <v>251818</v>
      </c>
      <c r="K391">
        <v>96</v>
      </c>
      <c r="L391">
        <v>0</v>
      </c>
      <c r="M391">
        <v>1</v>
      </c>
      <c r="N391">
        <v>0</v>
      </c>
      <c r="O391">
        <v>1</v>
      </c>
      <c r="P391">
        <v>0</v>
      </c>
      <c r="Q391">
        <v>0</v>
      </c>
      <c r="R391">
        <v>89</v>
      </c>
      <c r="S391">
        <v>170</v>
      </c>
      <c r="T391">
        <v>31</v>
      </c>
      <c r="U391">
        <v>3</v>
      </c>
    </row>
    <row r="392" spans="1:21" x14ac:dyDescent="0.3">
      <c r="A392">
        <v>34</v>
      </c>
      <c r="B392">
        <v>18</v>
      </c>
      <c r="C392">
        <v>3</v>
      </c>
      <c r="D392">
        <v>3</v>
      </c>
      <c r="E392">
        <v>2</v>
      </c>
      <c r="F392">
        <v>118</v>
      </c>
      <c r="G392">
        <v>10</v>
      </c>
      <c r="H392">
        <v>10</v>
      </c>
      <c r="I392">
        <v>37</v>
      </c>
      <c r="J392">
        <v>244387</v>
      </c>
      <c r="K392">
        <v>98</v>
      </c>
      <c r="L392">
        <v>0</v>
      </c>
      <c r="M392">
        <v>1</v>
      </c>
      <c r="N392">
        <v>0</v>
      </c>
      <c r="O392">
        <v>0</v>
      </c>
      <c r="P392">
        <v>0</v>
      </c>
      <c r="Q392">
        <v>0</v>
      </c>
      <c r="R392">
        <v>83</v>
      </c>
      <c r="S392">
        <v>172</v>
      </c>
      <c r="T392">
        <v>28</v>
      </c>
      <c r="U392">
        <v>8</v>
      </c>
    </row>
    <row r="393" spans="1:21" x14ac:dyDescent="0.3">
      <c r="A393">
        <v>24</v>
      </c>
      <c r="B393">
        <v>19</v>
      </c>
      <c r="C393">
        <v>3</v>
      </c>
      <c r="D393">
        <v>4</v>
      </c>
      <c r="E393">
        <v>2</v>
      </c>
      <c r="F393">
        <v>246</v>
      </c>
      <c r="G393">
        <v>25</v>
      </c>
      <c r="H393">
        <v>16</v>
      </c>
      <c r="I393">
        <v>41</v>
      </c>
      <c r="J393">
        <v>244387</v>
      </c>
      <c r="K393">
        <v>98</v>
      </c>
      <c r="L393">
        <v>0</v>
      </c>
      <c r="M393">
        <v>1</v>
      </c>
      <c r="N393">
        <v>0</v>
      </c>
      <c r="O393">
        <v>1</v>
      </c>
      <c r="P393">
        <v>0</v>
      </c>
      <c r="Q393">
        <v>0</v>
      </c>
      <c r="R393">
        <v>67</v>
      </c>
      <c r="S393">
        <v>170</v>
      </c>
      <c r="T393">
        <v>23</v>
      </c>
      <c r="U393">
        <v>16</v>
      </c>
    </row>
    <row r="394" spans="1:21" x14ac:dyDescent="0.3">
      <c r="A394">
        <v>24</v>
      </c>
      <c r="B394">
        <v>28</v>
      </c>
      <c r="C394">
        <v>3</v>
      </c>
      <c r="D394">
        <v>6</v>
      </c>
      <c r="E394">
        <v>2</v>
      </c>
      <c r="F394">
        <v>246</v>
      </c>
      <c r="G394">
        <v>25</v>
      </c>
      <c r="H394">
        <v>16</v>
      </c>
      <c r="I394">
        <v>41</v>
      </c>
      <c r="J394">
        <v>244387</v>
      </c>
      <c r="K394">
        <v>98</v>
      </c>
      <c r="L394">
        <v>0</v>
      </c>
      <c r="M394">
        <v>1</v>
      </c>
      <c r="N394">
        <v>0</v>
      </c>
      <c r="O394">
        <v>1</v>
      </c>
      <c r="P394">
        <v>0</v>
      </c>
      <c r="Q394">
        <v>0</v>
      </c>
      <c r="R394">
        <v>67</v>
      </c>
      <c r="S394">
        <v>170</v>
      </c>
      <c r="T394">
        <v>23</v>
      </c>
      <c r="U394">
        <v>2</v>
      </c>
    </row>
    <row r="395" spans="1:21" x14ac:dyDescent="0.3">
      <c r="A395">
        <v>20</v>
      </c>
      <c r="B395">
        <v>28</v>
      </c>
      <c r="C395">
        <v>3</v>
      </c>
      <c r="D395">
        <v>6</v>
      </c>
      <c r="E395">
        <v>2</v>
      </c>
      <c r="F395">
        <v>260</v>
      </c>
      <c r="G395">
        <v>50</v>
      </c>
      <c r="H395">
        <v>11</v>
      </c>
      <c r="I395">
        <v>36</v>
      </c>
      <c r="J395">
        <v>244387</v>
      </c>
      <c r="K395">
        <v>98</v>
      </c>
      <c r="L395">
        <v>0</v>
      </c>
      <c r="M395">
        <v>1</v>
      </c>
      <c r="N395">
        <v>4</v>
      </c>
      <c r="O395">
        <v>1</v>
      </c>
      <c r="P395">
        <v>0</v>
      </c>
      <c r="Q395">
        <v>0</v>
      </c>
      <c r="R395">
        <v>65</v>
      </c>
      <c r="S395">
        <v>168</v>
      </c>
      <c r="T395">
        <v>23</v>
      </c>
      <c r="U395">
        <v>4</v>
      </c>
    </row>
    <row r="396" spans="1:21" x14ac:dyDescent="0.3">
      <c r="A396">
        <v>3</v>
      </c>
      <c r="B396">
        <v>28</v>
      </c>
      <c r="C396">
        <v>3</v>
      </c>
      <c r="D396">
        <v>2</v>
      </c>
      <c r="E396">
        <v>2</v>
      </c>
      <c r="F396">
        <v>179</v>
      </c>
      <c r="G396">
        <v>51</v>
      </c>
      <c r="H396">
        <v>18</v>
      </c>
      <c r="I396">
        <v>38</v>
      </c>
      <c r="J396">
        <v>244387</v>
      </c>
      <c r="K396">
        <v>98</v>
      </c>
      <c r="L396">
        <v>0</v>
      </c>
      <c r="M396">
        <v>1</v>
      </c>
      <c r="N396">
        <v>0</v>
      </c>
      <c r="O396">
        <v>1</v>
      </c>
      <c r="P396">
        <v>0</v>
      </c>
      <c r="Q396">
        <v>0</v>
      </c>
      <c r="R396">
        <v>89</v>
      </c>
      <c r="S396">
        <v>170</v>
      </c>
      <c r="T396">
        <v>31</v>
      </c>
      <c r="U396">
        <v>2</v>
      </c>
    </row>
    <row r="397" spans="1:21" x14ac:dyDescent="0.3">
      <c r="A397">
        <v>1</v>
      </c>
      <c r="B397">
        <v>22</v>
      </c>
      <c r="C397">
        <v>3</v>
      </c>
      <c r="D397">
        <v>2</v>
      </c>
      <c r="E397">
        <v>2</v>
      </c>
      <c r="F397">
        <v>235</v>
      </c>
      <c r="G397">
        <v>11</v>
      </c>
      <c r="H397">
        <v>14</v>
      </c>
      <c r="I397">
        <v>37</v>
      </c>
      <c r="J397">
        <v>244387</v>
      </c>
      <c r="K397">
        <v>98</v>
      </c>
      <c r="L397">
        <v>0</v>
      </c>
      <c r="M397">
        <v>3</v>
      </c>
      <c r="N397">
        <v>1</v>
      </c>
      <c r="O397">
        <v>0</v>
      </c>
      <c r="P397">
        <v>0</v>
      </c>
      <c r="Q397">
        <v>1</v>
      </c>
      <c r="R397">
        <v>88</v>
      </c>
      <c r="S397">
        <v>172</v>
      </c>
      <c r="T397">
        <v>29</v>
      </c>
      <c r="U397">
        <v>8</v>
      </c>
    </row>
    <row r="398" spans="1:21" x14ac:dyDescent="0.3">
      <c r="A398">
        <v>17</v>
      </c>
      <c r="B398">
        <v>22</v>
      </c>
      <c r="C398">
        <v>3</v>
      </c>
      <c r="D398">
        <v>3</v>
      </c>
      <c r="E398">
        <v>2</v>
      </c>
      <c r="F398">
        <v>179</v>
      </c>
      <c r="G398">
        <v>22</v>
      </c>
      <c r="H398">
        <v>17</v>
      </c>
      <c r="I398">
        <v>40</v>
      </c>
      <c r="J398">
        <v>244387</v>
      </c>
      <c r="K398">
        <v>98</v>
      </c>
      <c r="L398">
        <v>0</v>
      </c>
      <c r="M398">
        <v>2</v>
      </c>
      <c r="N398">
        <v>2</v>
      </c>
      <c r="O398">
        <v>0</v>
      </c>
      <c r="P398">
        <v>1</v>
      </c>
      <c r="Q398">
        <v>0</v>
      </c>
      <c r="R398">
        <v>63</v>
      </c>
      <c r="S398">
        <v>170</v>
      </c>
      <c r="T398">
        <v>22</v>
      </c>
      <c r="U398">
        <v>8</v>
      </c>
    </row>
    <row r="399" spans="1:21" x14ac:dyDescent="0.3">
      <c r="A399">
        <v>23</v>
      </c>
      <c r="B399">
        <v>22</v>
      </c>
      <c r="C399">
        <v>3</v>
      </c>
      <c r="D399">
        <v>3</v>
      </c>
      <c r="E399">
        <v>2</v>
      </c>
      <c r="F399">
        <v>378</v>
      </c>
      <c r="G399">
        <v>49</v>
      </c>
      <c r="H399">
        <v>11</v>
      </c>
      <c r="I399">
        <v>36</v>
      </c>
      <c r="J399">
        <v>244387</v>
      </c>
      <c r="K399">
        <v>98</v>
      </c>
      <c r="L399">
        <v>0</v>
      </c>
      <c r="M399">
        <v>1</v>
      </c>
      <c r="N399">
        <v>2</v>
      </c>
      <c r="O399">
        <v>0</v>
      </c>
      <c r="P399">
        <v>1</v>
      </c>
      <c r="Q399">
        <v>4</v>
      </c>
      <c r="R399">
        <v>65</v>
      </c>
      <c r="S399">
        <v>174</v>
      </c>
      <c r="T399">
        <v>21</v>
      </c>
    </row>
    <row r="400" spans="1:21" x14ac:dyDescent="0.3">
      <c r="A400">
        <v>3</v>
      </c>
      <c r="B400">
        <v>28</v>
      </c>
      <c r="C400">
        <v>3</v>
      </c>
      <c r="D400">
        <v>2</v>
      </c>
      <c r="E400">
        <v>2</v>
      </c>
      <c r="F400">
        <v>179</v>
      </c>
      <c r="G400">
        <v>51</v>
      </c>
      <c r="H400">
        <v>18</v>
      </c>
      <c r="I400">
        <v>38</v>
      </c>
      <c r="J400">
        <v>244387</v>
      </c>
      <c r="K400">
        <v>98</v>
      </c>
      <c r="L400">
        <v>0</v>
      </c>
      <c r="M400">
        <v>1</v>
      </c>
      <c r="N400">
        <v>0</v>
      </c>
      <c r="O400">
        <v>1</v>
      </c>
      <c r="P400">
        <v>0</v>
      </c>
      <c r="Q400">
        <v>0</v>
      </c>
      <c r="R400">
        <v>89</v>
      </c>
      <c r="S400">
        <v>170</v>
      </c>
      <c r="T400">
        <v>31</v>
      </c>
      <c r="U400">
        <v>16</v>
      </c>
    </row>
    <row r="401" spans="1:21" x14ac:dyDescent="0.3">
      <c r="A401">
        <v>10</v>
      </c>
      <c r="B401">
        <v>22</v>
      </c>
      <c r="C401">
        <v>3</v>
      </c>
      <c r="D401">
        <v>4</v>
      </c>
      <c r="E401">
        <v>2</v>
      </c>
      <c r="F401">
        <v>361</v>
      </c>
      <c r="G401">
        <v>52</v>
      </c>
      <c r="H401">
        <v>3</v>
      </c>
      <c r="I401">
        <v>28</v>
      </c>
      <c r="J401">
        <v>244387</v>
      </c>
      <c r="K401">
        <v>98</v>
      </c>
      <c r="L401">
        <v>0</v>
      </c>
      <c r="M401">
        <v>1</v>
      </c>
      <c r="N401">
        <v>1</v>
      </c>
      <c r="O401">
        <v>1</v>
      </c>
      <c r="P401">
        <v>0</v>
      </c>
      <c r="Q401">
        <v>4</v>
      </c>
      <c r="R401">
        <v>80</v>
      </c>
      <c r="S401">
        <v>172</v>
      </c>
      <c r="T401">
        <v>27</v>
      </c>
    </row>
    <row r="402" spans="1:21" x14ac:dyDescent="0.3">
      <c r="A402">
        <v>13</v>
      </c>
      <c r="B402">
        <v>0</v>
      </c>
      <c r="C402">
        <v>3</v>
      </c>
      <c r="D402">
        <v>4</v>
      </c>
      <c r="E402">
        <v>2</v>
      </c>
      <c r="F402">
        <v>369</v>
      </c>
      <c r="G402">
        <v>17</v>
      </c>
      <c r="H402">
        <v>12</v>
      </c>
      <c r="I402">
        <v>31</v>
      </c>
      <c r="J402">
        <v>244387</v>
      </c>
      <c r="K402">
        <v>98</v>
      </c>
      <c r="L402">
        <v>1</v>
      </c>
      <c r="M402">
        <v>1</v>
      </c>
      <c r="N402">
        <v>3</v>
      </c>
      <c r="O402">
        <v>1</v>
      </c>
      <c r="P402">
        <v>0</v>
      </c>
      <c r="Q402">
        <v>0</v>
      </c>
      <c r="R402">
        <v>70</v>
      </c>
      <c r="S402">
        <v>169</v>
      </c>
      <c r="T402">
        <v>25</v>
      </c>
      <c r="U402">
        <v>0</v>
      </c>
    </row>
    <row r="403" spans="1:21" x14ac:dyDescent="0.3">
      <c r="A403">
        <v>1</v>
      </c>
      <c r="B403">
        <v>21</v>
      </c>
      <c r="C403">
        <v>3</v>
      </c>
      <c r="D403">
        <v>5</v>
      </c>
      <c r="E403">
        <v>2</v>
      </c>
      <c r="F403">
        <v>235</v>
      </c>
      <c r="G403">
        <v>11</v>
      </c>
      <c r="H403">
        <v>14</v>
      </c>
      <c r="I403">
        <v>37</v>
      </c>
      <c r="J403">
        <v>244387</v>
      </c>
      <c r="K403">
        <v>98</v>
      </c>
      <c r="L403">
        <v>0</v>
      </c>
      <c r="M403">
        <v>3</v>
      </c>
      <c r="N403">
        <v>1</v>
      </c>
      <c r="O403">
        <v>0</v>
      </c>
      <c r="P403">
        <v>0</v>
      </c>
      <c r="Q403">
        <v>1</v>
      </c>
      <c r="R403">
        <v>88</v>
      </c>
      <c r="S403">
        <v>172</v>
      </c>
      <c r="T403">
        <v>29</v>
      </c>
      <c r="U403">
        <v>8</v>
      </c>
    </row>
    <row r="404" spans="1:21" x14ac:dyDescent="0.3">
      <c r="A404">
        <v>36</v>
      </c>
      <c r="B404">
        <v>23</v>
      </c>
      <c r="C404">
        <v>3</v>
      </c>
      <c r="D404">
        <v>6</v>
      </c>
      <c r="E404">
        <v>3</v>
      </c>
      <c r="F404">
        <v>118</v>
      </c>
      <c r="G404">
        <v>13</v>
      </c>
      <c r="H404">
        <v>18</v>
      </c>
      <c r="I404">
        <v>50</v>
      </c>
      <c r="J404">
        <v>244387</v>
      </c>
      <c r="K404">
        <v>98</v>
      </c>
      <c r="L404">
        <v>0</v>
      </c>
      <c r="M404">
        <v>1</v>
      </c>
      <c r="N404">
        <v>1</v>
      </c>
      <c r="O404">
        <v>1</v>
      </c>
      <c r="P404">
        <v>0</v>
      </c>
      <c r="Q404">
        <v>0</v>
      </c>
      <c r="R404">
        <v>98</v>
      </c>
      <c r="S404">
        <v>178</v>
      </c>
      <c r="T404">
        <v>31</v>
      </c>
      <c r="U404">
        <v>2</v>
      </c>
    </row>
    <row r="405" spans="1:21" x14ac:dyDescent="0.3">
      <c r="A405">
        <v>36</v>
      </c>
      <c r="B405">
        <v>14</v>
      </c>
      <c r="C405">
        <v>3</v>
      </c>
      <c r="D405">
        <v>3</v>
      </c>
      <c r="E405">
        <v>3</v>
      </c>
      <c r="F405">
        <v>118</v>
      </c>
      <c r="G405">
        <v>13</v>
      </c>
      <c r="H405">
        <v>18</v>
      </c>
      <c r="I405">
        <v>50</v>
      </c>
      <c r="J405">
        <v>244387</v>
      </c>
      <c r="K405">
        <v>98</v>
      </c>
      <c r="L405">
        <v>0</v>
      </c>
      <c r="M405">
        <v>1</v>
      </c>
      <c r="N405">
        <v>1</v>
      </c>
      <c r="O405">
        <v>1</v>
      </c>
      <c r="P405">
        <v>0</v>
      </c>
      <c r="Q405">
        <v>0</v>
      </c>
      <c r="R405">
        <v>98</v>
      </c>
      <c r="S405">
        <v>178</v>
      </c>
      <c r="T405">
        <v>31</v>
      </c>
      <c r="U405">
        <v>3</v>
      </c>
    </row>
    <row r="406" spans="1:21" x14ac:dyDescent="0.3">
      <c r="A406">
        <v>36</v>
      </c>
      <c r="B406">
        <v>13</v>
      </c>
      <c r="C406">
        <v>3</v>
      </c>
      <c r="D406">
        <v>4</v>
      </c>
      <c r="E406">
        <v>3</v>
      </c>
      <c r="F406">
        <v>118</v>
      </c>
      <c r="G406">
        <v>13</v>
      </c>
      <c r="H406">
        <v>18</v>
      </c>
      <c r="I406">
        <v>50</v>
      </c>
      <c r="J406">
        <v>244387</v>
      </c>
      <c r="K406">
        <v>98</v>
      </c>
      <c r="L406">
        <v>0</v>
      </c>
      <c r="M406">
        <v>1</v>
      </c>
      <c r="N406">
        <v>1</v>
      </c>
      <c r="O406">
        <v>1</v>
      </c>
      <c r="P406">
        <v>0</v>
      </c>
      <c r="Q406">
        <v>0</v>
      </c>
      <c r="R406">
        <v>98</v>
      </c>
      <c r="S406">
        <v>178</v>
      </c>
      <c r="T406">
        <v>31</v>
      </c>
      <c r="U406">
        <v>8</v>
      </c>
    </row>
    <row r="407" spans="1:21" x14ac:dyDescent="0.3">
      <c r="A407">
        <v>1</v>
      </c>
      <c r="B407">
        <v>0</v>
      </c>
      <c r="C407">
        <v>3</v>
      </c>
      <c r="D407">
        <v>5</v>
      </c>
      <c r="E407">
        <v>3</v>
      </c>
      <c r="F407">
        <v>235</v>
      </c>
      <c r="G407">
        <v>11</v>
      </c>
      <c r="H407">
        <v>14</v>
      </c>
      <c r="I407">
        <v>37</v>
      </c>
      <c r="J407">
        <v>244387</v>
      </c>
      <c r="K407">
        <v>98</v>
      </c>
      <c r="L407">
        <v>1</v>
      </c>
      <c r="M407">
        <v>3</v>
      </c>
      <c r="N407">
        <v>1</v>
      </c>
      <c r="O407">
        <v>0</v>
      </c>
      <c r="P407">
        <v>0</v>
      </c>
      <c r="Q407">
        <v>1</v>
      </c>
      <c r="R407">
        <v>88</v>
      </c>
      <c r="S407">
        <v>172</v>
      </c>
      <c r="T407">
        <v>29</v>
      </c>
    </row>
    <row r="408" spans="1:21" x14ac:dyDescent="0.3">
      <c r="A408">
        <v>24</v>
      </c>
      <c r="B408">
        <v>0</v>
      </c>
      <c r="C408">
        <v>3</v>
      </c>
      <c r="D408">
        <v>5</v>
      </c>
      <c r="E408">
        <v>3</v>
      </c>
      <c r="F408">
        <v>246</v>
      </c>
      <c r="G408">
        <v>25</v>
      </c>
      <c r="H408">
        <v>16</v>
      </c>
      <c r="I408">
        <v>41</v>
      </c>
      <c r="J408">
        <v>244387</v>
      </c>
      <c r="K408">
        <v>98</v>
      </c>
      <c r="L408">
        <v>1</v>
      </c>
      <c r="M408">
        <v>1</v>
      </c>
      <c r="N408">
        <v>0</v>
      </c>
      <c r="O408">
        <v>1</v>
      </c>
      <c r="P408">
        <v>0</v>
      </c>
      <c r="Q408">
        <v>0</v>
      </c>
      <c r="R408">
        <v>67</v>
      </c>
      <c r="S408">
        <v>170</v>
      </c>
      <c r="T408">
        <v>23</v>
      </c>
      <c r="U408">
        <v>0</v>
      </c>
    </row>
    <row r="409" spans="1:21" x14ac:dyDescent="0.3">
      <c r="A409">
        <v>36</v>
      </c>
      <c r="B409">
        <v>0</v>
      </c>
      <c r="C409">
        <v>3</v>
      </c>
      <c r="D409">
        <v>5</v>
      </c>
      <c r="E409">
        <v>3</v>
      </c>
      <c r="F409">
        <v>118</v>
      </c>
      <c r="G409">
        <v>13</v>
      </c>
      <c r="H409">
        <v>18</v>
      </c>
      <c r="I409">
        <v>50</v>
      </c>
      <c r="J409">
        <v>244387</v>
      </c>
      <c r="K409">
        <v>98</v>
      </c>
      <c r="L409">
        <v>1</v>
      </c>
      <c r="M409">
        <v>1</v>
      </c>
      <c r="N409">
        <v>1</v>
      </c>
      <c r="O409">
        <v>1</v>
      </c>
      <c r="P409">
        <v>0</v>
      </c>
      <c r="Q409">
        <v>0</v>
      </c>
      <c r="R409">
        <v>98</v>
      </c>
      <c r="S409">
        <v>178</v>
      </c>
      <c r="T409">
        <v>31</v>
      </c>
      <c r="U409">
        <v>0</v>
      </c>
    </row>
    <row r="410" spans="1:21" x14ac:dyDescent="0.3">
      <c r="A410">
        <v>3</v>
      </c>
      <c r="B410">
        <v>28</v>
      </c>
      <c r="C410">
        <v>3</v>
      </c>
      <c r="D410">
        <v>6</v>
      </c>
      <c r="E410">
        <v>3</v>
      </c>
      <c r="F410">
        <v>179</v>
      </c>
      <c r="G410">
        <v>51</v>
      </c>
      <c r="H410">
        <v>18</v>
      </c>
      <c r="I410">
        <v>38</v>
      </c>
      <c r="J410">
        <v>244387</v>
      </c>
      <c r="K410">
        <v>98</v>
      </c>
      <c r="L410">
        <v>0</v>
      </c>
      <c r="M410">
        <v>1</v>
      </c>
      <c r="N410">
        <v>0</v>
      </c>
      <c r="O410">
        <v>1</v>
      </c>
      <c r="P410">
        <v>0</v>
      </c>
      <c r="Q410">
        <v>0</v>
      </c>
      <c r="R410">
        <v>89</v>
      </c>
      <c r="S410">
        <v>170</v>
      </c>
      <c r="T410">
        <v>31</v>
      </c>
      <c r="U410">
        <v>8</v>
      </c>
    </row>
    <row r="411" spans="1:21" x14ac:dyDescent="0.3">
      <c r="A411">
        <v>11</v>
      </c>
      <c r="B411">
        <v>22</v>
      </c>
      <c r="C411">
        <v>3</v>
      </c>
      <c r="D411">
        <v>6</v>
      </c>
      <c r="E411">
        <v>3</v>
      </c>
      <c r="F411">
        <v>289</v>
      </c>
      <c r="G411">
        <v>36</v>
      </c>
      <c r="H411">
        <v>13</v>
      </c>
      <c r="I411">
        <v>33</v>
      </c>
      <c r="J411">
        <v>244387</v>
      </c>
      <c r="K411">
        <v>98</v>
      </c>
      <c r="L411">
        <v>0</v>
      </c>
      <c r="M411">
        <v>1</v>
      </c>
      <c r="N411">
        <v>2</v>
      </c>
      <c r="O411">
        <v>1</v>
      </c>
      <c r="P411">
        <v>0</v>
      </c>
      <c r="Q411">
        <v>1</v>
      </c>
      <c r="R411">
        <v>90</v>
      </c>
      <c r="S411">
        <v>172</v>
      </c>
      <c r="T411">
        <v>30</v>
      </c>
      <c r="U411">
        <v>8</v>
      </c>
    </row>
    <row r="412" spans="1:21" x14ac:dyDescent="0.3">
      <c r="A412">
        <v>20</v>
      </c>
      <c r="B412">
        <v>19</v>
      </c>
      <c r="C412">
        <v>3</v>
      </c>
      <c r="D412">
        <v>2</v>
      </c>
      <c r="E412">
        <v>3</v>
      </c>
      <c r="F412">
        <v>260</v>
      </c>
      <c r="G412">
        <v>50</v>
      </c>
      <c r="H412">
        <v>11</v>
      </c>
      <c r="I412">
        <v>36</v>
      </c>
      <c r="J412">
        <v>244387</v>
      </c>
      <c r="K412">
        <v>98</v>
      </c>
      <c r="L412">
        <v>0</v>
      </c>
      <c r="M412">
        <v>1</v>
      </c>
      <c r="N412">
        <v>4</v>
      </c>
      <c r="O412">
        <v>1</v>
      </c>
      <c r="P412">
        <v>0</v>
      </c>
      <c r="Q412">
        <v>0</v>
      </c>
      <c r="R412">
        <v>65</v>
      </c>
      <c r="S412">
        <v>168</v>
      </c>
      <c r="T412">
        <v>23</v>
      </c>
      <c r="U412">
        <v>8</v>
      </c>
    </row>
    <row r="413" spans="1:21" x14ac:dyDescent="0.3">
      <c r="A413">
        <v>24</v>
      </c>
      <c r="B413">
        <v>28</v>
      </c>
      <c r="C413">
        <v>3</v>
      </c>
      <c r="D413">
        <v>3</v>
      </c>
      <c r="E413">
        <v>3</v>
      </c>
      <c r="F413">
        <v>246</v>
      </c>
      <c r="G413">
        <v>25</v>
      </c>
      <c r="H413">
        <v>16</v>
      </c>
      <c r="I413">
        <v>41</v>
      </c>
      <c r="J413">
        <v>244387</v>
      </c>
      <c r="K413">
        <v>98</v>
      </c>
      <c r="L413">
        <v>0</v>
      </c>
      <c r="M413">
        <v>1</v>
      </c>
      <c r="N413">
        <v>0</v>
      </c>
      <c r="O413">
        <v>1</v>
      </c>
      <c r="P413">
        <v>0</v>
      </c>
      <c r="Q413">
        <v>0</v>
      </c>
      <c r="R413">
        <v>67</v>
      </c>
      <c r="S413">
        <v>170</v>
      </c>
      <c r="T413">
        <v>23</v>
      </c>
      <c r="U413">
        <v>2</v>
      </c>
    </row>
    <row r="414" spans="1:21" x14ac:dyDescent="0.3">
      <c r="A414">
        <v>3</v>
      </c>
      <c r="B414">
        <v>28</v>
      </c>
      <c r="C414">
        <v>4</v>
      </c>
      <c r="D414">
        <v>4</v>
      </c>
      <c r="E414">
        <v>3</v>
      </c>
      <c r="F414">
        <v>179</v>
      </c>
      <c r="G414">
        <v>51</v>
      </c>
      <c r="H414">
        <v>18</v>
      </c>
      <c r="I414">
        <v>38</v>
      </c>
      <c r="J414">
        <v>239409</v>
      </c>
      <c r="K414">
        <v>98</v>
      </c>
      <c r="L414">
        <v>0</v>
      </c>
      <c r="M414">
        <v>1</v>
      </c>
      <c r="N414">
        <v>0</v>
      </c>
      <c r="O414">
        <v>1</v>
      </c>
      <c r="P414">
        <v>0</v>
      </c>
      <c r="Q414">
        <v>0</v>
      </c>
      <c r="R414">
        <v>89</v>
      </c>
      <c r="S414">
        <v>170</v>
      </c>
      <c r="T414">
        <v>31</v>
      </c>
      <c r="U414">
        <v>4</v>
      </c>
    </row>
    <row r="415" spans="1:21" x14ac:dyDescent="0.3">
      <c r="A415">
        <v>20</v>
      </c>
      <c r="B415">
        <v>28</v>
      </c>
      <c r="C415">
        <v>4</v>
      </c>
      <c r="D415">
        <v>6</v>
      </c>
      <c r="E415">
        <v>3</v>
      </c>
      <c r="F415">
        <v>260</v>
      </c>
      <c r="G415">
        <v>50</v>
      </c>
      <c r="H415">
        <v>11</v>
      </c>
      <c r="I415">
        <v>36</v>
      </c>
      <c r="J415">
        <v>239409</v>
      </c>
      <c r="K415">
        <v>98</v>
      </c>
      <c r="L415">
        <v>0</v>
      </c>
      <c r="M415">
        <v>1</v>
      </c>
      <c r="N415">
        <v>4</v>
      </c>
      <c r="O415">
        <v>1</v>
      </c>
      <c r="P415">
        <v>0</v>
      </c>
      <c r="Q415">
        <v>0</v>
      </c>
      <c r="R415">
        <v>65</v>
      </c>
      <c r="S415">
        <v>168</v>
      </c>
      <c r="T415">
        <v>23</v>
      </c>
      <c r="U415">
        <v>3</v>
      </c>
    </row>
    <row r="416" spans="1:21" x14ac:dyDescent="0.3">
      <c r="A416">
        <v>18</v>
      </c>
      <c r="B416">
        <v>26</v>
      </c>
      <c r="C416">
        <v>4</v>
      </c>
      <c r="D416">
        <v>6</v>
      </c>
      <c r="E416">
        <v>3</v>
      </c>
      <c r="F416">
        <v>330</v>
      </c>
      <c r="G416">
        <v>16</v>
      </c>
      <c r="H416">
        <v>4</v>
      </c>
      <c r="I416">
        <v>28</v>
      </c>
      <c r="J416">
        <v>239409</v>
      </c>
      <c r="K416">
        <v>98</v>
      </c>
      <c r="L416">
        <v>0</v>
      </c>
      <c r="M416">
        <v>2</v>
      </c>
      <c r="N416">
        <v>0</v>
      </c>
      <c r="O416">
        <v>0</v>
      </c>
      <c r="P416">
        <v>0</v>
      </c>
      <c r="Q416">
        <v>0</v>
      </c>
      <c r="R416">
        <v>84</v>
      </c>
      <c r="S416">
        <v>182</v>
      </c>
      <c r="T416">
        <v>25</v>
      </c>
      <c r="U416">
        <v>4</v>
      </c>
    </row>
    <row r="417" spans="1:21" x14ac:dyDescent="0.3">
      <c r="A417">
        <v>13</v>
      </c>
      <c r="B417">
        <v>22</v>
      </c>
      <c r="C417">
        <v>4</v>
      </c>
      <c r="D417">
        <v>2</v>
      </c>
      <c r="E417">
        <v>3</v>
      </c>
      <c r="F417">
        <v>369</v>
      </c>
      <c r="G417">
        <v>17</v>
      </c>
      <c r="H417">
        <v>12</v>
      </c>
      <c r="I417">
        <v>31</v>
      </c>
      <c r="J417">
        <v>239409</v>
      </c>
      <c r="K417">
        <v>98</v>
      </c>
      <c r="L417">
        <v>0</v>
      </c>
      <c r="M417">
        <v>1</v>
      </c>
      <c r="N417">
        <v>3</v>
      </c>
      <c r="O417">
        <v>1</v>
      </c>
      <c r="P417">
        <v>0</v>
      </c>
      <c r="Q417">
        <v>0</v>
      </c>
      <c r="R417">
        <v>70</v>
      </c>
      <c r="S417">
        <v>169</v>
      </c>
      <c r="T417">
        <v>25</v>
      </c>
      <c r="U417">
        <v>4</v>
      </c>
    </row>
    <row r="418" spans="1:21" x14ac:dyDescent="0.3">
      <c r="A418">
        <v>33</v>
      </c>
      <c r="B418">
        <v>26</v>
      </c>
      <c r="C418">
        <v>4</v>
      </c>
      <c r="D418">
        <v>2</v>
      </c>
      <c r="E418">
        <v>3</v>
      </c>
      <c r="F418">
        <v>248</v>
      </c>
      <c r="G418">
        <v>25</v>
      </c>
      <c r="H418">
        <v>14</v>
      </c>
      <c r="I418">
        <v>47</v>
      </c>
      <c r="J418">
        <v>239409</v>
      </c>
      <c r="K418">
        <v>98</v>
      </c>
      <c r="L418">
        <v>0</v>
      </c>
      <c r="M418">
        <v>1</v>
      </c>
      <c r="N418">
        <v>2</v>
      </c>
      <c r="O418">
        <v>0</v>
      </c>
      <c r="P418">
        <v>0</v>
      </c>
      <c r="Q418">
        <v>1</v>
      </c>
      <c r="R418">
        <v>86</v>
      </c>
      <c r="S418">
        <v>165</v>
      </c>
      <c r="T418">
        <v>32</v>
      </c>
      <c r="U418">
        <v>4</v>
      </c>
    </row>
    <row r="419" spans="1:21" x14ac:dyDescent="0.3">
      <c r="A419">
        <v>18</v>
      </c>
      <c r="B419">
        <v>23</v>
      </c>
      <c r="C419">
        <v>4</v>
      </c>
      <c r="D419">
        <v>4</v>
      </c>
      <c r="E419">
        <v>3</v>
      </c>
      <c r="F419">
        <v>330</v>
      </c>
      <c r="G419">
        <v>16</v>
      </c>
      <c r="H419">
        <v>4</v>
      </c>
      <c r="I419">
        <v>28</v>
      </c>
      <c r="J419">
        <v>239409</v>
      </c>
      <c r="K419">
        <v>98</v>
      </c>
      <c r="L419">
        <v>0</v>
      </c>
      <c r="M419">
        <v>2</v>
      </c>
      <c r="N419">
        <v>0</v>
      </c>
      <c r="O419">
        <v>0</v>
      </c>
      <c r="P419">
        <v>0</v>
      </c>
      <c r="Q419">
        <v>0</v>
      </c>
      <c r="R419">
        <v>84</v>
      </c>
      <c r="S419">
        <v>182</v>
      </c>
      <c r="T419">
        <v>25</v>
      </c>
      <c r="U419">
        <v>8</v>
      </c>
    </row>
    <row r="420" spans="1:21" x14ac:dyDescent="0.3">
      <c r="A420">
        <v>3</v>
      </c>
      <c r="B420">
        <v>28</v>
      </c>
      <c r="C420">
        <v>4</v>
      </c>
      <c r="D420">
        <v>4</v>
      </c>
      <c r="E420">
        <v>3</v>
      </c>
      <c r="F420">
        <v>179</v>
      </c>
      <c r="G420">
        <v>51</v>
      </c>
      <c r="H420">
        <v>18</v>
      </c>
      <c r="I420">
        <v>38</v>
      </c>
      <c r="J420">
        <v>239409</v>
      </c>
      <c r="K420">
        <v>98</v>
      </c>
      <c r="L420">
        <v>0</v>
      </c>
      <c r="M420">
        <v>1</v>
      </c>
      <c r="N420">
        <v>0</v>
      </c>
      <c r="O420">
        <v>1</v>
      </c>
      <c r="P420">
        <v>0</v>
      </c>
      <c r="Q420">
        <v>0</v>
      </c>
      <c r="R420">
        <v>89</v>
      </c>
      <c r="S420">
        <v>170</v>
      </c>
      <c r="T420">
        <v>31</v>
      </c>
      <c r="U420">
        <v>8</v>
      </c>
    </row>
    <row r="421" spans="1:21" x14ac:dyDescent="0.3">
      <c r="A421">
        <v>36</v>
      </c>
      <c r="B421">
        <v>23</v>
      </c>
      <c r="C421">
        <v>4</v>
      </c>
      <c r="D421">
        <v>2</v>
      </c>
      <c r="E421">
        <v>3</v>
      </c>
      <c r="F421">
        <v>118</v>
      </c>
      <c r="G421">
        <v>13</v>
      </c>
      <c r="H421">
        <v>18</v>
      </c>
      <c r="I421">
        <v>50</v>
      </c>
      <c r="J421">
        <v>239409</v>
      </c>
      <c r="K421">
        <v>98</v>
      </c>
      <c r="L421">
        <v>0</v>
      </c>
      <c r="M421">
        <v>1</v>
      </c>
      <c r="N421">
        <v>1</v>
      </c>
      <c r="O421">
        <v>1</v>
      </c>
      <c r="P421">
        <v>0</v>
      </c>
      <c r="Q421">
        <v>0</v>
      </c>
      <c r="R421">
        <v>98</v>
      </c>
      <c r="S421">
        <v>178</v>
      </c>
      <c r="T421">
        <v>31</v>
      </c>
      <c r="U421">
        <v>1</v>
      </c>
    </row>
    <row r="422" spans="1:21" x14ac:dyDescent="0.3">
      <c r="A422">
        <v>36</v>
      </c>
      <c r="B422">
        <v>13</v>
      </c>
      <c r="C422">
        <v>4</v>
      </c>
      <c r="D422">
        <v>4</v>
      </c>
      <c r="E422">
        <v>3</v>
      </c>
      <c r="F422">
        <v>118</v>
      </c>
      <c r="G422">
        <v>13</v>
      </c>
      <c r="H422">
        <v>18</v>
      </c>
      <c r="I422">
        <v>50</v>
      </c>
      <c r="J422">
        <v>239409</v>
      </c>
      <c r="K422">
        <v>98</v>
      </c>
      <c r="L422">
        <v>0</v>
      </c>
      <c r="M422">
        <v>1</v>
      </c>
      <c r="N422">
        <v>1</v>
      </c>
      <c r="O422">
        <v>1</v>
      </c>
      <c r="P422">
        <v>0</v>
      </c>
      <c r="Q422">
        <v>0</v>
      </c>
      <c r="R422">
        <v>98</v>
      </c>
      <c r="S422">
        <v>178</v>
      </c>
      <c r="T422">
        <v>31</v>
      </c>
      <c r="U422">
        <v>120</v>
      </c>
    </row>
    <row r="423" spans="1:21" x14ac:dyDescent="0.3">
      <c r="A423">
        <v>26</v>
      </c>
      <c r="B423">
        <v>28</v>
      </c>
      <c r="C423">
        <v>4</v>
      </c>
      <c r="D423">
        <v>6</v>
      </c>
      <c r="E423">
        <v>3</v>
      </c>
      <c r="F423">
        <v>300</v>
      </c>
      <c r="G423">
        <v>26</v>
      </c>
      <c r="H423">
        <v>13</v>
      </c>
      <c r="I423">
        <v>43</v>
      </c>
      <c r="J423">
        <v>239409</v>
      </c>
      <c r="K423">
        <v>98</v>
      </c>
      <c r="L423">
        <v>0</v>
      </c>
      <c r="M423">
        <v>1</v>
      </c>
      <c r="N423">
        <v>2</v>
      </c>
      <c r="O423">
        <v>1</v>
      </c>
      <c r="P423">
        <v>1</v>
      </c>
      <c r="Q423">
        <v>1</v>
      </c>
      <c r="R423">
        <v>77</v>
      </c>
      <c r="S423">
        <v>175</v>
      </c>
      <c r="T423">
        <v>25</v>
      </c>
      <c r="U423">
        <v>8</v>
      </c>
    </row>
    <row r="424" spans="1:21" x14ac:dyDescent="0.3">
      <c r="A424">
        <v>20</v>
      </c>
      <c r="B424">
        <v>28</v>
      </c>
      <c r="C424">
        <v>4</v>
      </c>
      <c r="D424">
        <v>6</v>
      </c>
      <c r="E424">
        <v>3</v>
      </c>
      <c r="F424">
        <v>260</v>
      </c>
      <c r="G424">
        <v>50</v>
      </c>
      <c r="H424">
        <v>11</v>
      </c>
      <c r="I424">
        <v>36</v>
      </c>
      <c r="J424">
        <v>239409</v>
      </c>
      <c r="K424">
        <v>98</v>
      </c>
      <c r="L424">
        <v>0</v>
      </c>
      <c r="M424">
        <v>1</v>
      </c>
      <c r="N424">
        <v>4</v>
      </c>
      <c r="O424">
        <v>1</v>
      </c>
      <c r="P424">
        <v>0</v>
      </c>
      <c r="Q424">
        <v>0</v>
      </c>
      <c r="R424">
        <v>65</v>
      </c>
      <c r="S424">
        <v>168</v>
      </c>
      <c r="T424">
        <v>23</v>
      </c>
      <c r="U424">
        <v>4</v>
      </c>
    </row>
    <row r="425" spans="1:21" x14ac:dyDescent="0.3">
      <c r="A425">
        <v>3</v>
      </c>
      <c r="B425">
        <v>28</v>
      </c>
      <c r="C425">
        <v>4</v>
      </c>
      <c r="D425">
        <v>2</v>
      </c>
      <c r="E425">
        <v>3</v>
      </c>
      <c r="F425">
        <v>179</v>
      </c>
      <c r="G425">
        <v>51</v>
      </c>
      <c r="H425">
        <v>18</v>
      </c>
      <c r="I425">
        <v>38</v>
      </c>
      <c r="J425">
        <v>239409</v>
      </c>
      <c r="K425">
        <v>98</v>
      </c>
      <c r="L425">
        <v>0</v>
      </c>
      <c r="M425">
        <v>1</v>
      </c>
      <c r="N425">
        <v>0</v>
      </c>
      <c r="O425">
        <v>1</v>
      </c>
      <c r="P425">
        <v>0</v>
      </c>
      <c r="Q425">
        <v>0</v>
      </c>
      <c r="R425">
        <v>89</v>
      </c>
      <c r="S425">
        <v>170</v>
      </c>
      <c r="T425">
        <v>31</v>
      </c>
      <c r="U425">
        <v>4</v>
      </c>
    </row>
    <row r="426" spans="1:21" x14ac:dyDescent="0.3">
      <c r="A426">
        <v>34</v>
      </c>
      <c r="B426">
        <v>11</v>
      </c>
      <c r="C426">
        <v>4</v>
      </c>
      <c r="D426">
        <v>4</v>
      </c>
      <c r="E426">
        <v>3</v>
      </c>
      <c r="F426">
        <v>118</v>
      </c>
      <c r="G426">
        <v>10</v>
      </c>
      <c r="H426">
        <v>10</v>
      </c>
      <c r="I426">
        <v>37</v>
      </c>
      <c r="J426">
        <v>239409</v>
      </c>
      <c r="K426">
        <v>98</v>
      </c>
      <c r="L426">
        <v>0</v>
      </c>
      <c r="M426">
        <v>1</v>
      </c>
      <c r="N426">
        <v>0</v>
      </c>
      <c r="O426">
        <v>0</v>
      </c>
      <c r="P426">
        <v>0</v>
      </c>
      <c r="Q426">
        <v>0</v>
      </c>
      <c r="R426">
        <v>83</v>
      </c>
      <c r="S426">
        <v>172</v>
      </c>
      <c r="T426">
        <v>28</v>
      </c>
      <c r="U426">
        <v>2</v>
      </c>
    </row>
    <row r="427" spans="1:21" x14ac:dyDescent="0.3">
      <c r="A427">
        <v>5</v>
      </c>
      <c r="B427">
        <v>13</v>
      </c>
      <c r="C427">
        <v>5</v>
      </c>
      <c r="D427">
        <v>2</v>
      </c>
      <c r="E427">
        <v>3</v>
      </c>
      <c r="F427">
        <v>235</v>
      </c>
      <c r="G427">
        <v>20</v>
      </c>
      <c r="H427">
        <v>13</v>
      </c>
      <c r="I427">
        <v>43</v>
      </c>
      <c r="J427">
        <v>246074</v>
      </c>
      <c r="K427">
        <v>99</v>
      </c>
      <c r="L427">
        <v>0</v>
      </c>
      <c r="M427">
        <v>1</v>
      </c>
      <c r="N427">
        <v>1</v>
      </c>
      <c r="O427">
        <v>1</v>
      </c>
      <c r="P427">
        <v>0</v>
      </c>
      <c r="Q427">
        <v>0</v>
      </c>
      <c r="R427">
        <v>106</v>
      </c>
      <c r="S427">
        <v>167</v>
      </c>
      <c r="T427">
        <v>38</v>
      </c>
      <c r="U427">
        <v>16</v>
      </c>
    </row>
    <row r="428" spans="1:21" x14ac:dyDescent="0.3">
      <c r="A428">
        <v>33</v>
      </c>
      <c r="B428">
        <v>23</v>
      </c>
      <c r="C428">
        <v>5</v>
      </c>
      <c r="D428">
        <v>4</v>
      </c>
      <c r="E428">
        <v>3</v>
      </c>
      <c r="F428">
        <v>248</v>
      </c>
      <c r="G428">
        <v>25</v>
      </c>
      <c r="H428">
        <v>14</v>
      </c>
      <c r="I428">
        <v>47</v>
      </c>
      <c r="J428">
        <v>246074</v>
      </c>
      <c r="K428">
        <v>99</v>
      </c>
      <c r="L428">
        <v>0</v>
      </c>
      <c r="M428">
        <v>1</v>
      </c>
      <c r="N428">
        <v>2</v>
      </c>
      <c r="O428">
        <v>0</v>
      </c>
      <c r="P428">
        <v>0</v>
      </c>
      <c r="Q428">
        <v>1</v>
      </c>
      <c r="R428">
        <v>86</v>
      </c>
      <c r="S428">
        <v>165</v>
      </c>
      <c r="T428">
        <v>32</v>
      </c>
      <c r="U428">
        <v>2</v>
      </c>
    </row>
    <row r="429" spans="1:21" x14ac:dyDescent="0.3">
      <c r="A429">
        <v>13</v>
      </c>
      <c r="B429">
        <v>10</v>
      </c>
      <c r="C429">
        <v>5</v>
      </c>
      <c r="D429">
        <v>2</v>
      </c>
      <c r="E429">
        <v>3</v>
      </c>
      <c r="F429">
        <v>369</v>
      </c>
      <c r="G429">
        <v>17</v>
      </c>
      <c r="H429">
        <v>12</v>
      </c>
      <c r="I429">
        <v>31</v>
      </c>
      <c r="J429">
        <v>246074</v>
      </c>
      <c r="K429">
        <v>99</v>
      </c>
      <c r="L429">
        <v>0</v>
      </c>
      <c r="M429">
        <v>1</v>
      </c>
      <c r="N429">
        <v>3</v>
      </c>
      <c r="O429">
        <v>1</v>
      </c>
      <c r="P429">
        <v>0</v>
      </c>
      <c r="Q429">
        <v>0</v>
      </c>
      <c r="R429">
        <v>70</v>
      </c>
      <c r="S429">
        <v>169</v>
      </c>
      <c r="T429">
        <v>25</v>
      </c>
      <c r="U429">
        <v>8</v>
      </c>
    </row>
    <row r="430" spans="1:21" x14ac:dyDescent="0.3">
      <c r="A430">
        <v>22</v>
      </c>
      <c r="B430">
        <v>23</v>
      </c>
      <c r="C430">
        <v>5</v>
      </c>
      <c r="D430">
        <v>4</v>
      </c>
      <c r="E430">
        <v>3</v>
      </c>
      <c r="F430">
        <v>179</v>
      </c>
      <c r="G430">
        <v>26</v>
      </c>
      <c r="H430">
        <v>9</v>
      </c>
      <c r="I430">
        <v>30</v>
      </c>
      <c r="J430">
        <v>246074</v>
      </c>
      <c r="K430">
        <v>99</v>
      </c>
      <c r="L430">
        <v>0</v>
      </c>
      <c r="M430">
        <v>3</v>
      </c>
      <c r="N430">
        <v>0</v>
      </c>
      <c r="O430">
        <v>0</v>
      </c>
      <c r="P430">
        <v>0</v>
      </c>
      <c r="Q430">
        <v>0</v>
      </c>
      <c r="R430">
        <v>56</v>
      </c>
      <c r="S430">
        <v>171</v>
      </c>
      <c r="T430">
        <v>19</v>
      </c>
      <c r="U430">
        <v>3</v>
      </c>
    </row>
    <row r="431" spans="1:21" x14ac:dyDescent="0.3">
      <c r="A431">
        <v>3</v>
      </c>
      <c r="B431">
        <v>28</v>
      </c>
      <c r="C431">
        <v>5</v>
      </c>
      <c r="D431">
        <v>4</v>
      </c>
      <c r="E431">
        <v>3</v>
      </c>
      <c r="F431">
        <v>179</v>
      </c>
      <c r="G431">
        <v>51</v>
      </c>
      <c r="H431">
        <v>18</v>
      </c>
      <c r="I431">
        <v>38</v>
      </c>
      <c r="J431">
        <v>246074</v>
      </c>
      <c r="K431">
        <v>99</v>
      </c>
      <c r="L431">
        <v>0</v>
      </c>
      <c r="M431">
        <v>1</v>
      </c>
      <c r="N431">
        <v>0</v>
      </c>
      <c r="O431">
        <v>1</v>
      </c>
      <c r="P431">
        <v>0</v>
      </c>
      <c r="Q431">
        <v>0</v>
      </c>
      <c r="R431">
        <v>89</v>
      </c>
      <c r="S431">
        <v>170</v>
      </c>
      <c r="T431">
        <v>31</v>
      </c>
      <c r="U431">
        <v>4</v>
      </c>
    </row>
    <row r="432" spans="1:21" x14ac:dyDescent="0.3">
      <c r="A432">
        <v>10</v>
      </c>
      <c r="B432">
        <v>23</v>
      </c>
      <c r="C432">
        <v>5</v>
      </c>
      <c r="D432">
        <v>5</v>
      </c>
      <c r="E432">
        <v>3</v>
      </c>
      <c r="F432">
        <v>361</v>
      </c>
      <c r="G432">
        <v>52</v>
      </c>
      <c r="H432">
        <v>3</v>
      </c>
      <c r="I432">
        <v>28</v>
      </c>
      <c r="J432">
        <v>246074</v>
      </c>
      <c r="K432">
        <v>99</v>
      </c>
      <c r="L432">
        <v>0</v>
      </c>
      <c r="M432">
        <v>1</v>
      </c>
      <c r="N432">
        <v>1</v>
      </c>
      <c r="O432">
        <v>1</v>
      </c>
      <c r="P432">
        <v>0</v>
      </c>
      <c r="Q432">
        <v>4</v>
      </c>
      <c r="R432">
        <v>80</v>
      </c>
      <c r="S432">
        <v>172</v>
      </c>
      <c r="T432">
        <v>27</v>
      </c>
      <c r="U432">
        <v>1</v>
      </c>
    </row>
    <row r="433" spans="1:21" x14ac:dyDescent="0.3">
      <c r="A433">
        <v>20</v>
      </c>
      <c r="B433">
        <v>28</v>
      </c>
      <c r="C433">
        <v>5</v>
      </c>
      <c r="D433">
        <v>6</v>
      </c>
      <c r="E433">
        <v>3</v>
      </c>
      <c r="F433">
        <v>260</v>
      </c>
      <c r="G433">
        <v>50</v>
      </c>
      <c r="H433">
        <v>11</v>
      </c>
      <c r="I433">
        <v>36</v>
      </c>
      <c r="J433">
        <v>246074</v>
      </c>
      <c r="K433">
        <v>99</v>
      </c>
      <c r="L433">
        <v>0</v>
      </c>
      <c r="M433">
        <v>1</v>
      </c>
      <c r="N433">
        <v>4</v>
      </c>
      <c r="O433">
        <v>1</v>
      </c>
      <c r="P433">
        <v>0</v>
      </c>
      <c r="Q433">
        <v>0</v>
      </c>
      <c r="R433">
        <v>65</v>
      </c>
      <c r="S433">
        <v>168</v>
      </c>
      <c r="T433">
        <v>23</v>
      </c>
      <c r="U433">
        <v>3</v>
      </c>
    </row>
    <row r="434" spans="1:21" x14ac:dyDescent="0.3">
      <c r="A434">
        <v>17</v>
      </c>
      <c r="B434">
        <v>11</v>
      </c>
      <c r="C434">
        <v>5</v>
      </c>
      <c r="D434">
        <v>2</v>
      </c>
      <c r="E434">
        <v>3</v>
      </c>
      <c r="F434">
        <v>179</v>
      </c>
      <c r="G434">
        <v>22</v>
      </c>
      <c r="H434">
        <v>17</v>
      </c>
      <c r="I434">
        <v>40</v>
      </c>
      <c r="J434">
        <v>246074</v>
      </c>
      <c r="K434">
        <v>99</v>
      </c>
      <c r="L434">
        <v>0</v>
      </c>
      <c r="M434">
        <v>2</v>
      </c>
      <c r="N434">
        <v>2</v>
      </c>
      <c r="O434">
        <v>0</v>
      </c>
      <c r="P434">
        <v>1</v>
      </c>
      <c r="Q434">
        <v>0</v>
      </c>
      <c r="R434">
        <v>63</v>
      </c>
      <c r="S434">
        <v>170</v>
      </c>
      <c r="T434">
        <v>22</v>
      </c>
      <c r="U434">
        <v>2</v>
      </c>
    </row>
    <row r="435" spans="1:21" x14ac:dyDescent="0.3">
      <c r="A435">
        <v>17</v>
      </c>
      <c r="B435">
        <v>8</v>
      </c>
      <c r="C435">
        <v>5</v>
      </c>
      <c r="D435">
        <v>2</v>
      </c>
      <c r="E435">
        <v>3</v>
      </c>
      <c r="F435">
        <v>179</v>
      </c>
      <c r="G435">
        <v>22</v>
      </c>
      <c r="H435">
        <v>17</v>
      </c>
      <c r="I435">
        <v>40</v>
      </c>
      <c r="J435">
        <v>246074</v>
      </c>
      <c r="K435">
        <v>99</v>
      </c>
      <c r="L435">
        <v>0</v>
      </c>
      <c r="M435">
        <v>2</v>
      </c>
      <c r="N435">
        <v>2</v>
      </c>
      <c r="O435">
        <v>0</v>
      </c>
      <c r="P435">
        <v>1</v>
      </c>
      <c r="Q435">
        <v>0</v>
      </c>
      <c r="R435">
        <v>63</v>
      </c>
      <c r="S435">
        <v>170</v>
      </c>
      <c r="T435">
        <v>22</v>
      </c>
      <c r="U435">
        <v>3</v>
      </c>
    </row>
    <row r="436" spans="1:21" x14ac:dyDescent="0.3">
      <c r="A436">
        <v>9</v>
      </c>
      <c r="B436">
        <v>18</v>
      </c>
      <c r="C436">
        <v>5</v>
      </c>
      <c r="D436">
        <v>4</v>
      </c>
      <c r="E436">
        <v>3</v>
      </c>
      <c r="F436">
        <v>228</v>
      </c>
      <c r="G436">
        <v>14</v>
      </c>
      <c r="H436">
        <v>16</v>
      </c>
      <c r="I436">
        <v>58</v>
      </c>
      <c r="J436">
        <v>246074</v>
      </c>
      <c r="K436">
        <v>99</v>
      </c>
      <c r="L436">
        <v>0</v>
      </c>
      <c r="M436">
        <v>1</v>
      </c>
      <c r="N436">
        <v>2</v>
      </c>
      <c r="O436">
        <v>0</v>
      </c>
      <c r="P436">
        <v>0</v>
      </c>
      <c r="Q436">
        <v>1</v>
      </c>
      <c r="R436">
        <v>65</v>
      </c>
      <c r="S436">
        <v>172</v>
      </c>
      <c r="T436">
        <v>22</v>
      </c>
      <c r="U436">
        <v>8</v>
      </c>
    </row>
    <row r="437" spans="1:21" x14ac:dyDescent="0.3">
      <c r="A437">
        <v>28</v>
      </c>
      <c r="B437">
        <v>25</v>
      </c>
      <c r="C437">
        <v>5</v>
      </c>
      <c r="D437">
        <v>4</v>
      </c>
      <c r="E437">
        <v>3</v>
      </c>
      <c r="F437">
        <v>225</v>
      </c>
      <c r="G437">
        <v>26</v>
      </c>
      <c r="H437">
        <v>9</v>
      </c>
      <c r="I437">
        <v>28</v>
      </c>
      <c r="J437">
        <v>246074</v>
      </c>
      <c r="K437">
        <v>99</v>
      </c>
      <c r="L437">
        <v>0</v>
      </c>
      <c r="M437">
        <v>1</v>
      </c>
      <c r="N437">
        <v>1</v>
      </c>
      <c r="O437">
        <v>0</v>
      </c>
      <c r="P437">
        <v>0</v>
      </c>
      <c r="Q437">
        <v>2</v>
      </c>
      <c r="R437">
        <v>69</v>
      </c>
      <c r="S437">
        <v>169</v>
      </c>
      <c r="T437">
        <v>24</v>
      </c>
      <c r="U437">
        <v>3</v>
      </c>
    </row>
    <row r="438" spans="1:21" x14ac:dyDescent="0.3">
      <c r="A438">
        <v>18</v>
      </c>
      <c r="B438">
        <v>13</v>
      </c>
      <c r="C438">
        <v>5</v>
      </c>
      <c r="D438">
        <v>6</v>
      </c>
      <c r="E438">
        <v>3</v>
      </c>
      <c r="F438">
        <v>330</v>
      </c>
      <c r="G438">
        <v>16</v>
      </c>
      <c r="H438">
        <v>4</v>
      </c>
      <c r="I438">
        <v>28</v>
      </c>
      <c r="J438">
        <v>246074</v>
      </c>
      <c r="K438">
        <v>99</v>
      </c>
      <c r="L438">
        <v>0</v>
      </c>
      <c r="M438">
        <v>2</v>
      </c>
      <c r="N438">
        <v>0</v>
      </c>
      <c r="O438">
        <v>0</v>
      </c>
      <c r="P438">
        <v>0</v>
      </c>
      <c r="Q438">
        <v>0</v>
      </c>
      <c r="R438">
        <v>84</v>
      </c>
      <c r="S438">
        <v>182</v>
      </c>
      <c r="T438">
        <v>25</v>
      </c>
      <c r="U438">
        <v>8</v>
      </c>
    </row>
    <row r="439" spans="1:21" x14ac:dyDescent="0.3">
      <c r="A439">
        <v>22</v>
      </c>
      <c r="B439">
        <v>25</v>
      </c>
      <c r="C439">
        <v>5</v>
      </c>
      <c r="D439">
        <v>2</v>
      </c>
      <c r="E439">
        <v>3</v>
      </c>
      <c r="F439">
        <v>179</v>
      </c>
      <c r="G439">
        <v>26</v>
      </c>
      <c r="H439">
        <v>9</v>
      </c>
      <c r="I439">
        <v>30</v>
      </c>
      <c r="J439">
        <v>246074</v>
      </c>
      <c r="K439">
        <v>99</v>
      </c>
      <c r="L439">
        <v>0</v>
      </c>
      <c r="M439">
        <v>3</v>
      </c>
      <c r="N439">
        <v>0</v>
      </c>
      <c r="O439">
        <v>0</v>
      </c>
      <c r="P439">
        <v>0</v>
      </c>
      <c r="Q439">
        <v>0</v>
      </c>
      <c r="R439">
        <v>56</v>
      </c>
      <c r="S439">
        <v>171</v>
      </c>
      <c r="T439">
        <v>19</v>
      </c>
      <c r="U439">
        <v>2</v>
      </c>
    </row>
    <row r="440" spans="1:21" x14ac:dyDescent="0.3">
      <c r="A440">
        <v>34</v>
      </c>
      <c r="B440">
        <v>28</v>
      </c>
      <c r="C440">
        <v>5</v>
      </c>
      <c r="D440">
        <v>2</v>
      </c>
      <c r="E440">
        <v>3</v>
      </c>
      <c r="F440">
        <v>118</v>
      </c>
      <c r="G440">
        <v>10</v>
      </c>
      <c r="H440">
        <v>10</v>
      </c>
      <c r="I440">
        <v>37</v>
      </c>
      <c r="J440">
        <v>246074</v>
      </c>
      <c r="K440">
        <v>99</v>
      </c>
      <c r="L440">
        <v>0</v>
      </c>
      <c r="M440">
        <v>1</v>
      </c>
      <c r="N440">
        <v>0</v>
      </c>
      <c r="O440">
        <v>0</v>
      </c>
      <c r="P440">
        <v>0</v>
      </c>
      <c r="Q440">
        <v>0</v>
      </c>
      <c r="R440">
        <v>83</v>
      </c>
      <c r="S440">
        <v>172</v>
      </c>
      <c r="T440">
        <v>28</v>
      </c>
      <c r="U440">
        <v>1</v>
      </c>
    </row>
    <row r="441" spans="1:21" x14ac:dyDescent="0.3">
      <c r="A441">
        <v>1</v>
      </c>
      <c r="B441">
        <v>1</v>
      </c>
      <c r="C441">
        <v>5</v>
      </c>
      <c r="D441">
        <v>2</v>
      </c>
      <c r="E441">
        <v>3</v>
      </c>
      <c r="F441">
        <v>235</v>
      </c>
      <c r="G441">
        <v>11</v>
      </c>
      <c r="H441">
        <v>14</v>
      </c>
      <c r="I441">
        <v>37</v>
      </c>
      <c r="J441">
        <v>246074</v>
      </c>
      <c r="K441">
        <v>99</v>
      </c>
      <c r="L441">
        <v>0</v>
      </c>
      <c r="M441">
        <v>3</v>
      </c>
      <c r="N441">
        <v>1</v>
      </c>
      <c r="O441">
        <v>0</v>
      </c>
      <c r="P441">
        <v>0</v>
      </c>
      <c r="Q441">
        <v>1</v>
      </c>
      <c r="R441">
        <v>88</v>
      </c>
      <c r="S441">
        <v>172</v>
      </c>
      <c r="T441">
        <v>29</v>
      </c>
      <c r="U441">
        <v>8</v>
      </c>
    </row>
    <row r="442" spans="1:21" x14ac:dyDescent="0.3">
      <c r="A442">
        <v>22</v>
      </c>
      <c r="B442">
        <v>23</v>
      </c>
      <c r="C442">
        <v>5</v>
      </c>
      <c r="D442">
        <v>4</v>
      </c>
      <c r="E442">
        <v>3</v>
      </c>
      <c r="F442">
        <v>179</v>
      </c>
      <c r="G442">
        <v>26</v>
      </c>
      <c r="H442">
        <v>9</v>
      </c>
      <c r="I442">
        <v>30</v>
      </c>
      <c r="J442">
        <v>246074</v>
      </c>
      <c r="K442">
        <v>99</v>
      </c>
      <c r="L442">
        <v>0</v>
      </c>
      <c r="M442">
        <v>3</v>
      </c>
      <c r="N442">
        <v>0</v>
      </c>
      <c r="O442">
        <v>0</v>
      </c>
      <c r="P442">
        <v>0</v>
      </c>
      <c r="Q442">
        <v>0</v>
      </c>
      <c r="R442">
        <v>56</v>
      </c>
      <c r="S442">
        <v>171</v>
      </c>
      <c r="T442">
        <v>19</v>
      </c>
      <c r="U442">
        <v>3</v>
      </c>
    </row>
    <row r="443" spans="1:21" x14ac:dyDescent="0.3">
      <c r="A443">
        <v>34</v>
      </c>
      <c r="B443">
        <v>23</v>
      </c>
      <c r="C443">
        <v>6</v>
      </c>
      <c r="D443">
        <v>2</v>
      </c>
      <c r="E443">
        <v>3</v>
      </c>
      <c r="F443">
        <v>118</v>
      </c>
      <c r="G443">
        <v>10</v>
      </c>
      <c r="H443">
        <v>10</v>
      </c>
      <c r="I443">
        <v>37</v>
      </c>
      <c r="J443">
        <v>253957</v>
      </c>
      <c r="K443">
        <v>95</v>
      </c>
      <c r="L443">
        <v>0</v>
      </c>
      <c r="M443">
        <v>1</v>
      </c>
      <c r="N443">
        <v>0</v>
      </c>
      <c r="O443">
        <v>0</v>
      </c>
      <c r="P443">
        <v>0</v>
      </c>
      <c r="Q443">
        <v>0</v>
      </c>
      <c r="R443">
        <v>83</v>
      </c>
      <c r="S443">
        <v>172</v>
      </c>
      <c r="T443">
        <v>28</v>
      </c>
      <c r="U443">
        <v>3</v>
      </c>
    </row>
    <row r="444" spans="1:21" x14ac:dyDescent="0.3">
      <c r="A444">
        <v>3</v>
      </c>
      <c r="B444">
        <v>28</v>
      </c>
      <c r="C444">
        <v>6</v>
      </c>
      <c r="D444">
        <v>2</v>
      </c>
      <c r="E444">
        <v>3</v>
      </c>
      <c r="F444">
        <v>179</v>
      </c>
      <c r="G444">
        <v>51</v>
      </c>
      <c r="H444">
        <v>18</v>
      </c>
      <c r="I444">
        <v>38</v>
      </c>
      <c r="J444">
        <v>253957</v>
      </c>
      <c r="K444">
        <v>95</v>
      </c>
      <c r="L444">
        <v>0</v>
      </c>
      <c r="M444">
        <v>1</v>
      </c>
      <c r="N444">
        <v>0</v>
      </c>
      <c r="O444">
        <v>1</v>
      </c>
      <c r="P444">
        <v>0</v>
      </c>
      <c r="Q444">
        <v>0</v>
      </c>
      <c r="R444">
        <v>89</v>
      </c>
      <c r="S444">
        <v>170</v>
      </c>
      <c r="T444">
        <v>31</v>
      </c>
      <c r="U444">
        <v>3</v>
      </c>
    </row>
    <row r="445" spans="1:21" x14ac:dyDescent="0.3">
      <c r="A445">
        <v>34</v>
      </c>
      <c r="B445">
        <v>28</v>
      </c>
      <c r="C445">
        <v>6</v>
      </c>
      <c r="D445">
        <v>3</v>
      </c>
      <c r="E445">
        <v>3</v>
      </c>
      <c r="F445">
        <v>118</v>
      </c>
      <c r="G445">
        <v>10</v>
      </c>
      <c r="H445">
        <v>10</v>
      </c>
      <c r="I445">
        <v>37</v>
      </c>
      <c r="J445">
        <v>253957</v>
      </c>
      <c r="K445">
        <v>95</v>
      </c>
      <c r="L445">
        <v>0</v>
      </c>
      <c r="M445">
        <v>1</v>
      </c>
      <c r="N445">
        <v>0</v>
      </c>
      <c r="O445">
        <v>0</v>
      </c>
      <c r="P445">
        <v>0</v>
      </c>
      <c r="Q445">
        <v>0</v>
      </c>
      <c r="R445">
        <v>83</v>
      </c>
      <c r="S445">
        <v>172</v>
      </c>
      <c r="T445">
        <v>28</v>
      </c>
      <c r="U445">
        <v>2</v>
      </c>
    </row>
    <row r="446" spans="1:21" x14ac:dyDescent="0.3">
      <c r="A446">
        <v>28</v>
      </c>
      <c r="B446">
        <v>23</v>
      </c>
      <c r="C446">
        <v>6</v>
      </c>
      <c r="D446">
        <v>5</v>
      </c>
      <c r="E446">
        <v>3</v>
      </c>
      <c r="F446">
        <v>225</v>
      </c>
      <c r="G446">
        <v>26</v>
      </c>
      <c r="H446">
        <v>9</v>
      </c>
      <c r="I446">
        <v>28</v>
      </c>
      <c r="J446">
        <v>253957</v>
      </c>
      <c r="K446">
        <v>95</v>
      </c>
      <c r="L446">
        <v>0</v>
      </c>
      <c r="M446">
        <v>1</v>
      </c>
      <c r="N446">
        <v>1</v>
      </c>
      <c r="O446">
        <v>0</v>
      </c>
      <c r="P446">
        <v>0</v>
      </c>
      <c r="Q446">
        <v>2</v>
      </c>
      <c r="R446">
        <v>69</v>
      </c>
      <c r="S446">
        <v>169</v>
      </c>
      <c r="T446">
        <v>24</v>
      </c>
      <c r="U446">
        <v>4</v>
      </c>
    </row>
    <row r="447" spans="1:21" x14ac:dyDescent="0.3">
      <c r="A447">
        <v>20</v>
      </c>
      <c r="B447">
        <v>28</v>
      </c>
      <c r="C447">
        <v>6</v>
      </c>
      <c r="D447">
        <v>6</v>
      </c>
      <c r="E447">
        <v>3</v>
      </c>
      <c r="F447">
        <v>260</v>
      </c>
      <c r="G447">
        <v>50</v>
      </c>
      <c r="H447">
        <v>11</v>
      </c>
      <c r="I447">
        <v>36</v>
      </c>
      <c r="J447">
        <v>253957</v>
      </c>
      <c r="K447">
        <v>95</v>
      </c>
      <c r="L447">
        <v>0</v>
      </c>
      <c r="M447">
        <v>1</v>
      </c>
      <c r="N447">
        <v>4</v>
      </c>
      <c r="O447">
        <v>1</v>
      </c>
      <c r="P447">
        <v>0</v>
      </c>
      <c r="Q447">
        <v>0</v>
      </c>
      <c r="R447">
        <v>65</v>
      </c>
      <c r="S447">
        <v>168</v>
      </c>
      <c r="T447">
        <v>23</v>
      </c>
      <c r="U447">
        <v>4</v>
      </c>
    </row>
    <row r="448" spans="1:21" x14ac:dyDescent="0.3">
      <c r="A448">
        <v>3</v>
      </c>
      <c r="B448">
        <v>0</v>
      </c>
      <c r="C448">
        <v>6</v>
      </c>
      <c r="D448">
        <v>6</v>
      </c>
      <c r="E448">
        <v>3</v>
      </c>
      <c r="F448">
        <v>179</v>
      </c>
      <c r="G448">
        <v>51</v>
      </c>
      <c r="H448">
        <v>18</v>
      </c>
      <c r="I448">
        <v>38</v>
      </c>
      <c r="J448">
        <v>253957</v>
      </c>
      <c r="K448">
        <v>95</v>
      </c>
      <c r="L448">
        <v>1</v>
      </c>
      <c r="M448">
        <v>1</v>
      </c>
      <c r="N448">
        <v>0</v>
      </c>
      <c r="O448">
        <v>1</v>
      </c>
      <c r="P448">
        <v>0</v>
      </c>
      <c r="Q448">
        <v>0</v>
      </c>
      <c r="R448">
        <v>89</v>
      </c>
      <c r="S448">
        <v>170</v>
      </c>
      <c r="T448">
        <v>31</v>
      </c>
      <c r="U448">
        <v>0</v>
      </c>
    </row>
    <row r="449" spans="1:21" x14ac:dyDescent="0.3">
      <c r="A449">
        <v>15</v>
      </c>
      <c r="B449">
        <v>13</v>
      </c>
      <c r="C449">
        <v>6</v>
      </c>
      <c r="D449">
        <v>2</v>
      </c>
      <c r="E449">
        <v>3</v>
      </c>
      <c r="F449">
        <v>291</v>
      </c>
      <c r="G449">
        <v>31</v>
      </c>
      <c r="H449">
        <v>12</v>
      </c>
      <c r="I449">
        <v>40</v>
      </c>
      <c r="J449">
        <v>253957</v>
      </c>
      <c r="K449">
        <v>95</v>
      </c>
      <c r="L449">
        <v>0</v>
      </c>
      <c r="M449">
        <v>1</v>
      </c>
      <c r="N449">
        <v>1</v>
      </c>
      <c r="O449">
        <v>1</v>
      </c>
      <c r="P449">
        <v>0</v>
      </c>
      <c r="Q449">
        <v>1</v>
      </c>
      <c r="R449">
        <v>73</v>
      </c>
      <c r="S449">
        <v>171</v>
      </c>
      <c r="T449">
        <v>25</v>
      </c>
      <c r="U449">
        <v>40</v>
      </c>
    </row>
    <row r="450" spans="1:21" x14ac:dyDescent="0.3">
      <c r="A450">
        <v>3</v>
      </c>
      <c r="B450">
        <v>28</v>
      </c>
      <c r="C450">
        <v>6</v>
      </c>
      <c r="D450">
        <v>2</v>
      </c>
      <c r="E450">
        <v>3</v>
      </c>
      <c r="F450">
        <v>179</v>
      </c>
      <c r="G450">
        <v>51</v>
      </c>
      <c r="H450">
        <v>18</v>
      </c>
      <c r="I450">
        <v>38</v>
      </c>
      <c r="J450">
        <v>253957</v>
      </c>
      <c r="K450">
        <v>95</v>
      </c>
      <c r="L450">
        <v>0</v>
      </c>
      <c r="M450">
        <v>1</v>
      </c>
      <c r="N450">
        <v>0</v>
      </c>
      <c r="O450">
        <v>1</v>
      </c>
      <c r="P450">
        <v>0</v>
      </c>
      <c r="Q450">
        <v>0</v>
      </c>
      <c r="R450">
        <v>89</v>
      </c>
      <c r="S450">
        <v>170</v>
      </c>
      <c r="T450">
        <v>31</v>
      </c>
      <c r="U450">
        <v>24</v>
      </c>
    </row>
    <row r="451" spans="1:21" x14ac:dyDescent="0.3">
      <c r="A451">
        <v>24</v>
      </c>
      <c r="B451">
        <v>28</v>
      </c>
      <c r="C451">
        <v>6</v>
      </c>
      <c r="D451">
        <v>3</v>
      </c>
      <c r="E451">
        <v>3</v>
      </c>
      <c r="F451">
        <v>246</v>
      </c>
      <c r="G451">
        <v>25</v>
      </c>
      <c r="H451">
        <v>16</v>
      </c>
      <c r="I451">
        <v>41</v>
      </c>
      <c r="J451">
        <v>253957</v>
      </c>
      <c r="K451">
        <v>95</v>
      </c>
      <c r="L451">
        <v>0</v>
      </c>
      <c r="M451">
        <v>1</v>
      </c>
      <c r="N451">
        <v>0</v>
      </c>
      <c r="O451">
        <v>1</v>
      </c>
      <c r="P451">
        <v>0</v>
      </c>
      <c r="Q451">
        <v>0</v>
      </c>
      <c r="R451">
        <v>67</v>
      </c>
      <c r="S451">
        <v>170</v>
      </c>
      <c r="T451">
        <v>23</v>
      </c>
      <c r="U451">
        <v>3</v>
      </c>
    </row>
    <row r="452" spans="1:21" x14ac:dyDescent="0.3">
      <c r="A452">
        <v>3</v>
      </c>
      <c r="B452">
        <v>28</v>
      </c>
      <c r="C452">
        <v>6</v>
      </c>
      <c r="D452">
        <v>2</v>
      </c>
      <c r="E452">
        <v>3</v>
      </c>
      <c r="F452">
        <v>179</v>
      </c>
      <c r="G452">
        <v>51</v>
      </c>
      <c r="H452">
        <v>18</v>
      </c>
      <c r="I452">
        <v>38</v>
      </c>
      <c r="J452">
        <v>253957</v>
      </c>
      <c r="K452">
        <v>95</v>
      </c>
      <c r="L452">
        <v>0</v>
      </c>
      <c r="M452">
        <v>1</v>
      </c>
      <c r="N452">
        <v>0</v>
      </c>
      <c r="O452">
        <v>1</v>
      </c>
      <c r="P452">
        <v>0</v>
      </c>
      <c r="Q452">
        <v>0</v>
      </c>
      <c r="R452">
        <v>89</v>
      </c>
      <c r="S452">
        <v>170</v>
      </c>
      <c r="T452">
        <v>31</v>
      </c>
      <c r="U452">
        <v>4</v>
      </c>
    </row>
    <row r="453" spans="1:21" x14ac:dyDescent="0.3">
      <c r="A453">
        <v>5</v>
      </c>
      <c r="B453">
        <v>26</v>
      </c>
      <c r="C453">
        <v>6</v>
      </c>
      <c r="D453">
        <v>3</v>
      </c>
      <c r="E453">
        <v>3</v>
      </c>
      <c r="F453">
        <v>235</v>
      </c>
      <c r="G453">
        <v>20</v>
      </c>
      <c r="H453">
        <v>13</v>
      </c>
      <c r="I453">
        <v>43</v>
      </c>
      <c r="J453">
        <v>253957</v>
      </c>
      <c r="K453">
        <v>95</v>
      </c>
      <c r="L453">
        <v>0</v>
      </c>
      <c r="M453">
        <v>1</v>
      </c>
      <c r="N453">
        <v>1</v>
      </c>
      <c r="O453">
        <v>1</v>
      </c>
      <c r="P453">
        <v>0</v>
      </c>
      <c r="Q453">
        <v>0</v>
      </c>
      <c r="R453">
        <v>106</v>
      </c>
      <c r="S453">
        <v>167</v>
      </c>
      <c r="T453">
        <v>38</v>
      </c>
      <c r="U453">
        <v>8</v>
      </c>
    </row>
    <row r="454" spans="1:21" x14ac:dyDescent="0.3">
      <c r="A454">
        <v>3</v>
      </c>
      <c r="B454">
        <v>28</v>
      </c>
      <c r="C454">
        <v>6</v>
      </c>
      <c r="D454">
        <v>2</v>
      </c>
      <c r="E454">
        <v>1</v>
      </c>
      <c r="F454">
        <v>179</v>
      </c>
      <c r="G454">
        <v>51</v>
      </c>
      <c r="H454">
        <v>18</v>
      </c>
      <c r="I454">
        <v>38</v>
      </c>
      <c r="J454">
        <v>253957</v>
      </c>
      <c r="K454">
        <v>95</v>
      </c>
      <c r="L454">
        <v>0</v>
      </c>
      <c r="M454">
        <v>1</v>
      </c>
      <c r="N454">
        <v>0</v>
      </c>
      <c r="O454">
        <v>1</v>
      </c>
      <c r="P454">
        <v>0</v>
      </c>
      <c r="Q454">
        <v>0</v>
      </c>
      <c r="R454">
        <v>89</v>
      </c>
      <c r="S454">
        <v>170</v>
      </c>
      <c r="T454">
        <v>31</v>
      </c>
      <c r="U454">
        <v>2</v>
      </c>
    </row>
    <row r="455" spans="1:21" x14ac:dyDescent="0.3">
      <c r="A455">
        <v>28</v>
      </c>
      <c r="B455">
        <v>23</v>
      </c>
      <c r="C455">
        <v>6</v>
      </c>
      <c r="D455">
        <v>4</v>
      </c>
      <c r="E455">
        <v>1</v>
      </c>
      <c r="F455">
        <v>225</v>
      </c>
      <c r="G455">
        <v>26</v>
      </c>
      <c r="H455">
        <v>9</v>
      </c>
      <c r="I455">
        <v>28</v>
      </c>
      <c r="J455">
        <v>253957</v>
      </c>
      <c r="K455">
        <v>95</v>
      </c>
      <c r="L455">
        <v>0</v>
      </c>
      <c r="M455">
        <v>1</v>
      </c>
      <c r="N455">
        <v>1</v>
      </c>
      <c r="O455">
        <v>0</v>
      </c>
      <c r="P455">
        <v>0</v>
      </c>
      <c r="Q455">
        <v>2</v>
      </c>
      <c r="R455">
        <v>69</v>
      </c>
      <c r="S455">
        <v>169</v>
      </c>
      <c r="T455">
        <v>24</v>
      </c>
      <c r="U455">
        <v>2</v>
      </c>
    </row>
    <row r="456" spans="1:21" x14ac:dyDescent="0.3">
      <c r="A456">
        <v>36</v>
      </c>
      <c r="B456">
        <v>23</v>
      </c>
      <c r="C456">
        <v>6</v>
      </c>
      <c r="D456">
        <v>4</v>
      </c>
      <c r="E456">
        <v>1</v>
      </c>
      <c r="F456">
        <v>118</v>
      </c>
      <c r="G456">
        <v>13</v>
      </c>
      <c r="H456">
        <v>18</v>
      </c>
      <c r="I456">
        <v>50</v>
      </c>
      <c r="J456">
        <v>253957</v>
      </c>
      <c r="K456">
        <v>95</v>
      </c>
      <c r="L456">
        <v>0</v>
      </c>
      <c r="M456">
        <v>1</v>
      </c>
      <c r="N456">
        <v>1</v>
      </c>
      <c r="O456">
        <v>1</v>
      </c>
      <c r="P456">
        <v>0</v>
      </c>
      <c r="Q456">
        <v>0</v>
      </c>
      <c r="R456">
        <v>98</v>
      </c>
      <c r="S456">
        <v>178</v>
      </c>
      <c r="T456">
        <v>31</v>
      </c>
      <c r="U456">
        <v>2</v>
      </c>
    </row>
    <row r="457" spans="1:21" x14ac:dyDescent="0.3">
      <c r="A457">
        <v>3</v>
      </c>
      <c r="B457">
        <v>5</v>
      </c>
      <c r="C457">
        <v>6</v>
      </c>
      <c r="D457">
        <v>4</v>
      </c>
      <c r="E457">
        <v>1</v>
      </c>
      <c r="F457">
        <v>179</v>
      </c>
      <c r="G457">
        <v>51</v>
      </c>
      <c r="H457">
        <v>18</v>
      </c>
      <c r="I457">
        <v>38</v>
      </c>
      <c r="J457">
        <v>253957</v>
      </c>
      <c r="K457">
        <v>95</v>
      </c>
      <c r="L457">
        <v>0</v>
      </c>
      <c r="M457">
        <v>1</v>
      </c>
      <c r="N457">
        <v>0</v>
      </c>
      <c r="O457">
        <v>1</v>
      </c>
      <c r="P457">
        <v>0</v>
      </c>
      <c r="Q457">
        <v>0</v>
      </c>
      <c r="R457">
        <v>89</v>
      </c>
      <c r="S457">
        <v>170</v>
      </c>
      <c r="T457">
        <v>31</v>
      </c>
      <c r="U457">
        <v>8</v>
      </c>
    </row>
    <row r="458" spans="1:21" x14ac:dyDescent="0.3">
      <c r="A458">
        <v>22</v>
      </c>
      <c r="B458">
        <v>21</v>
      </c>
      <c r="C458">
        <v>6</v>
      </c>
      <c r="D458">
        <v>4</v>
      </c>
      <c r="E458">
        <v>1</v>
      </c>
      <c r="F458">
        <v>179</v>
      </c>
      <c r="G458">
        <v>26</v>
      </c>
      <c r="H458">
        <v>9</v>
      </c>
      <c r="I458">
        <v>30</v>
      </c>
      <c r="J458">
        <v>253957</v>
      </c>
      <c r="K458">
        <v>95</v>
      </c>
      <c r="L458">
        <v>0</v>
      </c>
      <c r="M458">
        <v>3</v>
      </c>
      <c r="N458">
        <v>0</v>
      </c>
      <c r="O458">
        <v>0</v>
      </c>
      <c r="P458">
        <v>0</v>
      </c>
      <c r="Q458">
        <v>0</v>
      </c>
      <c r="R458">
        <v>56</v>
      </c>
      <c r="S458">
        <v>171</v>
      </c>
      <c r="T458">
        <v>19</v>
      </c>
      <c r="U458">
        <v>2</v>
      </c>
    </row>
    <row r="459" spans="1:21" x14ac:dyDescent="0.3">
      <c r="A459">
        <v>24</v>
      </c>
      <c r="B459">
        <v>28</v>
      </c>
      <c r="C459">
        <v>6</v>
      </c>
      <c r="D459">
        <v>6</v>
      </c>
      <c r="E459">
        <v>1</v>
      </c>
      <c r="F459">
        <v>246</v>
      </c>
      <c r="G459">
        <v>25</v>
      </c>
      <c r="H459">
        <v>16</v>
      </c>
      <c r="I459">
        <v>41</v>
      </c>
      <c r="J459">
        <v>253957</v>
      </c>
      <c r="K459">
        <v>95</v>
      </c>
      <c r="L459">
        <v>0</v>
      </c>
      <c r="M459">
        <v>1</v>
      </c>
      <c r="N459">
        <v>0</v>
      </c>
      <c r="O459">
        <v>1</v>
      </c>
      <c r="P459">
        <v>0</v>
      </c>
      <c r="Q459">
        <v>0</v>
      </c>
      <c r="R459">
        <v>67</v>
      </c>
      <c r="S459">
        <v>170</v>
      </c>
      <c r="T459">
        <v>23</v>
      </c>
      <c r="U459">
        <v>2</v>
      </c>
    </row>
    <row r="460" spans="1:21" x14ac:dyDescent="0.3">
      <c r="A460">
        <v>18</v>
      </c>
      <c r="B460">
        <v>11</v>
      </c>
      <c r="C460">
        <v>6</v>
      </c>
      <c r="D460">
        <v>3</v>
      </c>
      <c r="E460">
        <v>1</v>
      </c>
      <c r="F460">
        <v>330</v>
      </c>
      <c r="G460">
        <v>16</v>
      </c>
      <c r="H460">
        <v>4</v>
      </c>
      <c r="I460">
        <v>28</v>
      </c>
      <c r="J460">
        <v>253957</v>
      </c>
      <c r="K460">
        <v>95</v>
      </c>
      <c r="L460">
        <v>0</v>
      </c>
      <c r="M460">
        <v>2</v>
      </c>
      <c r="N460">
        <v>0</v>
      </c>
      <c r="O460">
        <v>0</v>
      </c>
      <c r="P460">
        <v>0</v>
      </c>
      <c r="Q460">
        <v>0</v>
      </c>
      <c r="R460">
        <v>84</v>
      </c>
      <c r="S460">
        <v>182</v>
      </c>
      <c r="T460">
        <v>25</v>
      </c>
      <c r="U460">
        <v>1</v>
      </c>
    </row>
    <row r="461" spans="1:21" x14ac:dyDescent="0.3">
      <c r="A461">
        <v>1</v>
      </c>
      <c r="B461">
        <v>13</v>
      </c>
      <c r="C461">
        <v>6</v>
      </c>
      <c r="D461">
        <v>3</v>
      </c>
      <c r="E461">
        <v>1</v>
      </c>
      <c r="F461">
        <v>235</v>
      </c>
      <c r="G461">
        <v>11</v>
      </c>
      <c r="H461">
        <v>14</v>
      </c>
      <c r="I461">
        <v>37</v>
      </c>
      <c r="J461">
        <v>253957</v>
      </c>
      <c r="K461">
        <v>95</v>
      </c>
      <c r="L461">
        <v>0</v>
      </c>
      <c r="M461">
        <v>3</v>
      </c>
      <c r="N461">
        <v>1</v>
      </c>
      <c r="O461">
        <v>0</v>
      </c>
      <c r="P461">
        <v>0</v>
      </c>
      <c r="Q461">
        <v>1</v>
      </c>
      <c r="R461">
        <v>88</v>
      </c>
      <c r="S461">
        <v>172</v>
      </c>
      <c r="T461">
        <v>29</v>
      </c>
      <c r="U461">
        <v>8</v>
      </c>
    </row>
    <row r="462" spans="1:21" x14ac:dyDescent="0.3">
      <c r="A462">
        <v>22</v>
      </c>
      <c r="B462">
        <v>23</v>
      </c>
      <c r="C462">
        <v>7</v>
      </c>
      <c r="D462">
        <v>5</v>
      </c>
      <c r="E462">
        <v>1</v>
      </c>
      <c r="F462">
        <v>179</v>
      </c>
      <c r="G462">
        <v>26</v>
      </c>
      <c r="H462">
        <v>9</v>
      </c>
      <c r="I462">
        <v>30</v>
      </c>
      <c r="J462">
        <v>230290</v>
      </c>
      <c r="K462">
        <v>92</v>
      </c>
      <c r="L462">
        <v>0</v>
      </c>
      <c r="M462">
        <v>3</v>
      </c>
      <c r="N462">
        <v>0</v>
      </c>
      <c r="O462">
        <v>0</v>
      </c>
      <c r="P462">
        <v>0</v>
      </c>
      <c r="Q462">
        <v>0</v>
      </c>
      <c r="R462">
        <v>56</v>
      </c>
      <c r="S462">
        <v>171</v>
      </c>
      <c r="T462">
        <v>19</v>
      </c>
      <c r="U462">
        <v>2</v>
      </c>
    </row>
    <row r="463" spans="1:21" x14ac:dyDescent="0.3">
      <c r="A463">
        <v>28</v>
      </c>
      <c r="B463">
        <v>25</v>
      </c>
      <c r="C463">
        <v>7</v>
      </c>
      <c r="D463">
        <v>5</v>
      </c>
      <c r="E463">
        <v>1</v>
      </c>
      <c r="F463">
        <v>225</v>
      </c>
      <c r="G463">
        <v>26</v>
      </c>
      <c r="H463">
        <v>9</v>
      </c>
      <c r="I463">
        <v>28</v>
      </c>
      <c r="J463">
        <v>230290</v>
      </c>
      <c r="K463">
        <v>92</v>
      </c>
      <c r="L463">
        <v>0</v>
      </c>
      <c r="M463">
        <v>1</v>
      </c>
      <c r="N463">
        <v>1</v>
      </c>
      <c r="O463">
        <v>0</v>
      </c>
      <c r="P463">
        <v>0</v>
      </c>
      <c r="Q463">
        <v>2</v>
      </c>
      <c r="R463">
        <v>69</v>
      </c>
      <c r="S463">
        <v>169</v>
      </c>
      <c r="T463">
        <v>24</v>
      </c>
      <c r="U463">
        <v>4</v>
      </c>
    </row>
    <row r="464" spans="1:21" x14ac:dyDescent="0.3">
      <c r="A464">
        <v>20</v>
      </c>
      <c r="B464">
        <v>13</v>
      </c>
      <c r="C464">
        <v>7</v>
      </c>
      <c r="D464">
        <v>6</v>
      </c>
      <c r="E464">
        <v>1</v>
      </c>
      <c r="F464">
        <v>260</v>
      </c>
      <c r="G464">
        <v>50</v>
      </c>
      <c r="H464">
        <v>11</v>
      </c>
      <c r="I464">
        <v>36</v>
      </c>
      <c r="J464">
        <v>230290</v>
      </c>
      <c r="K464">
        <v>92</v>
      </c>
      <c r="L464">
        <v>0</v>
      </c>
      <c r="M464">
        <v>1</v>
      </c>
      <c r="N464">
        <v>4</v>
      </c>
      <c r="O464">
        <v>1</v>
      </c>
      <c r="P464">
        <v>0</v>
      </c>
      <c r="Q464">
        <v>0</v>
      </c>
      <c r="R464">
        <v>65</v>
      </c>
      <c r="S464">
        <v>168</v>
      </c>
      <c r="T464">
        <v>23</v>
      </c>
      <c r="U464">
        <v>8</v>
      </c>
    </row>
    <row r="465" spans="1:21" x14ac:dyDescent="0.3">
      <c r="A465">
        <v>21</v>
      </c>
      <c r="B465">
        <v>7</v>
      </c>
      <c r="C465">
        <v>7</v>
      </c>
      <c r="D465">
        <v>2</v>
      </c>
      <c r="E465">
        <v>1</v>
      </c>
      <c r="F465">
        <v>268</v>
      </c>
      <c r="G465">
        <v>11</v>
      </c>
      <c r="H465">
        <v>8</v>
      </c>
      <c r="I465">
        <v>33</v>
      </c>
      <c r="J465">
        <v>230290</v>
      </c>
      <c r="K465">
        <v>92</v>
      </c>
      <c r="L465">
        <v>0</v>
      </c>
      <c r="M465">
        <v>2</v>
      </c>
      <c r="N465">
        <v>0</v>
      </c>
      <c r="O465">
        <v>0</v>
      </c>
      <c r="P465">
        <v>0</v>
      </c>
      <c r="Q465">
        <v>0</v>
      </c>
      <c r="R465">
        <v>79</v>
      </c>
      <c r="S465">
        <v>178</v>
      </c>
      <c r="T465">
        <v>25</v>
      </c>
      <c r="U465">
        <v>8</v>
      </c>
    </row>
    <row r="466" spans="1:21" x14ac:dyDescent="0.3">
      <c r="A466">
        <v>18</v>
      </c>
      <c r="B466">
        <v>25</v>
      </c>
      <c r="C466">
        <v>7</v>
      </c>
      <c r="D466">
        <v>6</v>
      </c>
      <c r="E466">
        <v>1</v>
      </c>
      <c r="F466">
        <v>330</v>
      </c>
      <c r="G466">
        <v>16</v>
      </c>
      <c r="H466">
        <v>4</v>
      </c>
      <c r="I466">
        <v>28</v>
      </c>
      <c r="J466">
        <v>230290</v>
      </c>
      <c r="K466">
        <v>92</v>
      </c>
      <c r="L466">
        <v>0</v>
      </c>
      <c r="M466">
        <v>2</v>
      </c>
      <c r="N466">
        <v>0</v>
      </c>
      <c r="O466">
        <v>0</v>
      </c>
      <c r="P466">
        <v>0</v>
      </c>
      <c r="Q466">
        <v>0</v>
      </c>
      <c r="R466">
        <v>84</v>
      </c>
      <c r="S466">
        <v>182</v>
      </c>
      <c r="T466">
        <v>25</v>
      </c>
      <c r="U466">
        <v>8</v>
      </c>
    </row>
    <row r="467" spans="1:21" x14ac:dyDescent="0.3">
      <c r="A467">
        <v>34</v>
      </c>
      <c r="B467">
        <v>26</v>
      </c>
      <c r="C467">
        <v>7</v>
      </c>
      <c r="D467">
        <v>6</v>
      </c>
      <c r="E467">
        <v>1</v>
      </c>
      <c r="F467">
        <v>118</v>
      </c>
      <c r="G467">
        <v>10</v>
      </c>
      <c r="H467">
        <v>10</v>
      </c>
      <c r="I467">
        <v>37</v>
      </c>
      <c r="J467">
        <v>230290</v>
      </c>
      <c r="K467">
        <v>92</v>
      </c>
      <c r="L467">
        <v>0</v>
      </c>
      <c r="M467">
        <v>1</v>
      </c>
      <c r="N467">
        <v>0</v>
      </c>
      <c r="O467">
        <v>0</v>
      </c>
      <c r="P467">
        <v>0</v>
      </c>
      <c r="Q467">
        <v>0</v>
      </c>
      <c r="R467">
        <v>83</v>
      </c>
      <c r="S467">
        <v>172</v>
      </c>
      <c r="T467">
        <v>28</v>
      </c>
      <c r="U467">
        <v>8</v>
      </c>
    </row>
    <row r="468" spans="1:21" x14ac:dyDescent="0.3">
      <c r="A468">
        <v>20</v>
      </c>
      <c r="B468">
        <v>26</v>
      </c>
      <c r="C468">
        <v>7</v>
      </c>
      <c r="D468">
        <v>2</v>
      </c>
      <c r="E468">
        <v>1</v>
      </c>
      <c r="F468">
        <v>260</v>
      </c>
      <c r="G468">
        <v>50</v>
      </c>
      <c r="H468">
        <v>11</v>
      </c>
      <c r="I468">
        <v>36</v>
      </c>
      <c r="J468">
        <v>230290</v>
      </c>
      <c r="K468">
        <v>92</v>
      </c>
      <c r="L468">
        <v>0</v>
      </c>
      <c r="M468">
        <v>1</v>
      </c>
      <c r="N468">
        <v>4</v>
      </c>
      <c r="O468">
        <v>1</v>
      </c>
      <c r="P468">
        <v>0</v>
      </c>
      <c r="Q468">
        <v>0</v>
      </c>
      <c r="R468">
        <v>65</v>
      </c>
      <c r="S468">
        <v>168</v>
      </c>
      <c r="T468">
        <v>23</v>
      </c>
      <c r="U468">
        <v>4</v>
      </c>
    </row>
    <row r="469" spans="1:21" x14ac:dyDescent="0.3">
      <c r="A469">
        <v>34</v>
      </c>
      <c r="B469">
        <v>28</v>
      </c>
      <c r="C469">
        <v>7</v>
      </c>
      <c r="D469">
        <v>3</v>
      </c>
      <c r="E469">
        <v>1</v>
      </c>
      <c r="F469">
        <v>118</v>
      </c>
      <c r="G469">
        <v>10</v>
      </c>
      <c r="H469">
        <v>10</v>
      </c>
      <c r="I469">
        <v>37</v>
      </c>
      <c r="J469">
        <v>230290</v>
      </c>
      <c r="K469">
        <v>92</v>
      </c>
      <c r="L469">
        <v>0</v>
      </c>
      <c r="M469">
        <v>1</v>
      </c>
      <c r="N469">
        <v>0</v>
      </c>
      <c r="O469">
        <v>0</v>
      </c>
      <c r="P469">
        <v>0</v>
      </c>
      <c r="Q469">
        <v>0</v>
      </c>
      <c r="R469">
        <v>83</v>
      </c>
      <c r="S469">
        <v>172</v>
      </c>
      <c r="T469">
        <v>28</v>
      </c>
      <c r="U469">
        <v>8</v>
      </c>
    </row>
    <row r="470" spans="1:21" x14ac:dyDescent="0.3">
      <c r="A470">
        <v>26</v>
      </c>
      <c r="B470">
        <v>15</v>
      </c>
      <c r="C470">
        <v>7</v>
      </c>
      <c r="D470">
        <v>2</v>
      </c>
      <c r="E470">
        <v>1</v>
      </c>
      <c r="F470">
        <v>300</v>
      </c>
      <c r="G470">
        <v>26</v>
      </c>
      <c r="H470">
        <v>13</v>
      </c>
      <c r="I470">
        <v>43</v>
      </c>
      <c r="J470">
        <v>230290</v>
      </c>
      <c r="K470">
        <v>92</v>
      </c>
      <c r="L470">
        <v>0</v>
      </c>
      <c r="M470">
        <v>1</v>
      </c>
      <c r="N470">
        <v>2</v>
      </c>
      <c r="O470">
        <v>1</v>
      </c>
      <c r="P470">
        <v>1</v>
      </c>
      <c r="Q470">
        <v>1</v>
      </c>
      <c r="R470">
        <v>77</v>
      </c>
      <c r="S470">
        <v>175</v>
      </c>
      <c r="T470">
        <v>25</v>
      </c>
      <c r="U470">
        <v>8</v>
      </c>
    </row>
    <row r="471" spans="1:21" x14ac:dyDescent="0.3">
      <c r="A471">
        <v>2</v>
      </c>
      <c r="B471">
        <v>23</v>
      </c>
      <c r="C471">
        <v>7</v>
      </c>
      <c r="D471">
        <v>2</v>
      </c>
      <c r="E471">
        <v>1</v>
      </c>
      <c r="F471">
        <v>235</v>
      </c>
      <c r="G471">
        <v>29</v>
      </c>
      <c r="H471">
        <v>12</v>
      </c>
      <c r="I471">
        <v>48</v>
      </c>
      <c r="J471">
        <v>230290</v>
      </c>
      <c r="K471">
        <v>92</v>
      </c>
      <c r="L471">
        <v>0</v>
      </c>
      <c r="M471">
        <v>1</v>
      </c>
      <c r="N471">
        <v>1</v>
      </c>
      <c r="O471">
        <v>0</v>
      </c>
      <c r="P471">
        <v>1</v>
      </c>
      <c r="Q471">
        <v>5</v>
      </c>
      <c r="R471">
        <v>88</v>
      </c>
      <c r="S471">
        <v>163</v>
      </c>
      <c r="T471">
        <v>33</v>
      </c>
      <c r="U471">
        <v>1</v>
      </c>
    </row>
    <row r="472" spans="1:21" x14ac:dyDescent="0.3">
      <c r="A472">
        <v>24</v>
      </c>
      <c r="B472">
        <v>28</v>
      </c>
      <c r="C472">
        <v>7</v>
      </c>
      <c r="D472">
        <v>3</v>
      </c>
      <c r="E472">
        <v>1</v>
      </c>
      <c r="F472">
        <v>246</v>
      </c>
      <c r="G472">
        <v>25</v>
      </c>
      <c r="H472">
        <v>16</v>
      </c>
      <c r="I472">
        <v>41</v>
      </c>
      <c r="J472">
        <v>230290</v>
      </c>
      <c r="K472">
        <v>92</v>
      </c>
      <c r="L472">
        <v>0</v>
      </c>
      <c r="M472">
        <v>1</v>
      </c>
      <c r="N472">
        <v>0</v>
      </c>
      <c r="O472">
        <v>1</v>
      </c>
      <c r="P472">
        <v>0</v>
      </c>
      <c r="Q472">
        <v>0</v>
      </c>
      <c r="R472">
        <v>67</v>
      </c>
      <c r="S472">
        <v>170</v>
      </c>
      <c r="T472">
        <v>23</v>
      </c>
      <c r="U472">
        <v>2</v>
      </c>
    </row>
    <row r="473" spans="1:21" x14ac:dyDescent="0.3">
      <c r="A473">
        <v>28</v>
      </c>
      <c r="B473">
        <v>9</v>
      </c>
      <c r="C473">
        <v>7</v>
      </c>
      <c r="D473">
        <v>3</v>
      </c>
      <c r="E473">
        <v>1</v>
      </c>
      <c r="F473">
        <v>225</v>
      </c>
      <c r="G473">
        <v>26</v>
      </c>
      <c r="H473">
        <v>9</v>
      </c>
      <c r="I473">
        <v>28</v>
      </c>
      <c r="J473">
        <v>230290</v>
      </c>
      <c r="K473">
        <v>92</v>
      </c>
      <c r="L473">
        <v>0</v>
      </c>
      <c r="M473">
        <v>1</v>
      </c>
      <c r="N473">
        <v>1</v>
      </c>
      <c r="O473">
        <v>0</v>
      </c>
      <c r="P473">
        <v>0</v>
      </c>
      <c r="Q473">
        <v>2</v>
      </c>
      <c r="R473">
        <v>69</v>
      </c>
      <c r="S473">
        <v>169</v>
      </c>
      <c r="T473">
        <v>24</v>
      </c>
      <c r="U473">
        <v>112</v>
      </c>
    </row>
    <row r="474" spans="1:21" x14ac:dyDescent="0.3">
      <c r="A474">
        <v>3</v>
      </c>
      <c r="B474">
        <v>28</v>
      </c>
      <c r="C474">
        <v>7</v>
      </c>
      <c r="D474">
        <v>3</v>
      </c>
      <c r="E474">
        <v>1</v>
      </c>
      <c r="F474">
        <v>179</v>
      </c>
      <c r="G474">
        <v>51</v>
      </c>
      <c r="H474">
        <v>18</v>
      </c>
      <c r="I474">
        <v>38</v>
      </c>
      <c r="J474">
        <v>230290</v>
      </c>
      <c r="K474">
        <v>92</v>
      </c>
      <c r="L474">
        <v>0</v>
      </c>
      <c r="M474">
        <v>1</v>
      </c>
      <c r="N474">
        <v>0</v>
      </c>
      <c r="O474">
        <v>1</v>
      </c>
      <c r="P474">
        <v>0</v>
      </c>
      <c r="Q474">
        <v>0</v>
      </c>
      <c r="R474">
        <v>89</v>
      </c>
      <c r="S474">
        <v>170</v>
      </c>
      <c r="T474">
        <v>31</v>
      </c>
      <c r="U474">
        <v>1</v>
      </c>
    </row>
    <row r="475" spans="1:21" x14ac:dyDescent="0.3">
      <c r="A475">
        <v>36</v>
      </c>
      <c r="B475">
        <v>23</v>
      </c>
      <c r="C475">
        <v>7</v>
      </c>
      <c r="D475">
        <v>6</v>
      </c>
      <c r="E475">
        <v>1</v>
      </c>
      <c r="F475">
        <v>118</v>
      </c>
      <c r="G475">
        <v>13</v>
      </c>
      <c r="H475">
        <v>18</v>
      </c>
      <c r="I475">
        <v>50</v>
      </c>
      <c r="J475">
        <v>230290</v>
      </c>
      <c r="K475">
        <v>92</v>
      </c>
      <c r="L475">
        <v>0</v>
      </c>
      <c r="M475">
        <v>1</v>
      </c>
      <c r="N475">
        <v>1</v>
      </c>
      <c r="O475">
        <v>1</v>
      </c>
      <c r="P475">
        <v>0</v>
      </c>
      <c r="Q475">
        <v>0</v>
      </c>
      <c r="R475">
        <v>98</v>
      </c>
      <c r="S475">
        <v>178</v>
      </c>
      <c r="T475">
        <v>31</v>
      </c>
      <c r="U475">
        <v>1</v>
      </c>
    </row>
    <row r="476" spans="1:21" x14ac:dyDescent="0.3">
      <c r="A476">
        <v>10</v>
      </c>
      <c r="B476">
        <v>22</v>
      </c>
      <c r="C476">
        <v>7</v>
      </c>
      <c r="D476">
        <v>6</v>
      </c>
      <c r="E476">
        <v>1</v>
      </c>
      <c r="F476">
        <v>361</v>
      </c>
      <c r="G476">
        <v>52</v>
      </c>
      <c r="H476">
        <v>3</v>
      </c>
      <c r="I476">
        <v>28</v>
      </c>
      <c r="J476">
        <v>230290</v>
      </c>
      <c r="K476">
        <v>92</v>
      </c>
      <c r="L476">
        <v>0</v>
      </c>
      <c r="M476">
        <v>1</v>
      </c>
      <c r="N476">
        <v>1</v>
      </c>
      <c r="O476">
        <v>1</v>
      </c>
      <c r="P476">
        <v>0</v>
      </c>
      <c r="Q476">
        <v>4</v>
      </c>
      <c r="R476">
        <v>80</v>
      </c>
      <c r="S476">
        <v>172</v>
      </c>
      <c r="T476">
        <v>27</v>
      </c>
      <c r="U476">
        <v>8</v>
      </c>
    </row>
    <row r="477" spans="1:21" x14ac:dyDescent="0.3">
      <c r="A477">
        <v>11</v>
      </c>
      <c r="B477">
        <v>22</v>
      </c>
      <c r="C477">
        <v>7</v>
      </c>
      <c r="D477">
        <v>2</v>
      </c>
      <c r="E477">
        <v>1</v>
      </c>
      <c r="F477">
        <v>289</v>
      </c>
      <c r="G477">
        <v>36</v>
      </c>
      <c r="H477">
        <v>13</v>
      </c>
      <c r="I477">
        <v>33</v>
      </c>
      <c r="J477">
        <v>230290</v>
      </c>
      <c r="K477">
        <v>92</v>
      </c>
      <c r="L477">
        <v>0</v>
      </c>
      <c r="M477">
        <v>1</v>
      </c>
      <c r="N477">
        <v>2</v>
      </c>
      <c r="O477">
        <v>1</v>
      </c>
      <c r="P477">
        <v>0</v>
      </c>
      <c r="Q477">
        <v>1</v>
      </c>
      <c r="R477">
        <v>90</v>
      </c>
      <c r="S477">
        <v>172</v>
      </c>
      <c r="T477">
        <v>30</v>
      </c>
      <c r="U477">
        <v>8</v>
      </c>
    </row>
    <row r="478" spans="1:21" x14ac:dyDescent="0.3">
      <c r="A478">
        <v>5</v>
      </c>
      <c r="B478">
        <v>26</v>
      </c>
      <c r="C478">
        <v>7</v>
      </c>
      <c r="D478">
        <v>2</v>
      </c>
      <c r="E478">
        <v>1</v>
      </c>
      <c r="F478">
        <v>235</v>
      </c>
      <c r="G478">
        <v>20</v>
      </c>
      <c r="H478">
        <v>13</v>
      </c>
      <c r="I478">
        <v>43</v>
      </c>
      <c r="J478">
        <v>230290</v>
      </c>
      <c r="K478">
        <v>92</v>
      </c>
      <c r="L478">
        <v>0</v>
      </c>
      <c r="M478">
        <v>1</v>
      </c>
      <c r="N478">
        <v>1</v>
      </c>
      <c r="O478">
        <v>1</v>
      </c>
      <c r="P478">
        <v>0</v>
      </c>
      <c r="Q478">
        <v>0</v>
      </c>
      <c r="R478">
        <v>106</v>
      </c>
      <c r="S478">
        <v>167</v>
      </c>
      <c r="T478">
        <v>38</v>
      </c>
      <c r="U478">
        <v>8</v>
      </c>
    </row>
    <row r="479" spans="1:21" x14ac:dyDescent="0.3">
      <c r="A479">
        <v>24</v>
      </c>
      <c r="B479">
        <v>28</v>
      </c>
      <c r="C479">
        <v>7</v>
      </c>
      <c r="D479">
        <v>3</v>
      </c>
      <c r="E479">
        <v>1</v>
      </c>
      <c r="F479">
        <v>246</v>
      </c>
      <c r="G479">
        <v>25</v>
      </c>
      <c r="H479">
        <v>16</v>
      </c>
      <c r="I479">
        <v>41</v>
      </c>
      <c r="J479">
        <v>230290</v>
      </c>
      <c r="K479">
        <v>92</v>
      </c>
      <c r="L479">
        <v>0</v>
      </c>
      <c r="M479">
        <v>1</v>
      </c>
      <c r="N479">
        <v>0</v>
      </c>
      <c r="O479">
        <v>1</v>
      </c>
      <c r="P479">
        <v>0</v>
      </c>
      <c r="Q479">
        <v>0</v>
      </c>
      <c r="R479">
        <v>67</v>
      </c>
      <c r="S479">
        <v>170</v>
      </c>
      <c r="T479">
        <v>23</v>
      </c>
      <c r="U479">
        <v>2</v>
      </c>
    </row>
    <row r="480" spans="1:21" x14ac:dyDescent="0.3">
      <c r="A480">
        <v>15</v>
      </c>
      <c r="B480">
        <v>28</v>
      </c>
      <c r="C480">
        <v>7</v>
      </c>
      <c r="D480">
        <v>5</v>
      </c>
      <c r="E480">
        <v>1</v>
      </c>
      <c r="F480">
        <v>291</v>
      </c>
      <c r="G480">
        <v>31</v>
      </c>
      <c r="H480">
        <v>12</v>
      </c>
      <c r="I480">
        <v>40</v>
      </c>
      <c r="J480">
        <v>230290</v>
      </c>
      <c r="K480">
        <v>92</v>
      </c>
      <c r="L480">
        <v>0</v>
      </c>
      <c r="M480">
        <v>1</v>
      </c>
      <c r="N480">
        <v>1</v>
      </c>
      <c r="O480">
        <v>1</v>
      </c>
      <c r="P480">
        <v>0</v>
      </c>
      <c r="Q480">
        <v>1</v>
      </c>
      <c r="R480">
        <v>73</v>
      </c>
      <c r="S480">
        <v>171</v>
      </c>
      <c r="T480">
        <v>25</v>
      </c>
      <c r="U480">
        <v>1</v>
      </c>
    </row>
    <row r="481" spans="1:21" x14ac:dyDescent="0.3">
      <c r="A481">
        <v>7</v>
      </c>
      <c r="B481">
        <v>23</v>
      </c>
      <c r="C481">
        <v>7</v>
      </c>
      <c r="D481">
        <v>5</v>
      </c>
      <c r="E481">
        <v>1</v>
      </c>
      <c r="F481">
        <v>279</v>
      </c>
      <c r="G481">
        <v>5</v>
      </c>
      <c r="H481">
        <v>14</v>
      </c>
      <c r="I481">
        <v>39</v>
      </c>
      <c r="J481">
        <v>230290</v>
      </c>
      <c r="K481">
        <v>92</v>
      </c>
      <c r="L481">
        <v>0</v>
      </c>
      <c r="M481">
        <v>1</v>
      </c>
      <c r="N481">
        <v>2</v>
      </c>
      <c r="O481">
        <v>1</v>
      </c>
      <c r="P481">
        <v>1</v>
      </c>
      <c r="Q481">
        <v>0</v>
      </c>
      <c r="R481">
        <v>68</v>
      </c>
      <c r="S481">
        <v>168</v>
      </c>
      <c r="T481">
        <v>24</v>
      </c>
      <c r="U481">
        <v>2</v>
      </c>
    </row>
    <row r="482" spans="1:21" x14ac:dyDescent="0.3">
      <c r="A482">
        <v>3</v>
      </c>
      <c r="B482">
        <v>25</v>
      </c>
      <c r="C482">
        <v>8</v>
      </c>
      <c r="D482">
        <v>5</v>
      </c>
      <c r="E482">
        <v>1</v>
      </c>
      <c r="F482">
        <v>179</v>
      </c>
      <c r="G482">
        <v>51</v>
      </c>
      <c r="H482">
        <v>18</v>
      </c>
      <c r="I482">
        <v>38</v>
      </c>
      <c r="J482">
        <v>249797</v>
      </c>
      <c r="K482">
        <v>93</v>
      </c>
      <c r="L482">
        <v>0</v>
      </c>
      <c r="M482">
        <v>1</v>
      </c>
      <c r="N482">
        <v>0</v>
      </c>
      <c r="O482">
        <v>1</v>
      </c>
      <c r="P482">
        <v>0</v>
      </c>
      <c r="Q482">
        <v>0</v>
      </c>
      <c r="R482">
        <v>89</v>
      </c>
      <c r="S482">
        <v>170</v>
      </c>
      <c r="T482">
        <v>31</v>
      </c>
      <c r="U482">
        <v>4</v>
      </c>
    </row>
    <row r="483" spans="1:21" x14ac:dyDescent="0.3">
      <c r="A483">
        <v>17</v>
      </c>
      <c r="B483">
        <v>25</v>
      </c>
      <c r="C483">
        <v>8</v>
      </c>
      <c r="D483">
        <v>2</v>
      </c>
      <c r="E483">
        <v>1</v>
      </c>
      <c r="F483">
        <v>179</v>
      </c>
      <c r="G483">
        <v>22</v>
      </c>
      <c r="H483">
        <v>17</v>
      </c>
      <c r="I483">
        <v>40</v>
      </c>
      <c r="J483">
        <v>249797</v>
      </c>
      <c r="K483">
        <v>93</v>
      </c>
      <c r="L483">
        <v>0</v>
      </c>
      <c r="M483">
        <v>2</v>
      </c>
      <c r="N483">
        <v>2</v>
      </c>
      <c r="O483">
        <v>0</v>
      </c>
      <c r="P483">
        <v>1</v>
      </c>
      <c r="Q483">
        <v>0</v>
      </c>
      <c r="R483">
        <v>63</v>
      </c>
      <c r="S483">
        <v>170</v>
      </c>
      <c r="T483">
        <v>22</v>
      </c>
      <c r="U483">
        <v>1</v>
      </c>
    </row>
    <row r="484" spans="1:21" x14ac:dyDescent="0.3">
      <c r="A484">
        <v>24</v>
      </c>
      <c r="B484">
        <v>28</v>
      </c>
      <c r="C484">
        <v>8</v>
      </c>
      <c r="D484">
        <v>3</v>
      </c>
      <c r="E484">
        <v>1</v>
      </c>
      <c r="F484">
        <v>246</v>
      </c>
      <c r="G484">
        <v>25</v>
      </c>
      <c r="H484">
        <v>16</v>
      </c>
      <c r="I484">
        <v>41</v>
      </c>
      <c r="J484">
        <v>249797</v>
      </c>
      <c r="K484">
        <v>93</v>
      </c>
      <c r="L484">
        <v>0</v>
      </c>
      <c r="M484">
        <v>1</v>
      </c>
      <c r="N484">
        <v>0</v>
      </c>
      <c r="O484">
        <v>1</v>
      </c>
      <c r="P484">
        <v>0</v>
      </c>
      <c r="Q484">
        <v>0</v>
      </c>
      <c r="R484">
        <v>67</v>
      </c>
      <c r="S484">
        <v>170</v>
      </c>
      <c r="T484">
        <v>23</v>
      </c>
      <c r="U484">
        <v>4</v>
      </c>
    </row>
    <row r="485" spans="1:21" x14ac:dyDescent="0.3">
      <c r="A485">
        <v>34</v>
      </c>
      <c r="B485">
        <v>28</v>
      </c>
      <c r="C485">
        <v>8</v>
      </c>
      <c r="D485">
        <v>3</v>
      </c>
      <c r="E485">
        <v>1</v>
      </c>
      <c r="F485">
        <v>118</v>
      </c>
      <c r="G485">
        <v>10</v>
      </c>
      <c r="H485">
        <v>10</v>
      </c>
      <c r="I485">
        <v>37</v>
      </c>
      <c r="J485">
        <v>249797</v>
      </c>
      <c r="K485">
        <v>93</v>
      </c>
      <c r="L485">
        <v>0</v>
      </c>
      <c r="M485">
        <v>1</v>
      </c>
      <c r="N485">
        <v>0</v>
      </c>
      <c r="O485">
        <v>0</v>
      </c>
      <c r="P485">
        <v>0</v>
      </c>
      <c r="Q485">
        <v>0</v>
      </c>
      <c r="R485">
        <v>83</v>
      </c>
      <c r="S485">
        <v>172</v>
      </c>
      <c r="T485">
        <v>28</v>
      </c>
      <c r="U485">
        <v>4</v>
      </c>
    </row>
    <row r="486" spans="1:21" x14ac:dyDescent="0.3">
      <c r="A486">
        <v>11</v>
      </c>
      <c r="B486">
        <v>26</v>
      </c>
      <c r="C486">
        <v>8</v>
      </c>
      <c r="D486">
        <v>3</v>
      </c>
      <c r="E486">
        <v>1</v>
      </c>
      <c r="F486">
        <v>289</v>
      </c>
      <c r="G486">
        <v>36</v>
      </c>
      <c r="H486">
        <v>13</v>
      </c>
      <c r="I486">
        <v>33</v>
      </c>
      <c r="J486">
        <v>249797</v>
      </c>
      <c r="K486">
        <v>93</v>
      </c>
      <c r="L486">
        <v>0</v>
      </c>
      <c r="M486">
        <v>1</v>
      </c>
      <c r="N486">
        <v>2</v>
      </c>
      <c r="O486">
        <v>1</v>
      </c>
      <c r="P486">
        <v>0</v>
      </c>
      <c r="Q486">
        <v>1</v>
      </c>
      <c r="R486">
        <v>90</v>
      </c>
      <c r="S486">
        <v>172</v>
      </c>
      <c r="T486">
        <v>30</v>
      </c>
      <c r="U486">
        <v>8</v>
      </c>
    </row>
    <row r="487" spans="1:21" x14ac:dyDescent="0.3">
      <c r="A487">
        <v>5</v>
      </c>
      <c r="B487">
        <v>26</v>
      </c>
      <c r="C487">
        <v>8</v>
      </c>
      <c r="D487">
        <v>3</v>
      </c>
      <c r="E487">
        <v>1</v>
      </c>
      <c r="F487">
        <v>235</v>
      </c>
      <c r="G487">
        <v>20</v>
      </c>
      <c r="H487">
        <v>13</v>
      </c>
      <c r="I487">
        <v>43</v>
      </c>
      <c r="J487">
        <v>249797</v>
      </c>
      <c r="K487">
        <v>93</v>
      </c>
      <c r="L487">
        <v>0</v>
      </c>
      <c r="M487">
        <v>1</v>
      </c>
      <c r="N487">
        <v>1</v>
      </c>
      <c r="O487">
        <v>1</v>
      </c>
      <c r="P487">
        <v>0</v>
      </c>
      <c r="Q487">
        <v>0</v>
      </c>
      <c r="R487">
        <v>106</v>
      </c>
      <c r="S487">
        <v>167</v>
      </c>
      <c r="T487">
        <v>38</v>
      </c>
      <c r="U487">
        <v>8</v>
      </c>
    </row>
    <row r="488" spans="1:21" x14ac:dyDescent="0.3">
      <c r="A488">
        <v>15</v>
      </c>
      <c r="B488">
        <v>28</v>
      </c>
      <c r="C488">
        <v>8</v>
      </c>
      <c r="D488">
        <v>5</v>
      </c>
      <c r="E488">
        <v>1</v>
      </c>
      <c r="F488">
        <v>291</v>
      </c>
      <c r="G488">
        <v>31</v>
      </c>
      <c r="H488">
        <v>12</v>
      </c>
      <c r="I488">
        <v>40</v>
      </c>
      <c r="J488">
        <v>249797</v>
      </c>
      <c r="K488">
        <v>93</v>
      </c>
      <c r="L488">
        <v>0</v>
      </c>
      <c r="M488">
        <v>1</v>
      </c>
      <c r="N488">
        <v>1</v>
      </c>
      <c r="O488">
        <v>1</v>
      </c>
      <c r="P488">
        <v>0</v>
      </c>
      <c r="Q488">
        <v>1</v>
      </c>
      <c r="R488">
        <v>73</v>
      </c>
      <c r="S488">
        <v>171</v>
      </c>
      <c r="T488">
        <v>25</v>
      </c>
      <c r="U488">
        <v>4</v>
      </c>
    </row>
    <row r="489" spans="1:21" x14ac:dyDescent="0.3">
      <c r="A489">
        <v>3</v>
      </c>
      <c r="B489">
        <v>25</v>
      </c>
      <c r="C489">
        <v>8</v>
      </c>
      <c r="D489">
        <v>2</v>
      </c>
      <c r="E489">
        <v>1</v>
      </c>
      <c r="F489">
        <v>179</v>
      </c>
      <c r="G489">
        <v>51</v>
      </c>
      <c r="H489">
        <v>18</v>
      </c>
      <c r="I489">
        <v>38</v>
      </c>
      <c r="J489">
        <v>249797</v>
      </c>
      <c r="K489">
        <v>93</v>
      </c>
      <c r="L489">
        <v>0</v>
      </c>
      <c r="M489">
        <v>1</v>
      </c>
      <c r="N489">
        <v>0</v>
      </c>
      <c r="O489">
        <v>1</v>
      </c>
      <c r="P489">
        <v>0</v>
      </c>
      <c r="Q489">
        <v>0</v>
      </c>
      <c r="R489">
        <v>89</v>
      </c>
      <c r="S489">
        <v>170</v>
      </c>
      <c r="T489">
        <v>31</v>
      </c>
      <c r="U489">
        <v>4</v>
      </c>
    </row>
    <row r="490" spans="1:21" x14ac:dyDescent="0.3">
      <c r="A490">
        <v>17</v>
      </c>
      <c r="B490">
        <v>25</v>
      </c>
      <c r="C490">
        <v>8</v>
      </c>
      <c r="D490">
        <v>3</v>
      </c>
      <c r="E490">
        <v>1</v>
      </c>
      <c r="F490">
        <v>179</v>
      </c>
      <c r="G490">
        <v>22</v>
      </c>
      <c r="H490">
        <v>17</v>
      </c>
      <c r="I490">
        <v>40</v>
      </c>
      <c r="J490">
        <v>249797</v>
      </c>
      <c r="K490">
        <v>93</v>
      </c>
      <c r="L490">
        <v>0</v>
      </c>
      <c r="M490">
        <v>2</v>
      </c>
      <c r="N490">
        <v>2</v>
      </c>
      <c r="O490">
        <v>0</v>
      </c>
      <c r="P490">
        <v>1</v>
      </c>
      <c r="Q490">
        <v>0</v>
      </c>
      <c r="R490">
        <v>63</v>
      </c>
      <c r="S490">
        <v>170</v>
      </c>
      <c r="T490">
        <v>22</v>
      </c>
      <c r="U490">
        <v>8</v>
      </c>
    </row>
    <row r="491" spans="1:21" x14ac:dyDescent="0.3">
      <c r="A491">
        <v>18</v>
      </c>
      <c r="B491">
        <v>23</v>
      </c>
      <c r="C491">
        <v>8</v>
      </c>
      <c r="D491">
        <v>5</v>
      </c>
      <c r="E491">
        <v>1</v>
      </c>
      <c r="F491">
        <v>330</v>
      </c>
      <c r="G491">
        <v>16</v>
      </c>
      <c r="H491">
        <v>4</v>
      </c>
      <c r="I491">
        <v>28</v>
      </c>
      <c r="J491">
        <v>249797</v>
      </c>
      <c r="K491">
        <v>93</v>
      </c>
      <c r="L491">
        <v>0</v>
      </c>
      <c r="M491">
        <v>2</v>
      </c>
      <c r="N491">
        <v>0</v>
      </c>
      <c r="O491">
        <v>0</v>
      </c>
      <c r="P491">
        <v>0</v>
      </c>
      <c r="Q491">
        <v>0</v>
      </c>
      <c r="R491">
        <v>84</v>
      </c>
      <c r="S491">
        <v>182</v>
      </c>
      <c r="T491">
        <v>25</v>
      </c>
      <c r="U491">
        <v>16</v>
      </c>
    </row>
    <row r="492" spans="1:21" x14ac:dyDescent="0.3">
      <c r="A492">
        <v>1</v>
      </c>
      <c r="B492">
        <v>23</v>
      </c>
      <c r="C492">
        <v>8</v>
      </c>
      <c r="D492">
        <v>3</v>
      </c>
      <c r="E492">
        <v>1</v>
      </c>
      <c r="F492">
        <v>235</v>
      </c>
      <c r="G492">
        <v>11</v>
      </c>
      <c r="H492">
        <v>14</v>
      </c>
      <c r="I492">
        <v>37</v>
      </c>
      <c r="J492">
        <v>249797</v>
      </c>
      <c r="K492">
        <v>93</v>
      </c>
      <c r="L492">
        <v>0</v>
      </c>
      <c r="M492">
        <v>3</v>
      </c>
      <c r="N492">
        <v>1</v>
      </c>
      <c r="O492">
        <v>0</v>
      </c>
      <c r="P492">
        <v>0</v>
      </c>
      <c r="Q492">
        <v>1</v>
      </c>
      <c r="R492">
        <v>88</v>
      </c>
      <c r="S492">
        <v>172</v>
      </c>
      <c r="T492">
        <v>29</v>
      </c>
      <c r="U492">
        <v>4</v>
      </c>
    </row>
    <row r="493" spans="1:21" x14ac:dyDescent="0.3">
      <c r="A493">
        <v>24</v>
      </c>
      <c r="B493">
        <v>28</v>
      </c>
      <c r="C493">
        <v>8</v>
      </c>
      <c r="D493">
        <v>3</v>
      </c>
      <c r="E493">
        <v>1</v>
      </c>
      <c r="F493">
        <v>246</v>
      </c>
      <c r="G493">
        <v>25</v>
      </c>
      <c r="H493">
        <v>16</v>
      </c>
      <c r="I493">
        <v>41</v>
      </c>
      <c r="J493">
        <v>249797</v>
      </c>
      <c r="K493">
        <v>93</v>
      </c>
      <c r="L493">
        <v>0</v>
      </c>
      <c r="M493">
        <v>1</v>
      </c>
      <c r="N493">
        <v>0</v>
      </c>
      <c r="O493">
        <v>1</v>
      </c>
      <c r="P493">
        <v>0</v>
      </c>
      <c r="Q493">
        <v>0</v>
      </c>
      <c r="R493">
        <v>67</v>
      </c>
      <c r="S493">
        <v>170</v>
      </c>
      <c r="T493">
        <v>23</v>
      </c>
      <c r="U493">
        <v>1</v>
      </c>
    </row>
    <row r="494" spans="1:21" x14ac:dyDescent="0.3">
      <c r="A494">
        <v>34</v>
      </c>
      <c r="B494">
        <v>28</v>
      </c>
      <c r="C494">
        <v>8</v>
      </c>
      <c r="D494">
        <v>3</v>
      </c>
      <c r="E494">
        <v>1</v>
      </c>
      <c r="F494">
        <v>118</v>
      </c>
      <c r="G494">
        <v>10</v>
      </c>
      <c r="H494">
        <v>10</v>
      </c>
      <c r="I494">
        <v>37</v>
      </c>
      <c r="J494">
        <v>249797</v>
      </c>
      <c r="K494">
        <v>93</v>
      </c>
      <c r="L494">
        <v>0</v>
      </c>
      <c r="M494">
        <v>1</v>
      </c>
      <c r="N494">
        <v>0</v>
      </c>
      <c r="O494">
        <v>0</v>
      </c>
      <c r="P494">
        <v>0</v>
      </c>
      <c r="Q494">
        <v>0</v>
      </c>
      <c r="R494">
        <v>83</v>
      </c>
      <c r="S494">
        <v>172</v>
      </c>
      <c r="T494">
        <v>28</v>
      </c>
      <c r="U494">
        <v>5</v>
      </c>
    </row>
    <row r="495" spans="1:21" x14ac:dyDescent="0.3">
      <c r="A495">
        <v>15</v>
      </c>
      <c r="B495">
        <v>28</v>
      </c>
      <c r="C495">
        <v>8</v>
      </c>
      <c r="D495">
        <v>5</v>
      </c>
      <c r="E495">
        <v>1</v>
      </c>
      <c r="F495">
        <v>291</v>
      </c>
      <c r="G495">
        <v>31</v>
      </c>
      <c r="H495">
        <v>12</v>
      </c>
      <c r="I495">
        <v>40</v>
      </c>
      <c r="J495">
        <v>249797</v>
      </c>
      <c r="K495">
        <v>93</v>
      </c>
      <c r="L495">
        <v>0</v>
      </c>
      <c r="M495">
        <v>1</v>
      </c>
      <c r="N495">
        <v>1</v>
      </c>
      <c r="O495">
        <v>1</v>
      </c>
      <c r="P495">
        <v>0</v>
      </c>
      <c r="Q495">
        <v>1</v>
      </c>
      <c r="R495">
        <v>73</v>
      </c>
      <c r="S495">
        <v>171</v>
      </c>
      <c r="T495">
        <v>25</v>
      </c>
      <c r="U495">
        <v>2</v>
      </c>
    </row>
    <row r="496" spans="1:21" x14ac:dyDescent="0.3">
      <c r="A496">
        <v>20</v>
      </c>
      <c r="B496">
        <v>28</v>
      </c>
      <c r="C496">
        <v>8</v>
      </c>
      <c r="D496">
        <v>2</v>
      </c>
      <c r="E496">
        <v>1</v>
      </c>
      <c r="F496">
        <v>260</v>
      </c>
      <c r="G496">
        <v>50</v>
      </c>
      <c r="H496">
        <v>11</v>
      </c>
      <c r="I496">
        <v>36</v>
      </c>
      <c r="J496">
        <v>249797</v>
      </c>
      <c r="K496">
        <v>93</v>
      </c>
      <c r="L496">
        <v>0</v>
      </c>
      <c r="M496">
        <v>1</v>
      </c>
      <c r="N496">
        <v>4</v>
      </c>
      <c r="O496">
        <v>1</v>
      </c>
      <c r="P496">
        <v>0</v>
      </c>
      <c r="Q496">
        <v>0</v>
      </c>
      <c r="R496">
        <v>65</v>
      </c>
      <c r="S496">
        <v>168</v>
      </c>
      <c r="T496">
        <v>23</v>
      </c>
      <c r="U496">
        <v>3</v>
      </c>
    </row>
    <row r="497" spans="1:21" x14ac:dyDescent="0.3">
      <c r="A497">
        <v>24</v>
      </c>
      <c r="B497">
        <v>28</v>
      </c>
      <c r="C497">
        <v>9</v>
      </c>
      <c r="D497">
        <v>3</v>
      </c>
      <c r="E497">
        <v>1</v>
      </c>
      <c r="F497">
        <v>246</v>
      </c>
      <c r="G497">
        <v>25</v>
      </c>
      <c r="H497">
        <v>16</v>
      </c>
      <c r="I497">
        <v>41</v>
      </c>
      <c r="J497">
        <v>261756</v>
      </c>
      <c r="K497">
        <v>87</v>
      </c>
      <c r="L497">
        <v>0</v>
      </c>
      <c r="M497">
        <v>1</v>
      </c>
      <c r="N497">
        <v>0</v>
      </c>
      <c r="O497">
        <v>1</v>
      </c>
      <c r="P497">
        <v>0</v>
      </c>
      <c r="Q497">
        <v>0</v>
      </c>
      <c r="R497">
        <v>67</v>
      </c>
      <c r="S497">
        <v>170</v>
      </c>
      <c r="T497">
        <v>23</v>
      </c>
      <c r="U497">
        <v>1</v>
      </c>
    </row>
    <row r="498" spans="1:21" x14ac:dyDescent="0.3">
      <c r="A498">
        <v>24</v>
      </c>
      <c r="B498">
        <v>28</v>
      </c>
      <c r="C498">
        <v>9</v>
      </c>
      <c r="D498">
        <v>3</v>
      </c>
      <c r="E498">
        <v>1</v>
      </c>
      <c r="F498">
        <v>246</v>
      </c>
      <c r="G498">
        <v>25</v>
      </c>
      <c r="H498">
        <v>16</v>
      </c>
      <c r="I498">
        <v>41</v>
      </c>
      <c r="J498">
        <v>261756</v>
      </c>
      <c r="K498">
        <v>87</v>
      </c>
      <c r="L498">
        <v>0</v>
      </c>
      <c r="M498">
        <v>1</v>
      </c>
      <c r="N498">
        <v>0</v>
      </c>
      <c r="O498">
        <v>1</v>
      </c>
      <c r="P498">
        <v>0</v>
      </c>
      <c r="Q498">
        <v>0</v>
      </c>
      <c r="R498">
        <v>67</v>
      </c>
      <c r="S498">
        <v>170</v>
      </c>
      <c r="T498">
        <v>23</v>
      </c>
      <c r="U498">
        <v>1</v>
      </c>
    </row>
    <row r="499" spans="1:21" x14ac:dyDescent="0.3">
      <c r="A499">
        <v>34</v>
      </c>
      <c r="B499">
        <v>28</v>
      </c>
      <c r="C499">
        <v>9</v>
      </c>
      <c r="D499">
        <v>3</v>
      </c>
      <c r="E499">
        <v>1</v>
      </c>
      <c r="F499">
        <v>118</v>
      </c>
      <c r="G499">
        <v>10</v>
      </c>
      <c r="H499">
        <v>10</v>
      </c>
      <c r="I499">
        <v>37</v>
      </c>
      <c r="J499">
        <v>261756</v>
      </c>
      <c r="K499">
        <v>87</v>
      </c>
      <c r="L499">
        <v>0</v>
      </c>
      <c r="M499">
        <v>1</v>
      </c>
      <c r="N499">
        <v>0</v>
      </c>
      <c r="O499">
        <v>0</v>
      </c>
      <c r="P499">
        <v>0</v>
      </c>
      <c r="Q499">
        <v>0</v>
      </c>
      <c r="R499">
        <v>83</v>
      </c>
      <c r="S499">
        <v>172</v>
      </c>
      <c r="T499">
        <v>28</v>
      </c>
      <c r="U499">
        <v>3</v>
      </c>
    </row>
    <row r="500" spans="1:21" x14ac:dyDescent="0.3">
      <c r="A500">
        <v>14</v>
      </c>
      <c r="B500">
        <v>23</v>
      </c>
      <c r="C500">
        <v>9</v>
      </c>
      <c r="D500">
        <v>3</v>
      </c>
      <c r="E500">
        <v>1</v>
      </c>
      <c r="F500">
        <v>155</v>
      </c>
      <c r="G500">
        <v>12</v>
      </c>
      <c r="H500">
        <v>14</v>
      </c>
      <c r="I500">
        <v>34</v>
      </c>
      <c r="J500">
        <v>261756</v>
      </c>
      <c r="K500">
        <v>87</v>
      </c>
      <c r="L500">
        <v>0</v>
      </c>
      <c r="M500">
        <v>1</v>
      </c>
      <c r="N500">
        <v>2</v>
      </c>
      <c r="O500">
        <v>1</v>
      </c>
      <c r="P500">
        <v>0</v>
      </c>
      <c r="Q500">
        <v>0</v>
      </c>
      <c r="R500">
        <v>95</v>
      </c>
      <c r="S500">
        <v>196</v>
      </c>
      <c r="T500">
        <v>25</v>
      </c>
      <c r="U500">
        <v>2</v>
      </c>
    </row>
    <row r="501" spans="1:21" x14ac:dyDescent="0.3">
      <c r="A501">
        <v>15</v>
      </c>
      <c r="B501">
        <v>28</v>
      </c>
      <c r="C501">
        <v>9</v>
      </c>
      <c r="D501">
        <v>5</v>
      </c>
      <c r="E501">
        <v>1</v>
      </c>
      <c r="F501">
        <v>291</v>
      </c>
      <c r="G501">
        <v>31</v>
      </c>
      <c r="H501">
        <v>12</v>
      </c>
      <c r="I501">
        <v>40</v>
      </c>
      <c r="J501">
        <v>261756</v>
      </c>
      <c r="K501">
        <v>87</v>
      </c>
      <c r="L501">
        <v>0</v>
      </c>
      <c r="M501">
        <v>1</v>
      </c>
      <c r="N501">
        <v>1</v>
      </c>
      <c r="O501">
        <v>1</v>
      </c>
      <c r="P501">
        <v>0</v>
      </c>
      <c r="Q501">
        <v>1</v>
      </c>
      <c r="R501">
        <v>73</v>
      </c>
      <c r="S501">
        <v>171</v>
      </c>
      <c r="T501">
        <v>25</v>
      </c>
      <c r="U501">
        <v>2</v>
      </c>
    </row>
    <row r="502" spans="1:21" x14ac:dyDescent="0.3">
      <c r="A502">
        <v>22</v>
      </c>
      <c r="B502">
        <v>23</v>
      </c>
      <c r="C502">
        <v>9</v>
      </c>
      <c r="D502">
        <v>6</v>
      </c>
      <c r="E502">
        <v>1</v>
      </c>
      <c r="F502">
        <v>179</v>
      </c>
      <c r="G502">
        <v>26</v>
      </c>
      <c r="H502">
        <v>9</v>
      </c>
      <c r="I502">
        <v>30</v>
      </c>
      <c r="J502">
        <v>261756</v>
      </c>
      <c r="K502">
        <v>87</v>
      </c>
      <c r="L502">
        <v>0</v>
      </c>
      <c r="M502">
        <v>3</v>
      </c>
      <c r="N502">
        <v>0</v>
      </c>
      <c r="O502">
        <v>0</v>
      </c>
      <c r="P502">
        <v>0</v>
      </c>
      <c r="Q502">
        <v>0</v>
      </c>
      <c r="R502">
        <v>56</v>
      </c>
      <c r="S502">
        <v>171</v>
      </c>
      <c r="T502">
        <v>19</v>
      </c>
      <c r="U502">
        <v>8</v>
      </c>
    </row>
    <row r="503" spans="1:21" x14ac:dyDescent="0.3">
      <c r="A503">
        <v>33</v>
      </c>
      <c r="B503">
        <v>23</v>
      </c>
      <c r="C503">
        <v>9</v>
      </c>
      <c r="D503">
        <v>6</v>
      </c>
      <c r="E503">
        <v>1</v>
      </c>
      <c r="F503">
        <v>248</v>
      </c>
      <c r="G503">
        <v>25</v>
      </c>
      <c r="H503">
        <v>14</v>
      </c>
      <c r="I503">
        <v>47</v>
      </c>
      <c r="J503">
        <v>261756</v>
      </c>
      <c r="K503">
        <v>87</v>
      </c>
      <c r="L503">
        <v>0</v>
      </c>
      <c r="M503">
        <v>1</v>
      </c>
      <c r="N503">
        <v>2</v>
      </c>
      <c r="O503">
        <v>0</v>
      </c>
      <c r="P503">
        <v>0</v>
      </c>
      <c r="Q503">
        <v>1</v>
      </c>
      <c r="R503">
        <v>86</v>
      </c>
      <c r="S503">
        <v>165</v>
      </c>
      <c r="T503">
        <v>32</v>
      </c>
      <c r="U503">
        <v>1</v>
      </c>
    </row>
    <row r="504" spans="1:21" x14ac:dyDescent="0.3">
      <c r="A504">
        <v>3</v>
      </c>
      <c r="B504">
        <v>23</v>
      </c>
      <c r="C504">
        <v>9</v>
      </c>
      <c r="D504">
        <v>2</v>
      </c>
      <c r="E504">
        <v>1</v>
      </c>
      <c r="F504">
        <v>179</v>
      </c>
      <c r="G504">
        <v>51</v>
      </c>
      <c r="H504">
        <v>18</v>
      </c>
      <c r="I504">
        <v>38</v>
      </c>
      <c r="J504">
        <v>261756</v>
      </c>
      <c r="K504">
        <v>87</v>
      </c>
      <c r="L504">
        <v>0</v>
      </c>
      <c r="M504">
        <v>1</v>
      </c>
      <c r="N504">
        <v>0</v>
      </c>
      <c r="O504">
        <v>1</v>
      </c>
      <c r="P504">
        <v>0</v>
      </c>
      <c r="Q504">
        <v>0</v>
      </c>
      <c r="R504">
        <v>89</v>
      </c>
      <c r="S504">
        <v>170</v>
      </c>
      <c r="T504">
        <v>31</v>
      </c>
      <c r="U504">
        <v>4</v>
      </c>
    </row>
    <row r="505" spans="1:21" x14ac:dyDescent="0.3">
      <c r="A505">
        <v>28</v>
      </c>
      <c r="B505">
        <v>23</v>
      </c>
      <c r="C505">
        <v>9</v>
      </c>
      <c r="D505">
        <v>4</v>
      </c>
      <c r="E505">
        <v>1</v>
      </c>
      <c r="F505">
        <v>225</v>
      </c>
      <c r="G505">
        <v>26</v>
      </c>
      <c r="H505">
        <v>9</v>
      </c>
      <c r="I505">
        <v>28</v>
      </c>
      <c r="J505">
        <v>261756</v>
      </c>
      <c r="K505">
        <v>87</v>
      </c>
      <c r="L505">
        <v>0</v>
      </c>
      <c r="M505">
        <v>1</v>
      </c>
      <c r="N505">
        <v>1</v>
      </c>
      <c r="O505">
        <v>0</v>
      </c>
      <c r="P505">
        <v>0</v>
      </c>
      <c r="Q505">
        <v>2</v>
      </c>
      <c r="R505">
        <v>69</v>
      </c>
      <c r="S505">
        <v>169</v>
      </c>
      <c r="T505">
        <v>24</v>
      </c>
      <c r="U505">
        <v>1</v>
      </c>
    </row>
    <row r="506" spans="1:21" x14ac:dyDescent="0.3">
      <c r="A506">
        <v>22</v>
      </c>
      <c r="B506">
        <v>23</v>
      </c>
      <c r="C506">
        <v>9</v>
      </c>
      <c r="D506">
        <v>2</v>
      </c>
      <c r="E506">
        <v>1</v>
      </c>
      <c r="F506">
        <v>179</v>
      </c>
      <c r="G506">
        <v>26</v>
      </c>
      <c r="H506">
        <v>9</v>
      </c>
      <c r="I506">
        <v>30</v>
      </c>
      <c r="J506">
        <v>261756</v>
      </c>
      <c r="K506">
        <v>87</v>
      </c>
      <c r="L506">
        <v>0</v>
      </c>
      <c r="M506">
        <v>3</v>
      </c>
      <c r="N506">
        <v>0</v>
      </c>
      <c r="O506">
        <v>0</v>
      </c>
      <c r="P506">
        <v>0</v>
      </c>
      <c r="Q506">
        <v>0</v>
      </c>
      <c r="R506">
        <v>56</v>
      </c>
      <c r="T506">
        <v>19</v>
      </c>
      <c r="U506">
        <v>2</v>
      </c>
    </row>
    <row r="507" spans="1:21" x14ac:dyDescent="0.3">
      <c r="A507">
        <v>13</v>
      </c>
      <c r="B507">
        <v>23</v>
      </c>
      <c r="C507">
        <v>9</v>
      </c>
      <c r="D507">
        <v>3</v>
      </c>
      <c r="E507">
        <v>4</v>
      </c>
      <c r="F507">
        <v>369</v>
      </c>
      <c r="G507">
        <v>17</v>
      </c>
      <c r="H507">
        <v>12</v>
      </c>
      <c r="I507">
        <v>31</v>
      </c>
      <c r="J507">
        <v>261756</v>
      </c>
      <c r="K507">
        <v>87</v>
      </c>
      <c r="L507">
        <v>0</v>
      </c>
      <c r="M507">
        <v>1</v>
      </c>
      <c r="N507">
        <v>3</v>
      </c>
      <c r="O507">
        <v>1</v>
      </c>
      <c r="P507">
        <v>0</v>
      </c>
      <c r="Q507">
        <v>0</v>
      </c>
      <c r="R507">
        <v>70</v>
      </c>
      <c r="T507">
        <v>25</v>
      </c>
      <c r="U507">
        <v>8</v>
      </c>
    </row>
    <row r="508" spans="1:21" x14ac:dyDescent="0.3">
      <c r="A508">
        <v>10</v>
      </c>
      <c r="B508">
        <v>22</v>
      </c>
      <c r="C508">
        <v>9</v>
      </c>
      <c r="D508">
        <v>3</v>
      </c>
      <c r="E508">
        <v>4</v>
      </c>
      <c r="F508">
        <v>361</v>
      </c>
      <c r="G508">
        <v>52</v>
      </c>
      <c r="H508">
        <v>3</v>
      </c>
      <c r="I508">
        <v>28</v>
      </c>
      <c r="J508">
        <v>261756</v>
      </c>
      <c r="K508">
        <v>87</v>
      </c>
      <c r="L508">
        <v>0</v>
      </c>
      <c r="M508">
        <v>1</v>
      </c>
      <c r="N508">
        <v>1</v>
      </c>
      <c r="O508">
        <v>1</v>
      </c>
      <c r="P508">
        <v>0</v>
      </c>
      <c r="Q508">
        <v>4</v>
      </c>
      <c r="R508">
        <v>80</v>
      </c>
      <c r="S508">
        <v>172</v>
      </c>
      <c r="T508">
        <v>27</v>
      </c>
      <c r="U508">
        <v>8</v>
      </c>
    </row>
    <row r="509" spans="1:21" x14ac:dyDescent="0.3">
      <c r="A509">
        <v>32</v>
      </c>
      <c r="B509">
        <v>4</v>
      </c>
      <c r="C509">
        <v>10</v>
      </c>
      <c r="D509">
        <v>5</v>
      </c>
      <c r="E509">
        <v>4</v>
      </c>
      <c r="F509">
        <v>289</v>
      </c>
      <c r="G509">
        <v>48</v>
      </c>
      <c r="H509">
        <v>29</v>
      </c>
      <c r="I509">
        <v>49</v>
      </c>
      <c r="J509">
        <v>284853</v>
      </c>
      <c r="K509">
        <v>91</v>
      </c>
      <c r="L509">
        <v>0</v>
      </c>
      <c r="M509">
        <v>1</v>
      </c>
      <c r="N509">
        <v>0</v>
      </c>
      <c r="O509">
        <v>0</v>
      </c>
      <c r="P509">
        <v>0</v>
      </c>
      <c r="Q509">
        <v>2</v>
      </c>
      <c r="R509">
        <v>108</v>
      </c>
      <c r="S509">
        <v>172</v>
      </c>
      <c r="T509">
        <v>36</v>
      </c>
      <c r="U509">
        <v>1</v>
      </c>
    </row>
    <row r="510" spans="1:21" x14ac:dyDescent="0.3">
      <c r="A510">
        <v>25</v>
      </c>
      <c r="B510">
        <v>11</v>
      </c>
      <c r="C510">
        <v>10</v>
      </c>
      <c r="D510">
        <v>5</v>
      </c>
      <c r="E510">
        <v>4</v>
      </c>
      <c r="F510">
        <v>235</v>
      </c>
      <c r="G510">
        <v>16</v>
      </c>
      <c r="H510">
        <v>8</v>
      </c>
      <c r="I510">
        <v>32</v>
      </c>
      <c r="J510">
        <v>284853</v>
      </c>
      <c r="K510">
        <v>91</v>
      </c>
      <c r="L510">
        <v>0</v>
      </c>
      <c r="M510">
        <v>3</v>
      </c>
      <c r="N510">
        <v>0</v>
      </c>
      <c r="O510">
        <v>0</v>
      </c>
      <c r="P510">
        <v>0</v>
      </c>
      <c r="Q510">
        <v>0</v>
      </c>
      <c r="R510">
        <v>75</v>
      </c>
      <c r="S510">
        <v>178</v>
      </c>
      <c r="T510">
        <v>25</v>
      </c>
      <c r="U510">
        <v>3</v>
      </c>
    </row>
    <row r="511" spans="1:21" x14ac:dyDescent="0.3">
      <c r="A511">
        <v>24</v>
      </c>
      <c r="B511">
        <v>26</v>
      </c>
      <c r="C511">
        <v>10</v>
      </c>
      <c r="D511">
        <v>6</v>
      </c>
      <c r="E511">
        <v>4</v>
      </c>
      <c r="F511">
        <v>246</v>
      </c>
      <c r="G511">
        <v>25</v>
      </c>
      <c r="H511">
        <v>16</v>
      </c>
      <c r="I511">
        <v>41</v>
      </c>
      <c r="J511">
        <v>284853</v>
      </c>
      <c r="K511">
        <v>91</v>
      </c>
      <c r="L511">
        <v>0</v>
      </c>
      <c r="M511">
        <v>1</v>
      </c>
      <c r="N511">
        <v>0</v>
      </c>
      <c r="O511">
        <v>1</v>
      </c>
      <c r="P511">
        <v>0</v>
      </c>
      <c r="Q511">
        <v>0</v>
      </c>
      <c r="R511">
        <v>67</v>
      </c>
      <c r="T511">
        <v>23</v>
      </c>
      <c r="U511">
        <v>8</v>
      </c>
    </row>
    <row r="512" spans="1:21" x14ac:dyDescent="0.3">
      <c r="A512">
        <v>32</v>
      </c>
      <c r="B512">
        <v>14</v>
      </c>
      <c r="C512">
        <v>10</v>
      </c>
      <c r="D512">
        <v>4</v>
      </c>
      <c r="E512">
        <v>4</v>
      </c>
      <c r="F512">
        <v>289</v>
      </c>
      <c r="G512">
        <v>48</v>
      </c>
      <c r="H512">
        <v>29</v>
      </c>
      <c r="I512">
        <v>49</v>
      </c>
      <c r="J512">
        <v>284853</v>
      </c>
      <c r="K512">
        <v>91</v>
      </c>
      <c r="L512">
        <v>0</v>
      </c>
      <c r="M512">
        <v>1</v>
      </c>
      <c r="N512">
        <v>0</v>
      </c>
      <c r="O512">
        <v>0</v>
      </c>
      <c r="P512">
        <v>0</v>
      </c>
      <c r="Q512">
        <v>2</v>
      </c>
      <c r="R512">
        <v>108</v>
      </c>
      <c r="T512">
        <v>36</v>
      </c>
      <c r="U512">
        <v>3</v>
      </c>
    </row>
    <row r="513" spans="1:21" x14ac:dyDescent="0.3">
      <c r="A513">
        <v>15</v>
      </c>
      <c r="B513">
        <v>28</v>
      </c>
      <c r="C513">
        <v>10</v>
      </c>
      <c r="D513">
        <v>4</v>
      </c>
      <c r="E513">
        <v>4</v>
      </c>
      <c r="F513">
        <v>291</v>
      </c>
      <c r="G513">
        <v>31</v>
      </c>
      <c r="H513">
        <v>12</v>
      </c>
      <c r="I513">
        <v>40</v>
      </c>
      <c r="J513">
        <v>284853</v>
      </c>
      <c r="K513">
        <v>91</v>
      </c>
      <c r="L513">
        <v>0</v>
      </c>
      <c r="M513">
        <v>1</v>
      </c>
      <c r="N513">
        <v>1</v>
      </c>
      <c r="O513">
        <v>1</v>
      </c>
      <c r="P513">
        <v>0</v>
      </c>
      <c r="Q513">
        <v>1</v>
      </c>
      <c r="R513">
        <v>73</v>
      </c>
      <c r="S513">
        <v>171</v>
      </c>
      <c r="T513">
        <v>25</v>
      </c>
      <c r="U513">
        <v>2</v>
      </c>
    </row>
    <row r="514" spans="1:21" x14ac:dyDescent="0.3">
      <c r="A514">
        <v>34</v>
      </c>
      <c r="B514">
        <v>23</v>
      </c>
      <c r="C514">
        <v>10</v>
      </c>
      <c r="D514">
        <v>3</v>
      </c>
      <c r="E514">
        <v>4</v>
      </c>
      <c r="F514">
        <v>118</v>
      </c>
      <c r="G514">
        <v>10</v>
      </c>
      <c r="H514">
        <v>10</v>
      </c>
      <c r="I514">
        <v>37</v>
      </c>
      <c r="J514">
        <v>284853</v>
      </c>
      <c r="K514">
        <v>91</v>
      </c>
      <c r="L514">
        <v>0</v>
      </c>
      <c r="M514">
        <v>1</v>
      </c>
      <c r="N514">
        <v>0</v>
      </c>
      <c r="O514">
        <v>0</v>
      </c>
      <c r="P514">
        <v>0</v>
      </c>
      <c r="Q514">
        <v>0</v>
      </c>
      <c r="R514">
        <v>83</v>
      </c>
      <c r="S514">
        <v>172</v>
      </c>
      <c r="T514">
        <v>28</v>
      </c>
      <c r="U514">
        <v>2</v>
      </c>
    </row>
    <row r="515" spans="1:21" x14ac:dyDescent="0.3">
      <c r="A515">
        <v>32</v>
      </c>
      <c r="B515">
        <v>23</v>
      </c>
      <c r="C515">
        <v>10</v>
      </c>
      <c r="D515">
        <v>5</v>
      </c>
      <c r="E515">
        <v>4</v>
      </c>
      <c r="F515">
        <v>289</v>
      </c>
      <c r="G515">
        <v>48</v>
      </c>
      <c r="H515">
        <v>29</v>
      </c>
      <c r="I515">
        <v>49</v>
      </c>
      <c r="J515">
        <v>284853</v>
      </c>
      <c r="K515">
        <v>91</v>
      </c>
      <c r="L515">
        <v>0</v>
      </c>
      <c r="M515">
        <v>1</v>
      </c>
      <c r="N515">
        <v>0</v>
      </c>
      <c r="O515">
        <v>0</v>
      </c>
      <c r="P515">
        <v>0</v>
      </c>
      <c r="Q515">
        <v>2</v>
      </c>
      <c r="R515">
        <v>108</v>
      </c>
      <c r="S515">
        <v>172</v>
      </c>
      <c r="T515">
        <v>36</v>
      </c>
      <c r="U515">
        <v>2</v>
      </c>
    </row>
    <row r="516" spans="1:21" x14ac:dyDescent="0.3">
      <c r="A516">
        <v>15</v>
      </c>
      <c r="B516">
        <v>23</v>
      </c>
      <c r="C516">
        <v>10</v>
      </c>
      <c r="D516">
        <v>6</v>
      </c>
      <c r="E516">
        <v>4</v>
      </c>
      <c r="F516">
        <v>291</v>
      </c>
      <c r="G516">
        <v>31</v>
      </c>
      <c r="H516">
        <v>12</v>
      </c>
      <c r="I516">
        <v>40</v>
      </c>
      <c r="J516">
        <v>284853</v>
      </c>
      <c r="K516">
        <v>91</v>
      </c>
      <c r="L516">
        <v>0</v>
      </c>
      <c r="M516">
        <v>1</v>
      </c>
      <c r="N516">
        <v>1</v>
      </c>
      <c r="O516">
        <v>1</v>
      </c>
      <c r="P516">
        <v>0</v>
      </c>
      <c r="Q516">
        <v>1</v>
      </c>
      <c r="R516">
        <v>73</v>
      </c>
      <c r="S516">
        <v>171</v>
      </c>
      <c r="T516">
        <v>25</v>
      </c>
      <c r="U516">
        <v>1</v>
      </c>
    </row>
    <row r="517" spans="1:21" x14ac:dyDescent="0.3">
      <c r="A517">
        <v>28</v>
      </c>
      <c r="B517">
        <v>23</v>
      </c>
      <c r="C517">
        <v>10</v>
      </c>
      <c r="D517">
        <v>3</v>
      </c>
      <c r="E517">
        <v>4</v>
      </c>
      <c r="F517">
        <v>225</v>
      </c>
      <c r="G517">
        <v>26</v>
      </c>
      <c r="H517">
        <v>9</v>
      </c>
      <c r="I517">
        <v>28</v>
      </c>
      <c r="J517">
        <v>284853</v>
      </c>
      <c r="K517">
        <v>91</v>
      </c>
      <c r="L517">
        <v>0</v>
      </c>
      <c r="M517">
        <v>1</v>
      </c>
      <c r="N517">
        <v>1</v>
      </c>
      <c r="O517">
        <v>0</v>
      </c>
      <c r="P517">
        <v>0</v>
      </c>
      <c r="Q517">
        <v>2</v>
      </c>
      <c r="R517">
        <v>69</v>
      </c>
      <c r="S517">
        <v>169</v>
      </c>
      <c r="T517">
        <v>24</v>
      </c>
      <c r="U517">
        <v>2</v>
      </c>
    </row>
    <row r="518" spans="1:21" x14ac:dyDescent="0.3">
      <c r="A518">
        <v>13</v>
      </c>
      <c r="B518">
        <v>23</v>
      </c>
      <c r="C518">
        <v>10</v>
      </c>
      <c r="D518">
        <v>3</v>
      </c>
      <c r="E518">
        <v>4</v>
      </c>
      <c r="F518">
        <v>369</v>
      </c>
      <c r="G518">
        <v>17</v>
      </c>
      <c r="H518">
        <v>12</v>
      </c>
      <c r="I518">
        <v>31</v>
      </c>
      <c r="J518">
        <v>284853</v>
      </c>
      <c r="K518">
        <v>91</v>
      </c>
      <c r="L518">
        <v>0</v>
      </c>
      <c r="M518">
        <v>1</v>
      </c>
      <c r="N518">
        <v>3</v>
      </c>
      <c r="O518">
        <v>1</v>
      </c>
      <c r="P518">
        <v>0</v>
      </c>
      <c r="Q518">
        <v>0</v>
      </c>
      <c r="R518">
        <v>70</v>
      </c>
      <c r="S518">
        <v>169</v>
      </c>
      <c r="T518">
        <v>25</v>
      </c>
      <c r="U518">
        <v>8</v>
      </c>
    </row>
    <row r="519" spans="1:21" x14ac:dyDescent="0.3">
      <c r="A519">
        <v>13</v>
      </c>
      <c r="B519">
        <v>23</v>
      </c>
      <c r="C519">
        <v>10</v>
      </c>
      <c r="D519">
        <v>3</v>
      </c>
      <c r="E519">
        <v>4</v>
      </c>
      <c r="F519">
        <v>369</v>
      </c>
      <c r="G519">
        <v>17</v>
      </c>
      <c r="H519">
        <v>12</v>
      </c>
      <c r="I519">
        <v>31</v>
      </c>
      <c r="J519">
        <v>284853</v>
      </c>
      <c r="K519">
        <v>91</v>
      </c>
      <c r="L519">
        <v>0</v>
      </c>
      <c r="M519">
        <v>1</v>
      </c>
      <c r="N519">
        <v>3</v>
      </c>
      <c r="O519">
        <v>1</v>
      </c>
      <c r="P519">
        <v>0</v>
      </c>
      <c r="R519">
        <v>70</v>
      </c>
      <c r="S519">
        <v>169</v>
      </c>
      <c r="T519">
        <v>25</v>
      </c>
      <c r="U519">
        <v>3</v>
      </c>
    </row>
    <row r="520" spans="1:21" x14ac:dyDescent="0.3">
      <c r="A520">
        <v>28</v>
      </c>
      <c r="B520">
        <v>23</v>
      </c>
      <c r="C520">
        <v>10</v>
      </c>
      <c r="D520">
        <v>3</v>
      </c>
      <c r="E520">
        <v>4</v>
      </c>
      <c r="F520">
        <v>225</v>
      </c>
      <c r="G520">
        <v>26</v>
      </c>
      <c r="H520">
        <v>9</v>
      </c>
      <c r="I520">
        <v>28</v>
      </c>
      <c r="J520">
        <v>284853</v>
      </c>
      <c r="K520">
        <v>91</v>
      </c>
      <c r="L520">
        <v>0</v>
      </c>
      <c r="M520">
        <v>1</v>
      </c>
      <c r="N520">
        <v>1</v>
      </c>
      <c r="O520">
        <v>0</v>
      </c>
      <c r="P520">
        <v>0</v>
      </c>
      <c r="Q520">
        <v>2</v>
      </c>
      <c r="R520">
        <v>69</v>
      </c>
      <c r="T520">
        <v>24</v>
      </c>
      <c r="U520">
        <v>4</v>
      </c>
    </row>
    <row r="521" spans="1:21" x14ac:dyDescent="0.3">
      <c r="A521">
        <v>13</v>
      </c>
      <c r="B521">
        <v>26</v>
      </c>
      <c r="C521">
        <v>10</v>
      </c>
      <c r="D521">
        <v>3</v>
      </c>
      <c r="E521">
        <v>4</v>
      </c>
      <c r="F521">
        <v>369</v>
      </c>
      <c r="G521">
        <v>17</v>
      </c>
      <c r="H521">
        <v>12</v>
      </c>
      <c r="I521">
        <v>31</v>
      </c>
      <c r="J521">
        <v>284853</v>
      </c>
      <c r="K521">
        <v>91</v>
      </c>
      <c r="L521">
        <v>0</v>
      </c>
      <c r="M521">
        <v>1</v>
      </c>
      <c r="N521">
        <v>3</v>
      </c>
      <c r="O521">
        <v>1</v>
      </c>
      <c r="P521">
        <v>0</v>
      </c>
      <c r="Q521">
        <v>0</v>
      </c>
      <c r="R521">
        <v>70</v>
      </c>
      <c r="S521">
        <v>169</v>
      </c>
      <c r="T521">
        <v>25</v>
      </c>
      <c r="U521">
        <v>8</v>
      </c>
    </row>
    <row r="522" spans="1:21" x14ac:dyDescent="0.3">
      <c r="A522">
        <v>3</v>
      </c>
      <c r="B522">
        <v>28</v>
      </c>
      <c r="C522">
        <v>10</v>
      </c>
      <c r="D522">
        <v>4</v>
      </c>
      <c r="E522">
        <v>4</v>
      </c>
      <c r="F522">
        <v>179</v>
      </c>
      <c r="G522">
        <v>51</v>
      </c>
      <c r="H522">
        <v>18</v>
      </c>
      <c r="I522">
        <v>38</v>
      </c>
      <c r="J522">
        <v>284853</v>
      </c>
      <c r="K522">
        <v>91</v>
      </c>
      <c r="L522">
        <v>0</v>
      </c>
      <c r="M522">
        <v>1</v>
      </c>
      <c r="N522">
        <v>0</v>
      </c>
      <c r="O522">
        <v>1</v>
      </c>
      <c r="P522">
        <v>0</v>
      </c>
      <c r="Q522">
        <v>0</v>
      </c>
      <c r="R522">
        <v>89</v>
      </c>
      <c r="S522">
        <v>170</v>
      </c>
      <c r="T522">
        <v>31</v>
      </c>
      <c r="U522">
        <v>3</v>
      </c>
    </row>
    <row r="523" spans="1:21" x14ac:dyDescent="0.3">
      <c r="A523">
        <v>9</v>
      </c>
      <c r="B523">
        <v>1</v>
      </c>
      <c r="C523">
        <v>10</v>
      </c>
      <c r="D523">
        <v>4</v>
      </c>
      <c r="E523">
        <v>4</v>
      </c>
      <c r="F523">
        <v>228</v>
      </c>
      <c r="G523">
        <v>14</v>
      </c>
      <c r="H523">
        <v>16</v>
      </c>
      <c r="I523">
        <v>58</v>
      </c>
      <c r="J523">
        <v>284853</v>
      </c>
      <c r="K523">
        <v>91</v>
      </c>
      <c r="L523">
        <v>0</v>
      </c>
      <c r="M523">
        <v>1</v>
      </c>
      <c r="N523">
        <v>2</v>
      </c>
      <c r="O523">
        <v>0</v>
      </c>
      <c r="P523">
        <v>0</v>
      </c>
      <c r="Q523">
        <v>1</v>
      </c>
      <c r="R523">
        <v>65</v>
      </c>
      <c r="S523">
        <v>172</v>
      </c>
      <c r="T523">
        <v>22</v>
      </c>
      <c r="U523">
        <v>1</v>
      </c>
    </row>
    <row r="524" spans="1:21" x14ac:dyDescent="0.3">
      <c r="A524">
        <v>15</v>
      </c>
      <c r="B524">
        <v>23</v>
      </c>
      <c r="C524">
        <v>10</v>
      </c>
      <c r="D524">
        <v>4</v>
      </c>
      <c r="E524">
        <v>4</v>
      </c>
      <c r="F524">
        <v>291</v>
      </c>
      <c r="G524">
        <v>31</v>
      </c>
      <c r="H524">
        <v>12</v>
      </c>
      <c r="I524">
        <v>40</v>
      </c>
      <c r="J524">
        <v>284853</v>
      </c>
      <c r="K524">
        <v>91</v>
      </c>
      <c r="L524">
        <v>0</v>
      </c>
      <c r="M524">
        <v>1</v>
      </c>
      <c r="N524">
        <v>1</v>
      </c>
      <c r="O524">
        <v>1</v>
      </c>
      <c r="P524">
        <v>0</v>
      </c>
      <c r="Q524">
        <v>1</v>
      </c>
      <c r="R524">
        <v>73</v>
      </c>
      <c r="S524">
        <v>171</v>
      </c>
      <c r="T524">
        <v>25</v>
      </c>
      <c r="U524">
        <v>1</v>
      </c>
    </row>
    <row r="525" spans="1:21" x14ac:dyDescent="0.3">
      <c r="A525">
        <v>13</v>
      </c>
      <c r="B525">
        <v>10</v>
      </c>
      <c r="C525">
        <v>10</v>
      </c>
      <c r="D525">
        <v>5</v>
      </c>
      <c r="E525">
        <v>4</v>
      </c>
      <c r="F525">
        <v>369</v>
      </c>
      <c r="G525">
        <v>17</v>
      </c>
      <c r="H525">
        <v>12</v>
      </c>
      <c r="I525">
        <v>31</v>
      </c>
      <c r="J525">
        <v>284853</v>
      </c>
      <c r="K525">
        <v>91</v>
      </c>
      <c r="L525">
        <v>0</v>
      </c>
      <c r="M525">
        <v>1</v>
      </c>
      <c r="N525">
        <v>3</v>
      </c>
      <c r="O525">
        <v>1</v>
      </c>
      <c r="P525">
        <v>0</v>
      </c>
      <c r="Q525">
        <v>0</v>
      </c>
      <c r="R525">
        <v>70</v>
      </c>
      <c r="S525">
        <v>169</v>
      </c>
      <c r="T525">
        <v>25</v>
      </c>
      <c r="U525">
        <v>8</v>
      </c>
    </row>
    <row r="526" spans="1:21" x14ac:dyDescent="0.3">
      <c r="A526">
        <v>28</v>
      </c>
      <c r="B526">
        <v>13</v>
      </c>
      <c r="C526">
        <v>10</v>
      </c>
      <c r="D526">
        <v>5</v>
      </c>
      <c r="E526">
        <v>4</v>
      </c>
      <c r="F526">
        <v>225</v>
      </c>
      <c r="G526">
        <v>26</v>
      </c>
      <c r="H526">
        <v>9</v>
      </c>
      <c r="I526">
        <v>28</v>
      </c>
      <c r="J526">
        <v>284853</v>
      </c>
      <c r="K526">
        <v>91</v>
      </c>
      <c r="L526">
        <v>0</v>
      </c>
      <c r="M526">
        <v>1</v>
      </c>
      <c r="N526">
        <v>1</v>
      </c>
      <c r="O526">
        <v>0</v>
      </c>
      <c r="P526">
        <v>0</v>
      </c>
      <c r="Q526">
        <v>2</v>
      </c>
      <c r="R526">
        <v>69</v>
      </c>
      <c r="S526">
        <v>169</v>
      </c>
      <c r="T526">
        <v>24</v>
      </c>
      <c r="U526">
        <v>1</v>
      </c>
    </row>
    <row r="527" spans="1:21" x14ac:dyDescent="0.3">
      <c r="A527">
        <v>13</v>
      </c>
      <c r="B527">
        <v>10</v>
      </c>
      <c r="C527">
        <v>10</v>
      </c>
      <c r="D527">
        <v>6</v>
      </c>
      <c r="E527">
        <v>4</v>
      </c>
      <c r="F527">
        <v>369</v>
      </c>
      <c r="G527">
        <v>17</v>
      </c>
      <c r="H527">
        <v>12</v>
      </c>
      <c r="I527">
        <v>31</v>
      </c>
      <c r="J527">
        <v>284853</v>
      </c>
      <c r="K527">
        <v>91</v>
      </c>
      <c r="L527">
        <v>0</v>
      </c>
      <c r="M527">
        <v>1</v>
      </c>
      <c r="N527">
        <v>3</v>
      </c>
      <c r="O527">
        <v>1</v>
      </c>
      <c r="P527">
        <v>0</v>
      </c>
      <c r="Q527">
        <v>0</v>
      </c>
      <c r="R527">
        <v>70</v>
      </c>
      <c r="S527">
        <v>169</v>
      </c>
      <c r="T527">
        <v>25</v>
      </c>
      <c r="U527">
        <v>8</v>
      </c>
    </row>
    <row r="528" spans="1:21" x14ac:dyDescent="0.3">
      <c r="A528">
        <v>28</v>
      </c>
      <c r="B528">
        <v>10</v>
      </c>
      <c r="C528">
        <v>10</v>
      </c>
      <c r="D528">
        <v>6</v>
      </c>
      <c r="E528">
        <v>4</v>
      </c>
      <c r="F528">
        <v>225</v>
      </c>
      <c r="G528">
        <v>26</v>
      </c>
      <c r="H528">
        <v>9</v>
      </c>
      <c r="I528">
        <v>28</v>
      </c>
      <c r="J528">
        <v>284853</v>
      </c>
      <c r="K528">
        <v>91</v>
      </c>
      <c r="L528">
        <v>0</v>
      </c>
      <c r="M528">
        <v>1</v>
      </c>
      <c r="N528">
        <v>1</v>
      </c>
      <c r="O528">
        <v>0</v>
      </c>
      <c r="P528">
        <v>0</v>
      </c>
      <c r="Q528">
        <v>2</v>
      </c>
      <c r="R528">
        <v>69</v>
      </c>
      <c r="S528">
        <v>169</v>
      </c>
      <c r="T528">
        <v>24</v>
      </c>
      <c r="U528">
        <v>3</v>
      </c>
    </row>
    <row r="529" spans="1:21" x14ac:dyDescent="0.3">
      <c r="A529">
        <v>6</v>
      </c>
      <c r="B529">
        <v>23</v>
      </c>
      <c r="C529">
        <v>10</v>
      </c>
      <c r="D529">
        <v>2</v>
      </c>
      <c r="E529">
        <v>4</v>
      </c>
      <c r="F529">
        <v>189</v>
      </c>
      <c r="G529">
        <v>29</v>
      </c>
      <c r="H529">
        <v>13</v>
      </c>
      <c r="I529">
        <v>33</v>
      </c>
      <c r="J529">
        <v>284853</v>
      </c>
      <c r="K529">
        <v>91</v>
      </c>
      <c r="L529">
        <v>0</v>
      </c>
      <c r="M529">
        <v>1</v>
      </c>
      <c r="N529">
        <v>2</v>
      </c>
      <c r="O529">
        <v>0</v>
      </c>
      <c r="P529">
        <v>0</v>
      </c>
      <c r="Q529">
        <v>2</v>
      </c>
      <c r="R529">
        <v>69</v>
      </c>
      <c r="S529">
        <v>167</v>
      </c>
      <c r="T529">
        <v>25</v>
      </c>
      <c r="U529">
        <v>8</v>
      </c>
    </row>
    <row r="530" spans="1:21" x14ac:dyDescent="0.3">
      <c r="A530">
        <v>25</v>
      </c>
      <c r="B530">
        <v>6</v>
      </c>
      <c r="C530">
        <v>10</v>
      </c>
      <c r="D530">
        <v>2</v>
      </c>
      <c r="E530">
        <v>4</v>
      </c>
      <c r="F530">
        <v>235</v>
      </c>
      <c r="G530">
        <v>16</v>
      </c>
      <c r="H530">
        <v>8</v>
      </c>
      <c r="I530">
        <v>32</v>
      </c>
      <c r="J530">
        <v>284853</v>
      </c>
      <c r="K530">
        <v>91</v>
      </c>
      <c r="L530">
        <v>0</v>
      </c>
      <c r="M530">
        <v>3</v>
      </c>
      <c r="N530">
        <v>0</v>
      </c>
      <c r="O530">
        <v>0</v>
      </c>
      <c r="P530">
        <v>0</v>
      </c>
      <c r="Q530">
        <v>0</v>
      </c>
      <c r="R530">
        <v>75</v>
      </c>
      <c r="S530">
        <v>178</v>
      </c>
      <c r="T530">
        <v>25</v>
      </c>
      <c r="U530">
        <v>8</v>
      </c>
    </row>
    <row r="531" spans="1:21" x14ac:dyDescent="0.3">
      <c r="A531">
        <v>33</v>
      </c>
      <c r="B531">
        <v>10</v>
      </c>
      <c r="C531">
        <v>10</v>
      </c>
      <c r="D531">
        <v>2</v>
      </c>
      <c r="E531">
        <v>4</v>
      </c>
      <c r="F531">
        <v>248</v>
      </c>
      <c r="G531">
        <v>25</v>
      </c>
      <c r="H531">
        <v>14</v>
      </c>
      <c r="I531">
        <v>47</v>
      </c>
      <c r="J531">
        <v>284853</v>
      </c>
      <c r="K531">
        <v>91</v>
      </c>
      <c r="L531">
        <v>0</v>
      </c>
      <c r="M531">
        <v>1</v>
      </c>
      <c r="N531">
        <v>2</v>
      </c>
      <c r="O531">
        <v>0</v>
      </c>
      <c r="P531">
        <v>0</v>
      </c>
      <c r="Q531">
        <v>1</v>
      </c>
      <c r="R531">
        <v>86</v>
      </c>
      <c r="S531">
        <v>165</v>
      </c>
      <c r="T531">
        <v>32</v>
      </c>
      <c r="U531">
        <v>8</v>
      </c>
    </row>
    <row r="532" spans="1:21" x14ac:dyDescent="0.3">
      <c r="A532">
        <v>28</v>
      </c>
      <c r="B532">
        <v>0</v>
      </c>
      <c r="C532">
        <v>10</v>
      </c>
      <c r="D532">
        <v>2</v>
      </c>
      <c r="E532">
        <v>4</v>
      </c>
      <c r="F532">
        <v>225</v>
      </c>
      <c r="G532">
        <v>26</v>
      </c>
      <c r="H532">
        <v>9</v>
      </c>
      <c r="I532">
        <v>28</v>
      </c>
      <c r="J532">
        <v>284853</v>
      </c>
      <c r="K532">
        <v>91</v>
      </c>
      <c r="L532">
        <v>1</v>
      </c>
      <c r="M532">
        <v>1</v>
      </c>
      <c r="N532">
        <v>1</v>
      </c>
      <c r="O532">
        <v>0</v>
      </c>
      <c r="P532">
        <v>0</v>
      </c>
      <c r="Q532">
        <v>2</v>
      </c>
      <c r="R532">
        <v>69</v>
      </c>
      <c r="S532">
        <v>169</v>
      </c>
      <c r="T532">
        <v>24</v>
      </c>
      <c r="U532">
        <v>0</v>
      </c>
    </row>
    <row r="533" spans="1:21" x14ac:dyDescent="0.3">
      <c r="A533">
        <v>28</v>
      </c>
      <c r="B533">
        <v>13</v>
      </c>
      <c r="C533">
        <v>10</v>
      </c>
      <c r="D533">
        <v>3</v>
      </c>
      <c r="E533">
        <v>4</v>
      </c>
      <c r="F533">
        <v>225</v>
      </c>
      <c r="G533">
        <v>26</v>
      </c>
      <c r="H533">
        <v>9</v>
      </c>
      <c r="I533">
        <v>28</v>
      </c>
      <c r="J533">
        <v>284853</v>
      </c>
      <c r="K533">
        <v>91</v>
      </c>
      <c r="L533">
        <v>0</v>
      </c>
      <c r="M533">
        <v>1</v>
      </c>
      <c r="N533">
        <v>1</v>
      </c>
      <c r="O533">
        <v>0</v>
      </c>
      <c r="P533">
        <v>0</v>
      </c>
      <c r="Q533">
        <v>2</v>
      </c>
      <c r="R533">
        <v>69</v>
      </c>
      <c r="S533">
        <v>169</v>
      </c>
      <c r="T533">
        <v>24</v>
      </c>
      <c r="U533">
        <v>3</v>
      </c>
    </row>
    <row r="534" spans="1:21" x14ac:dyDescent="0.3">
      <c r="A534">
        <v>3</v>
      </c>
      <c r="B534">
        <v>21</v>
      </c>
      <c r="C534">
        <v>11</v>
      </c>
      <c r="D534">
        <v>3</v>
      </c>
      <c r="E534">
        <v>4</v>
      </c>
      <c r="F534">
        <v>179</v>
      </c>
      <c r="G534">
        <v>51</v>
      </c>
      <c r="H534">
        <v>18</v>
      </c>
      <c r="I534">
        <v>38</v>
      </c>
      <c r="J534">
        <v>268519</v>
      </c>
      <c r="K534">
        <v>93</v>
      </c>
      <c r="L534">
        <v>0</v>
      </c>
      <c r="M534">
        <v>1</v>
      </c>
      <c r="N534">
        <v>0</v>
      </c>
      <c r="O534">
        <v>1</v>
      </c>
      <c r="P534">
        <v>0</v>
      </c>
      <c r="Q534">
        <v>0</v>
      </c>
      <c r="R534">
        <v>89</v>
      </c>
      <c r="S534">
        <v>170</v>
      </c>
      <c r="T534">
        <v>31</v>
      </c>
      <c r="U534">
        <v>1</v>
      </c>
    </row>
    <row r="535" spans="1:21" x14ac:dyDescent="0.3">
      <c r="A535">
        <v>34</v>
      </c>
      <c r="B535">
        <v>28</v>
      </c>
      <c r="C535">
        <v>11</v>
      </c>
      <c r="D535">
        <v>4</v>
      </c>
      <c r="E535">
        <v>4</v>
      </c>
      <c r="F535">
        <v>118</v>
      </c>
      <c r="G535">
        <v>10</v>
      </c>
      <c r="H535">
        <v>10</v>
      </c>
      <c r="I535">
        <v>37</v>
      </c>
      <c r="J535">
        <v>268519</v>
      </c>
      <c r="K535">
        <v>93</v>
      </c>
      <c r="L535">
        <v>0</v>
      </c>
      <c r="M535">
        <v>1</v>
      </c>
      <c r="N535">
        <v>0</v>
      </c>
      <c r="O535">
        <v>0</v>
      </c>
      <c r="P535">
        <v>0</v>
      </c>
      <c r="Q535">
        <v>0</v>
      </c>
      <c r="R535">
        <v>83</v>
      </c>
      <c r="S535">
        <v>172</v>
      </c>
      <c r="T535">
        <v>28</v>
      </c>
      <c r="U535">
        <v>3</v>
      </c>
    </row>
    <row r="536" spans="1:21" x14ac:dyDescent="0.3">
      <c r="A536">
        <v>18</v>
      </c>
      <c r="B536">
        <v>2</v>
      </c>
      <c r="C536">
        <v>11</v>
      </c>
      <c r="D536">
        <v>4</v>
      </c>
      <c r="E536">
        <v>4</v>
      </c>
      <c r="F536">
        <v>330</v>
      </c>
      <c r="G536">
        <v>16</v>
      </c>
      <c r="H536">
        <v>4</v>
      </c>
      <c r="I536">
        <v>28</v>
      </c>
      <c r="J536">
        <v>268519</v>
      </c>
      <c r="K536">
        <v>93</v>
      </c>
      <c r="L536">
        <v>0</v>
      </c>
      <c r="M536">
        <v>2</v>
      </c>
      <c r="N536">
        <v>0</v>
      </c>
      <c r="O536">
        <v>0</v>
      </c>
      <c r="P536">
        <v>0</v>
      </c>
      <c r="Q536">
        <v>0</v>
      </c>
      <c r="R536">
        <v>84</v>
      </c>
      <c r="S536">
        <v>182</v>
      </c>
      <c r="T536">
        <v>25</v>
      </c>
      <c r="U536">
        <v>24</v>
      </c>
    </row>
    <row r="537" spans="1:21" x14ac:dyDescent="0.3">
      <c r="A537">
        <v>3</v>
      </c>
      <c r="B537">
        <v>28</v>
      </c>
      <c r="C537">
        <v>11</v>
      </c>
      <c r="D537">
        <v>6</v>
      </c>
      <c r="E537">
        <v>4</v>
      </c>
      <c r="F537">
        <v>179</v>
      </c>
      <c r="G537">
        <v>51</v>
      </c>
      <c r="H537">
        <v>18</v>
      </c>
      <c r="I537">
        <v>38</v>
      </c>
      <c r="J537">
        <v>268519</v>
      </c>
      <c r="K537">
        <v>93</v>
      </c>
      <c r="L537">
        <v>0</v>
      </c>
      <c r="M537">
        <v>1</v>
      </c>
      <c r="N537">
        <v>0</v>
      </c>
      <c r="O537">
        <v>1</v>
      </c>
      <c r="P537">
        <v>0</v>
      </c>
      <c r="Q537">
        <v>0</v>
      </c>
      <c r="R537">
        <v>89</v>
      </c>
      <c r="S537">
        <v>170</v>
      </c>
      <c r="T537">
        <v>31</v>
      </c>
      <c r="U537">
        <v>1</v>
      </c>
    </row>
    <row r="538" spans="1:21" x14ac:dyDescent="0.3">
      <c r="A538">
        <v>34</v>
      </c>
      <c r="B538">
        <v>9</v>
      </c>
      <c r="C538">
        <v>11</v>
      </c>
      <c r="D538">
        <v>3</v>
      </c>
      <c r="E538">
        <v>4</v>
      </c>
      <c r="F538">
        <v>118</v>
      </c>
      <c r="G538">
        <v>10</v>
      </c>
      <c r="H538">
        <v>10</v>
      </c>
      <c r="I538">
        <v>37</v>
      </c>
      <c r="J538">
        <v>268519</v>
      </c>
      <c r="K538">
        <v>93</v>
      </c>
      <c r="L538">
        <v>0</v>
      </c>
      <c r="M538">
        <v>1</v>
      </c>
      <c r="N538">
        <v>0</v>
      </c>
      <c r="O538">
        <v>0</v>
      </c>
      <c r="P538">
        <v>0</v>
      </c>
      <c r="Q538">
        <v>0</v>
      </c>
      <c r="R538">
        <v>83</v>
      </c>
      <c r="S538">
        <v>172</v>
      </c>
      <c r="T538">
        <v>28</v>
      </c>
      <c r="U538">
        <v>8</v>
      </c>
    </row>
    <row r="539" spans="1:21" x14ac:dyDescent="0.3">
      <c r="A539">
        <v>11</v>
      </c>
      <c r="B539">
        <v>24</v>
      </c>
      <c r="C539">
        <v>11</v>
      </c>
      <c r="D539">
        <v>4</v>
      </c>
      <c r="E539">
        <v>4</v>
      </c>
      <c r="F539">
        <v>289</v>
      </c>
      <c r="G539">
        <v>36</v>
      </c>
      <c r="H539">
        <v>13</v>
      </c>
      <c r="I539">
        <v>33</v>
      </c>
      <c r="J539">
        <v>268519</v>
      </c>
      <c r="K539">
        <v>93</v>
      </c>
      <c r="L539">
        <v>0</v>
      </c>
      <c r="M539">
        <v>1</v>
      </c>
      <c r="N539">
        <v>2</v>
      </c>
      <c r="O539">
        <v>1</v>
      </c>
      <c r="P539">
        <v>0</v>
      </c>
      <c r="Q539">
        <v>1</v>
      </c>
      <c r="R539">
        <v>90</v>
      </c>
      <c r="S539">
        <v>172</v>
      </c>
      <c r="T539">
        <v>30</v>
      </c>
      <c r="U539">
        <v>8</v>
      </c>
    </row>
    <row r="540" spans="1:21" x14ac:dyDescent="0.3">
      <c r="A540">
        <v>25</v>
      </c>
      <c r="B540">
        <v>1</v>
      </c>
      <c r="C540">
        <v>11</v>
      </c>
      <c r="D540">
        <v>6</v>
      </c>
      <c r="E540">
        <v>4</v>
      </c>
      <c r="F540">
        <v>235</v>
      </c>
      <c r="G540">
        <v>16</v>
      </c>
      <c r="H540">
        <v>8</v>
      </c>
      <c r="I540">
        <v>32</v>
      </c>
      <c r="J540">
        <v>268519</v>
      </c>
      <c r="K540">
        <v>93</v>
      </c>
      <c r="L540">
        <v>0</v>
      </c>
      <c r="M540">
        <v>3</v>
      </c>
      <c r="N540">
        <v>0</v>
      </c>
      <c r="O540">
        <v>0</v>
      </c>
      <c r="P540">
        <v>0</v>
      </c>
      <c r="Q540">
        <v>0</v>
      </c>
      <c r="R540">
        <v>75</v>
      </c>
      <c r="S540">
        <v>178</v>
      </c>
      <c r="T540">
        <v>25</v>
      </c>
      <c r="U540">
        <v>8</v>
      </c>
    </row>
    <row r="541" spans="1:21" x14ac:dyDescent="0.3">
      <c r="A541">
        <v>28</v>
      </c>
      <c r="B541">
        <v>23</v>
      </c>
      <c r="C541">
        <v>11</v>
      </c>
      <c r="D541">
        <v>6</v>
      </c>
      <c r="E541">
        <v>4</v>
      </c>
      <c r="F541">
        <v>225</v>
      </c>
      <c r="G541">
        <v>26</v>
      </c>
      <c r="H541">
        <v>9</v>
      </c>
      <c r="I541">
        <v>28</v>
      </c>
      <c r="J541">
        <v>268519</v>
      </c>
      <c r="K541">
        <v>93</v>
      </c>
      <c r="L541">
        <v>0</v>
      </c>
      <c r="M541">
        <v>1</v>
      </c>
      <c r="N541">
        <v>1</v>
      </c>
      <c r="O541">
        <v>0</v>
      </c>
      <c r="P541">
        <v>0</v>
      </c>
      <c r="Q541">
        <v>2</v>
      </c>
      <c r="R541">
        <v>69</v>
      </c>
      <c r="S541">
        <v>169</v>
      </c>
      <c r="T541">
        <v>24</v>
      </c>
      <c r="U541">
        <v>4</v>
      </c>
    </row>
    <row r="542" spans="1:21" x14ac:dyDescent="0.3">
      <c r="A542">
        <v>10</v>
      </c>
      <c r="B542">
        <v>22</v>
      </c>
      <c r="C542">
        <v>11</v>
      </c>
      <c r="D542">
        <v>3</v>
      </c>
      <c r="E542">
        <v>4</v>
      </c>
      <c r="F542">
        <v>361</v>
      </c>
      <c r="G542">
        <v>52</v>
      </c>
      <c r="H542">
        <v>3</v>
      </c>
      <c r="I542">
        <v>28</v>
      </c>
      <c r="J542">
        <v>268519</v>
      </c>
      <c r="K542">
        <v>93</v>
      </c>
      <c r="L542">
        <v>0</v>
      </c>
      <c r="M542">
        <v>1</v>
      </c>
      <c r="N542">
        <v>1</v>
      </c>
      <c r="O542">
        <v>1</v>
      </c>
      <c r="P542">
        <v>0</v>
      </c>
      <c r="Q542">
        <v>4</v>
      </c>
      <c r="R542">
        <v>80</v>
      </c>
      <c r="S542">
        <v>172</v>
      </c>
      <c r="T542">
        <v>27</v>
      </c>
      <c r="U542">
        <v>8</v>
      </c>
    </row>
    <row r="543" spans="1:21" x14ac:dyDescent="0.3">
      <c r="A543">
        <v>15</v>
      </c>
      <c r="B543">
        <v>28</v>
      </c>
      <c r="C543">
        <v>11</v>
      </c>
      <c r="D543">
        <v>4</v>
      </c>
      <c r="E543">
        <v>4</v>
      </c>
      <c r="F543">
        <v>291</v>
      </c>
      <c r="G543">
        <v>31</v>
      </c>
      <c r="H543">
        <v>12</v>
      </c>
      <c r="I543">
        <v>40</v>
      </c>
      <c r="J543">
        <v>268519</v>
      </c>
      <c r="K543">
        <v>93</v>
      </c>
      <c r="L543">
        <v>0</v>
      </c>
      <c r="M543">
        <v>1</v>
      </c>
      <c r="N543">
        <v>1</v>
      </c>
      <c r="O543">
        <v>1</v>
      </c>
      <c r="P543">
        <v>0</v>
      </c>
      <c r="Q543">
        <v>1</v>
      </c>
      <c r="R543">
        <v>73</v>
      </c>
      <c r="S543">
        <v>171</v>
      </c>
      <c r="T543">
        <v>25</v>
      </c>
      <c r="U543">
        <v>2</v>
      </c>
    </row>
    <row r="544" spans="1:21" x14ac:dyDescent="0.3">
      <c r="A544">
        <v>34</v>
      </c>
      <c r="B544">
        <v>13</v>
      </c>
      <c r="C544">
        <v>11</v>
      </c>
      <c r="D544">
        <v>5</v>
      </c>
      <c r="E544">
        <v>4</v>
      </c>
      <c r="F544">
        <v>118</v>
      </c>
      <c r="G544">
        <v>10</v>
      </c>
      <c r="H544">
        <v>10</v>
      </c>
      <c r="I544">
        <v>37</v>
      </c>
      <c r="J544">
        <v>268519</v>
      </c>
      <c r="K544">
        <v>93</v>
      </c>
      <c r="L544">
        <v>0</v>
      </c>
      <c r="M544">
        <v>1</v>
      </c>
      <c r="N544">
        <v>0</v>
      </c>
      <c r="O544">
        <v>0</v>
      </c>
      <c r="P544">
        <v>0</v>
      </c>
      <c r="Q544">
        <v>0</v>
      </c>
      <c r="R544">
        <v>83</v>
      </c>
      <c r="S544">
        <v>172</v>
      </c>
      <c r="T544">
        <v>28</v>
      </c>
      <c r="U544">
        <v>2</v>
      </c>
    </row>
    <row r="545" spans="1:21" x14ac:dyDescent="0.3">
      <c r="A545">
        <v>28</v>
      </c>
      <c r="B545">
        <v>14</v>
      </c>
      <c r="C545">
        <v>11</v>
      </c>
      <c r="D545">
        <v>5</v>
      </c>
      <c r="E545">
        <v>4</v>
      </c>
      <c r="F545">
        <v>225</v>
      </c>
      <c r="G545">
        <v>26</v>
      </c>
      <c r="H545">
        <v>9</v>
      </c>
      <c r="I545">
        <v>28</v>
      </c>
      <c r="J545">
        <v>268519</v>
      </c>
      <c r="K545">
        <v>93</v>
      </c>
      <c r="L545">
        <v>0</v>
      </c>
      <c r="M545">
        <v>1</v>
      </c>
      <c r="N545">
        <v>1</v>
      </c>
      <c r="O545">
        <v>0</v>
      </c>
      <c r="P545">
        <v>0</v>
      </c>
      <c r="Q545">
        <v>2</v>
      </c>
      <c r="R545">
        <v>69</v>
      </c>
      <c r="S545">
        <v>169</v>
      </c>
      <c r="T545">
        <v>24</v>
      </c>
      <c r="U545">
        <v>3</v>
      </c>
    </row>
    <row r="546" spans="1:21" x14ac:dyDescent="0.3">
      <c r="A546">
        <v>3</v>
      </c>
      <c r="B546">
        <v>28</v>
      </c>
      <c r="C546">
        <v>11</v>
      </c>
      <c r="D546">
        <v>2</v>
      </c>
      <c r="E546">
        <v>4</v>
      </c>
      <c r="F546">
        <v>179</v>
      </c>
      <c r="G546">
        <v>51</v>
      </c>
      <c r="H546">
        <v>18</v>
      </c>
      <c r="I546">
        <v>38</v>
      </c>
      <c r="J546">
        <v>268519</v>
      </c>
      <c r="K546">
        <v>93</v>
      </c>
      <c r="L546">
        <v>0</v>
      </c>
      <c r="M546">
        <v>1</v>
      </c>
      <c r="N546">
        <v>0</v>
      </c>
      <c r="O546">
        <v>1</v>
      </c>
      <c r="P546">
        <v>0</v>
      </c>
      <c r="Q546">
        <v>0</v>
      </c>
      <c r="R546">
        <v>89</v>
      </c>
      <c r="S546">
        <v>170</v>
      </c>
      <c r="T546">
        <v>31</v>
      </c>
      <c r="U546">
        <v>1</v>
      </c>
    </row>
    <row r="547" spans="1:21" x14ac:dyDescent="0.3">
      <c r="A547">
        <v>34</v>
      </c>
      <c r="B547">
        <v>23</v>
      </c>
      <c r="C547">
        <v>11</v>
      </c>
      <c r="D547">
        <v>2</v>
      </c>
      <c r="E547">
        <v>4</v>
      </c>
      <c r="F547">
        <v>118</v>
      </c>
      <c r="G547">
        <v>10</v>
      </c>
      <c r="H547">
        <v>10</v>
      </c>
      <c r="I547">
        <v>37</v>
      </c>
      <c r="J547">
        <v>268519</v>
      </c>
      <c r="K547">
        <v>93</v>
      </c>
      <c r="L547">
        <v>0</v>
      </c>
      <c r="M547">
        <v>1</v>
      </c>
      <c r="N547">
        <v>0</v>
      </c>
      <c r="O547">
        <v>0</v>
      </c>
      <c r="P547">
        <v>0</v>
      </c>
      <c r="Q547">
        <v>0</v>
      </c>
      <c r="R547">
        <v>83</v>
      </c>
      <c r="S547">
        <v>172</v>
      </c>
      <c r="T547">
        <v>28</v>
      </c>
      <c r="U547">
        <v>8</v>
      </c>
    </row>
    <row r="548" spans="1:21" x14ac:dyDescent="0.3">
      <c r="A548">
        <v>34</v>
      </c>
      <c r="B548">
        <v>8</v>
      </c>
      <c r="C548">
        <v>11</v>
      </c>
      <c r="D548">
        <v>3</v>
      </c>
      <c r="E548">
        <v>4</v>
      </c>
      <c r="F548">
        <v>118</v>
      </c>
      <c r="G548">
        <v>10</v>
      </c>
      <c r="H548">
        <v>10</v>
      </c>
      <c r="I548">
        <v>37</v>
      </c>
      <c r="J548">
        <v>268519</v>
      </c>
      <c r="K548">
        <v>93</v>
      </c>
      <c r="L548">
        <v>0</v>
      </c>
      <c r="M548">
        <v>1</v>
      </c>
      <c r="N548">
        <v>0</v>
      </c>
      <c r="O548">
        <v>0</v>
      </c>
      <c r="P548">
        <v>0</v>
      </c>
      <c r="Q548">
        <v>0</v>
      </c>
      <c r="R548">
        <v>83</v>
      </c>
      <c r="S548">
        <v>172</v>
      </c>
      <c r="T548">
        <v>28</v>
      </c>
      <c r="U548">
        <v>8</v>
      </c>
    </row>
    <row r="549" spans="1:21" x14ac:dyDescent="0.3">
      <c r="A549">
        <v>28</v>
      </c>
      <c r="B549">
        <v>23</v>
      </c>
      <c r="C549">
        <v>11</v>
      </c>
      <c r="D549">
        <v>3</v>
      </c>
      <c r="E549">
        <v>4</v>
      </c>
      <c r="F549">
        <v>225</v>
      </c>
      <c r="G549">
        <v>26</v>
      </c>
      <c r="H549">
        <v>9</v>
      </c>
      <c r="I549">
        <v>28</v>
      </c>
      <c r="J549">
        <v>268519</v>
      </c>
      <c r="K549">
        <v>93</v>
      </c>
      <c r="L549">
        <v>0</v>
      </c>
      <c r="M549">
        <v>1</v>
      </c>
      <c r="N549">
        <v>1</v>
      </c>
      <c r="O549">
        <v>0</v>
      </c>
      <c r="P549">
        <v>0</v>
      </c>
      <c r="Q549">
        <v>2</v>
      </c>
      <c r="R549">
        <v>69</v>
      </c>
      <c r="S549">
        <v>169</v>
      </c>
      <c r="T549">
        <v>24</v>
      </c>
      <c r="U549">
        <v>2</v>
      </c>
    </row>
    <row r="550" spans="1:21" x14ac:dyDescent="0.3">
      <c r="A550">
        <v>15</v>
      </c>
      <c r="B550">
        <v>0</v>
      </c>
      <c r="C550">
        <v>11</v>
      </c>
      <c r="D550">
        <v>3</v>
      </c>
      <c r="E550">
        <v>4</v>
      </c>
      <c r="F550">
        <v>291</v>
      </c>
      <c r="G550">
        <v>31</v>
      </c>
      <c r="H550">
        <v>12</v>
      </c>
      <c r="I550">
        <v>40</v>
      </c>
      <c r="J550">
        <v>268519</v>
      </c>
      <c r="K550">
        <v>93</v>
      </c>
      <c r="L550">
        <v>1</v>
      </c>
      <c r="M550">
        <v>1</v>
      </c>
      <c r="N550">
        <v>1</v>
      </c>
      <c r="O550">
        <v>1</v>
      </c>
      <c r="P550">
        <v>0</v>
      </c>
      <c r="Q550">
        <v>1</v>
      </c>
      <c r="R550">
        <v>73</v>
      </c>
      <c r="S550">
        <v>171</v>
      </c>
      <c r="T550">
        <v>25</v>
      </c>
      <c r="U550">
        <v>0</v>
      </c>
    </row>
    <row r="551" spans="1:21" x14ac:dyDescent="0.3">
      <c r="A551">
        <v>11</v>
      </c>
      <c r="B551">
        <v>0</v>
      </c>
      <c r="C551">
        <v>11</v>
      </c>
      <c r="D551">
        <v>4</v>
      </c>
      <c r="E551">
        <v>4</v>
      </c>
      <c r="F551">
        <v>289</v>
      </c>
      <c r="G551">
        <v>36</v>
      </c>
      <c r="H551">
        <v>13</v>
      </c>
      <c r="I551">
        <v>33</v>
      </c>
      <c r="J551">
        <v>268519</v>
      </c>
      <c r="K551">
        <v>93</v>
      </c>
      <c r="L551">
        <v>1</v>
      </c>
      <c r="M551">
        <v>1</v>
      </c>
      <c r="N551">
        <v>2</v>
      </c>
      <c r="O551">
        <v>1</v>
      </c>
      <c r="P551">
        <v>0</v>
      </c>
      <c r="Q551">
        <v>1</v>
      </c>
      <c r="R551">
        <v>90</v>
      </c>
      <c r="S551">
        <v>172</v>
      </c>
      <c r="T551">
        <v>30</v>
      </c>
      <c r="U551">
        <v>0</v>
      </c>
    </row>
    <row r="552" spans="1:21" x14ac:dyDescent="0.3">
      <c r="A552">
        <v>33</v>
      </c>
      <c r="B552">
        <v>14</v>
      </c>
      <c r="C552">
        <v>11</v>
      </c>
      <c r="D552">
        <v>5</v>
      </c>
      <c r="E552">
        <v>4</v>
      </c>
      <c r="F552">
        <v>248</v>
      </c>
      <c r="G552">
        <v>25</v>
      </c>
      <c r="H552">
        <v>14</v>
      </c>
      <c r="I552">
        <v>47</v>
      </c>
      <c r="J552">
        <v>268519</v>
      </c>
      <c r="K552">
        <v>93</v>
      </c>
      <c r="L552">
        <v>0</v>
      </c>
      <c r="M552">
        <v>1</v>
      </c>
      <c r="N552">
        <v>2</v>
      </c>
      <c r="O552">
        <v>0</v>
      </c>
      <c r="P552">
        <v>0</v>
      </c>
      <c r="Q552">
        <v>1</v>
      </c>
      <c r="R552">
        <v>86</v>
      </c>
      <c r="S552">
        <v>165</v>
      </c>
      <c r="T552">
        <v>32</v>
      </c>
      <c r="U552">
        <v>4</v>
      </c>
    </row>
    <row r="553" spans="1:21" x14ac:dyDescent="0.3">
      <c r="A553">
        <v>5</v>
      </c>
      <c r="B553">
        <v>0</v>
      </c>
      <c r="C553">
        <v>11</v>
      </c>
      <c r="D553">
        <v>5</v>
      </c>
      <c r="E553">
        <v>4</v>
      </c>
      <c r="F553">
        <v>235</v>
      </c>
      <c r="G553">
        <v>20</v>
      </c>
      <c r="H553">
        <v>13</v>
      </c>
      <c r="I553">
        <v>43</v>
      </c>
      <c r="J553">
        <v>268519</v>
      </c>
      <c r="K553">
        <v>93</v>
      </c>
      <c r="L553">
        <v>1</v>
      </c>
      <c r="M553">
        <v>1</v>
      </c>
      <c r="N553">
        <v>1</v>
      </c>
      <c r="O553">
        <v>1</v>
      </c>
      <c r="P553">
        <v>0</v>
      </c>
      <c r="Q553">
        <v>0</v>
      </c>
      <c r="R553">
        <v>106</v>
      </c>
      <c r="S553">
        <v>167</v>
      </c>
      <c r="T553">
        <v>38</v>
      </c>
    </row>
    <row r="554" spans="1:21" x14ac:dyDescent="0.3">
      <c r="A554">
        <v>28</v>
      </c>
      <c r="B554">
        <v>23</v>
      </c>
      <c r="C554">
        <v>11</v>
      </c>
      <c r="D554">
        <v>6</v>
      </c>
      <c r="E554">
        <v>4</v>
      </c>
      <c r="F554">
        <v>225</v>
      </c>
      <c r="G554">
        <v>26</v>
      </c>
      <c r="H554">
        <v>9</v>
      </c>
      <c r="I554">
        <v>28</v>
      </c>
      <c r="J554">
        <v>268519</v>
      </c>
      <c r="K554">
        <v>93</v>
      </c>
      <c r="L554">
        <v>0</v>
      </c>
      <c r="M554">
        <v>1</v>
      </c>
      <c r="N554">
        <v>1</v>
      </c>
      <c r="O554">
        <v>0</v>
      </c>
      <c r="P554">
        <v>0</v>
      </c>
      <c r="Q554">
        <v>2</v>
      </c>
      <c r="R554">
        <v>69</v>
      </c>
      <c r="S554">
        <v>169</v>
      </c>
      <c r="T554">
        <v>24</v>
      </c>
    </row>
    <row r="555" spans="1:21" x14ac:dyDescent="0.3">
      <c r="A555">
        <v>13</v>
      </c>
      <c r="B555">
        <v>26</v>
      </c>
      <c r="C555">
        <v>11</v>
      </c>
      <c r="D555">
        <v>6</v>
      </c>
      <c r="E555">
        <v>4</v>
      </c>
      <c r="F555">
        <v>369</v>
      </c>
      <c r="G555">
        <v>17</v>
      </c>
      <c r="H555">
        <v>12</v>
      </c>
      <c r="I555">
        <v>31</v>
      </c>
      <c r="J555">
        <v>268519</v>
      </c>
      <c r="K555">
        <v>93</v>
      </c>
      <c r="L555">
        <v>0</v>
      </c>
      <c r="M555">
        <v>1</v>
      </c>
      <c r="N555">
        <v>3</v>
      </c>
      <c r="O555">
        <v>1</v>
      </c>
      <c r="P555">
        <v>0</v>
      </c>
      <c r="Q555">
        <v>0</v>
      </c>
      <c r="R555">
        <v>70</v>
      </c>
      <c r="S555">
        <v>169</v>
      </c>
      <c r="T555">
        <v>25</v>
      </c>
    </row>
    <row r="556" spans="1:21" x14ac:dyDescent="0.3">
      <c r="A556">
        <v>10</v>
      </c>
      <c r="B556">
        <v>28</v>
      </c>
      <c r="C556">
        <v>11</v>
      </c>
      <c r="D556">
        <v>2</v>
      </c>
      <c r="E556">
        <v>4</v>
      </c>
      <c r="F556">
        <v>361</v>
      </c>
      <c r="G556">
        <v>52</v>
      </c>
      <c r="H556">
        <v>3</v>
      </c>
      <c r="I556">
        <v>28</v>
      </c>
      <c r="J556">
        <v>268519</v>
      </c>
      <c r="K556">
        <v>93</v>
      </c>
      <c r="L556">
        <v>0</v>
      </c>
      <c r="M556">
        <v>1</v>
      </c>
      <c r="N556">
        <v>1</v>
      </c>
      <c r="O556">
        <v>1</v>
      </c>
      <c r="P556">
        <v>0</v>
      </c>
      <c r="Q556">
        <v>4</v>
      </c>
      <c r="R556">
        <v>80</v>
      </c>
      <c r="S556">
        <v>172</v>
      </c>
      <c r="T556">
        <v>27</v>
      </c>
      <c r="U556">
        <v>2</v>
      </c>
    </row>
    <row r="557" spans="1:21" x14ac:dyDescent="0.3">
      <c r="A557">
        <v>3</v>
      </c>
      <c r="B557">
        <v>13</v>
      </c>
      <c r="C557">
        <v>12</v>
      </c>
      <c r="D557">
        <v>3</v>
      </c>
      <c r="E557">
        <v>4</v>
      </c>
      <c r="F557">
        <v>179</v>
      </c>
      <c r="G557">
        <v>51</v>
      </c>
      <c r="H557">
        <v>18</v>
      </c>
      <c r="I557">
        <v>38</v>
      </c>
      <c r="J557">
        <v>280549</v>
      </c>
      <c r="K557">
        <v>98</v>
      </c>
      <c r="L557">
        <v>0</v>
      </c>
      <c r="M557">
        <v>1</v>
      </c>
      <c r="N557">
        <v>0</v>
      </c>
      <c r="O557">
        <v>1</v>
      </c>
      <c r="P557">
        <v>0</v>
      </c>
      <c r="Q557">
        <v>0</v>
      </c>
      <c r="R557">
        <v>89</v>
      </c>
      <c r="S557">
        <v>170</v>
      </c>
      <c r="T557">
        <v>31</v>
      </c>
    </row>
    <row r="558" spans="1:21" x14ac:dyDescent="0.3">
      <c r="A558">
        <v>15</v>
      </c>
      <c r="B558">
        <v>28</v>
      </c>
      <c r="C558">
        <v>12</v>
      </c>
      <c r="D558">
        <v>4</v>
      </c>
      <c r="E558">
        <v>4</v>
      </c>
      <c r="F558">
        <v>291</v>
      </c>
      <c r="G558">
        <v>31</v>
      </c>
      <c r="H558">
        <v>12</v>
      </c>
      <c r="I558">
        <v>40</v>
      </c>
      <c r="J558">
        <v>280549</v>
      </c>
      <c r="K558">
        <v>98</v>
      </c>
      <c r="L558">
        <v>0</v>
      </c>
      <c r="M558">
        <v>1</v>
      </c>
      <c r="N558">
        <v>1</v>
      </c>
      <c r="O558">
        <v>1</v>
      </c>
      <c r="P558">
        <v>0</v>
      </c>
      <c r="Q558">
        <v>1</v>
      </c>
      <c r="R558">
        <v>73</v>
      </c>
      <c r="S558">
        <v>171</v>
      </c>
      <c r="T558">
        <v>25</v>
      </c>
      <c r="U558">
        <v>1</v>
      </c>
    </row>
    <row r="559" spans="1:21" x14ac:dyDescent="0.3">
      <c r="A559">
        <v>28</v>
      </c>
      <c r="B559">
        <v>23</v>
      </c>
      <c r="C559">
        <v>12</v>
      </c>
      <c r="D559">
        <v>4</v>
      </c>
      <c r="E559">
        <v>4</v>
      </c>
      <c r="F559">
        <v>225</v>
      </c>
      <c r="G559">
        <v>26</v>
      </c>
      <c r="H559">
        <v>9</v>
      </c>
      <c r="I559">
        <v>28</v>
      </c>
      <c r="J559">
        <v>280549</v>
      </c>
      <c r="K559">
        <v>98</v>
      </c>
      <c r="L559">
        <v>0</v>
      </c>
      <c r="M559">
        <v>1</v>
      </c>
      <c r="N559">
        <v>1</v>
      </c>
      <c r="O559">
        <v>0</v>
      </c>
      <c r="P559">
        <v>0</v>
      </c>
      <c r="Q559">
        <v>2</v>
      </c>
      <c r="R559">
        <v>69</v>
      </c>
      <c r="S559">
        <v>169</v>
      </c>
      <c r="T559">
        <v>24</v>
      </c>
      <c r="U559">
        <v>3</v>
      </c>
    </row>
    <row r="560" spans="1:21" x14ac:dyDescent="0.3">
      <c r="A560">
        <v>22</v>
      </c>
      <c r="B560">
        <v>13</v>
      </c>
      <c r="C560">
        <v>12</v>
      </c>
      <c r="D560">
        <v>6</v>
      </c>
      <c r="E560">
        <v>4</v>
      </c>
      <c r="F560">
        <v>179</v>
      </c>
      <c r="G560">
        <v>26</v>
      </c>
      <c r="H560">
        <v>9</v>
      </c>
      <c r="I560">
        <v>30</v>
      </c>
      <c r="J560">
        <v>280549</v>
      </c>
      <c r="K560">
        <v>98</v>
      </c>
      <c r="L560">
        <v>0</v>
      </c>
      <c r="M560">
        <v>3</v>
      </c>
      <c r="N560">
        <v>0</v>
      </c>
      <c r="O560">
        <v>0</v>
      </c>
      <c r="P560">
        <v>0</v>
      </c>
      <c r="Q560">
        <v>0</v>
      </c>
      <c r="R560">
        <v>56</v>
      </c>
      <c r="S560">
        <v>171</v>
      </c>
      <c r="T560">
        <v>19</v>
      </c>
      <c r="U560">
        <v>1</v>
      </c>
    </row>
    <row r="561" spans="1:21" x14ac:dyDescent="0.3">
      <c r="A561">
        <v>28</v>
      </c>
      <c r="B561">
        <v>23</v>
      </c>
      <c r="C561">
        <v>12</v>
      </c>
      <c r="D561">
        <v>6</v>
      </c>
      <c r="E561">
        <v>4</v>
      </c>
      <c r="F561">
        <v>225</v>
      </c>
      <c r="G561">
        <v>26</v>
      </c>
      <c r="H561">
        <v>9</v>
      </c>
      <c r="I561">
        <v>28</v>
      </c>
      <c r="J561">
        <v>280549</v>
      </c>
      <c r="K561">
        <v>98</v>
      </c>
      <c r="L561">
        <v>0</v>
      </c>
      <c r="M561">
        <v>1</v>
      </c>
      <c r="N561">
        <v>1</v>
      </c>
      <c r="O561">
        <v>0</v>
      </c>
      <c r="P561">
        <v>0</v>
      </c>
      <c r="Q561">
        <v>2</v>
      </c>
      <c r="R561">
        <v>69</v>
      </c>
      <c r="S561">
        <v>169</v>
      </c>
      <c r="T561">
        <v>24</v>
      </c>
      <c r="U561">
        <v>3</v>
      </c>
    </row>
    <row r="562" spans="1:21" x14ac:dyDescent="0.3">
      <c r="A562">
        <v>28</v>
      </c>
      <c r="B562">
        <v>23</v>
      </c>
      <c r="C562">
        <v>12</v>
      </c>
      <c r="D562">
        <v>4</v>
      </c>
      <c r="E562">
        <v>4</v>
      </c>
      <c r="F562">
        <v>225</v>
      </c>
      <c r="G562">
        <v>26</v>
      </c>
      <c r="H562">
        <v>9</v>
      </c>
      <c r="I562">
        <v>28</v>
      </c>
      <c r="J562">
        <v>280549</v>
      </c>
      <c r="K562">
        <v>98</v>
      </c>
      <c r="L562">
        <v>0</v>
      </c>
      <c r="M562">
        <v>1</v>
      </c>
      <c r="N562">
        <v>1</v>
      </c>
      <c r="O562">
        <v>0</v>
      </c>
      <c r="P562">
        <v>0</v>
      </c>
      <c r="Q562">
        <v>2</v>
      </c>
      <c r="R562">
        <v>69</v>
      </c>
      <c r="S562">
        <v>169</v>
      </c>
      <c r="T562">
        <v>24</v>
      </c>
      <c r="U562">
        <v>3</v>
      </c>
    </row>
    <row r="563" spans="1:21" x14ac:dyDescent="0.3">
      <c r="A563">
        <v>10</v>
      </c>
      <c r="B563">
        <v>14</v>
      </c>
      <c r="C563">
        <v>12</v>
      </c>
      <c r="D563">
        <v>5</v>
      </c>
      <c r="E563">
        <v>4</v>
      </c>
      <c r="F563">
        <v>361</v>
      </c>
      <c r="G563">
        <v>52</v>
      </c>
      <c r="H563">
        <v>3</v>
      </c>
      <c r="I563">
        <v>28</v>
      </c>
      <c r="J563">
        <v>280549</v>
      </c>
      <c r="K563">
        <v>98</v>
      </c>
      <c r="L563">
        <v>0</v>
      </c>
      <c r="M563">
        <v>1</v>
      </c>
      <c r="N563">
        <v>1</v>
      </c>
      <c r="O563">
        <v>1</v>
      </c>
      <c r="P563">
        <v>0</v>
      </c>
      <c r="Q563">
        <v>4</v>
      </c>
      <c r="R563">
        <v>80</v>
      </c>
      <c r="S563">
        <v>172</v>
      </c>
      <c r="T563">
        <v>27</v>
      </c>
      <c r="U563">
        <v>4</v>
      </c>
    </row>
    <row r="564" spans="1:21" x14ac:dyDescent="0.3">
      <c r="A564">
        <v>17</v>
      </c>
      <c r="B564">
        <v>18</v>
      </c>
      <c r="C564">
        <v>12</v>
      </c>
      <c r="D564">
        <v>6</v>
      </c>
      <c r="E564">
        <v>4</v>
      </c>
      <c r="F564">
        <v>179</v>
      </c>
      <c r="G564">
        <v>22</v>
      </c>
      <c r="H564">
        <v>17</v>
      </c>
      <c r="I564">
        <v>40</v>
      </c>
      <c r="J564">
        <v>280549</v>
      </c>
      <c r="K564">
        <v>98</v>
      </c>
      <c r="L564">
        <v>0</v>
      </c>
      <c r="M564">
        <v>2</v>
      </c>
      <c r="N564">
        <v>2</v>
      </c>
      <c r="O564">
        <v>0</v>
      </c>
      <c r="P564">
        <v>1</v>
      </c>
      <c r="Q564">
        <v>0</v>
      </c>
      <c r="R564">
        <v>63</v>
      </c>
      <c r="S564">
        <v>170</v>
      </c>
      <c r="T564">
        <v>22</v>
      </c>
      <c r="U564">
        <v>2</v>
      </c>
    </row>
    <row r="565" spans="1:21" x14ac:dyDescent="0.3">
      <c r="A565">
        <v>5</v>
      </c>
      <c r="B565">
        <v>26</v>
      </c>
      <c r="C565">
        <v>12</v>
      </c>
      <c r="D565">
        <v>6</v>
      </c>
      <c r="E565">
        <v>4</v>
      </c>
      <c r="F565">
        <v>235</v>
      </c>
      <c r="G565">
        <v>20</v>
      </c>
      <c r="H565">
        <v>13</v>
      </c>
      <c r="I565">
        <v>43</v>
      </c>
      <c r="J565">
        <v>280549</v>
      </c>
      <c r="K565">
        <v>98</v>
      </c>
      <c r="L565">
        <v>0</v>
      </c>
      <c r="M565">
        <v>1</v>
      </c>
      <c r="N565">
        <v>1</v>
      </c>
      <c r="O565">
        <v>1</v>
      </c>
      <c r="P565">
        <v>0</v>
      </c>
      <c r="Q565">
        <v>0</v>
      </c>
      <c r="R565">
        <v>106</v>
      </c>
      <c r="S565">
        <v>167</v>
      </c>
      <c r="T565">
        <v>38</v>
      </c>
      <c r="U565">
        <v>8</v>
      </c>
    </row>
    <row r="566" spans="1:21" x14ac:dyDescent="0.3">
      <c r="A566">
        <v>12</v>
      </c>
      <c r="B566">
        <v>18</v>
      </c>
      <c r="C566">
        <v>12</v>
      </c>
      <c r="D566">
        <v>2</v>
      </c>
      <c r="E566">
        <v>4</v>
      </c>
      <c r="F566">
        <v>233</v>
      </c>
      <c r="G566">
        <v>51</v>
      </c>
      <c r="H566">
        <v>1</v>
      </c>
      <c r="I566">
        <v>31</v>
      </c>
      <c r="J566">
        <v>280549</v>
      </c>
      <c r="K566">
        <v>98</v>
      </c>
      <c r="L566">
        <v>0</v>
      </c>
      <c r="M566">
        <v>2</v>
      </c>
      <c r="N566">
        <v>1</v>
      </c>
      <c r="O566">
        <v>1</v>
      </c>
      <c r="P566">
        <v>0</v>
      </c>
      <c r="Q566">
        <v>8</v>
      </c>
      <c r="R566">
        <v>68</v>
      </c>
      <c r="S566">
        <v>178</v>
      </c>
      <c r="T566">
        <v>21</v>
      </c>
      <c r="U566">
        <v>8</v>
      </c>
    </row>
    <row r="567" spans="1:21" x14ac:dyDescent="0.3">
      <c r="A567">
        <v>22</v>
      </c>
      <c r="B567">
        <v>13</v>
      </c>
      <c r="C567">
        <v>12</v>
      </c>
      <c r="D567">
        <v>3</v>
      </c>
      <c r="E567">
        <v>4</v>
      </c>
      <c r="F567">
        <v>179</v>
      </c>
      <c r="G567">
        <v>26</v>
      </c>
      <c r="H567">
        <v>9</v>
      </c>
      <c r="I567">
        <v>30</v>
      </c>
      <c r="J567">
        <v>280549</v>
      </c>
      <c r="K567">
        <v>98</v>
      </c>
      <c r="L567">
        <v>0</v>
      </c>
      <c r="M567">
        <v>3</v>
      </c>
      <c r="N567">
        <v>0</v>
      </c>
      <c r="O567">
        <v>0</v>
      </c>
      <c r="P567">
        <v>0</v>
      </c>
      <c r="Q567">
        <v>0</v>
      </c>
      <c r="R567">
        <v>56</v>
      </c>
      <c r="S567">
        <v>171</v>
      </c>
      <c r="T567">
        <v>19</v>
      </c>
      <c r="U567">
        <v>16</v>
      </c>
    </row>
    <row r="568" spans="1:21" x14ac:dyDescent="0.3">
      <c r="A568">
        <v>28</v>
      </c>
      <c r="B568">
        <v>23</v>
      </c>
      <c r="C568">
        <v>12</v>
      </c>
      <c r="D568">
        <v>3</v>
      </c>
      <c r="E568">
        <v>4</v>
      </c>
      <c r="F568">
        <v>225</v>
      </c>
      <c r="G568">
        <v>26</v>
      </c>
      <c r="H568">
        <v>9</v>
      </c>
      <c r="I568">
        <v>28</v>
      </c>
      <c r="J568">
        <v>280549</v>
      </c>
      <c r="K568">
        <v>98</v>
      </c>
      <c r="L568">
        <v>0</v>
      </c>
      <c r="M568">
        <v>1</v>
      </c>
      <c r="N568">
        <v>1</v>
      </c>
      <c r="O568">
        <v>0</v>
      </c>
      <c r="P568">
        <v>0</v>
      </c>
      <c r="Q568">
        <v>2</v>
      </c>
      <c r="R568">
        <v>69</v>
      </c>
      <c r="S568">
        <v>169</v>
      </c>
      <c r="T568">
        <v>24</v>
      </c>
      <c r="U568">
        <v>2</v>
      </c>
    </row>
    <row r="569" spans="1:21" x14ac:dyDescent="0.3">
      <c r="A569">
        <v>28</v>
      </c>
      <c r="B569">
        <v>23</v>
      </c>
      <c r="C569">
        <v>12</v>
      </c>
      <c r="D569">
        <v>5</v>
      </c>
      <c r="E569">
        <v>4</v>
      </c>
      <c r="F569">
        <v>225</v>
      </c>
      <c r="G569">
        <v>26</v>
      </c>
      <c r="H569">
        <v>9</v>
      </c>
      <c r="I569">
        <v>28</v>
      </c>
      <c r="J569">
        <v>280549</v>
      </c>
      <c r="K569">
        <v>98</v>
      </c>
      <c r="L569">
        <v>0</v>
      </c>
      <c r="M569">
        <v>1</v>
      </c>
      <c r="N569">
        <v>1</v>
      </c>
      <c r="O569">
        <v>0</v>
      </c>
      <c r="P569">
        <v>0</v>
      </c>
      <c r="Q569">
        <v>2</v>
      </c>
      <c r="R569">
        <v>69</v>
      </c>
      <c r="S569">
        <v>169</v>
      </c>
      <c r="T569">
        <v>24</v>
      </c>
      <c r="U569">
        <v>3</v>
      </c>
    </row>
    <row r="570" spans="1:21" x14ac:dyDescent="0.3">
      <c r="A570">
        <v>28</v>
      </c>
      <c r="B570">
        <v>23</v>
      </c>
      <c r="C570">
        <v>12</v>
      </c>
      <c r="D570">
        <v>2</v>
      </c>
      <c r="E570">
        <v>4</v>
      </c>
      <c r="F570">
        <v>225</v>
      </c>
      <c r="G570">
        <v>26</v>
      </c>
      <c r="H570">
        <v>9</v>
      </c>
      <c r="I570">
        <v>28</v>
      </c>
      <c r="J570">
        <v>280549</v>
      </c>
      <c r="K570">
        <v>98</v>
      </c>
      <c r="L570">
        <v>0</v>
      </c>
      <c r="M570">
        <v>1</v>
      </c>
      <c r="N570">
        <v>1</v>
      </c>
      <c r="O570">
        <v>0</v>
      </c>
      <c r="P570">
        <v>0</v>
      </c>
      <c r="Q570">
        <v>2</v>
      </c>
      <c r="R570">
        <v>69</v>
      </c>
      <c r="S570">
        <v>169</v>
      </c>
      <c r="T570">
        <v>24</v>
      </c>
      <c r="U570">
        <v>2</v>
      </c>
    </row>
    <row r="571" spans="1:21" x14ac:dyDescent="0.3">
      <c r="A571">
        <v>14</v>
      </c>
      <c r="B571">
        <v>18</v>
      </c>
      <c r="C571">
        <v>12</v>
      </c>
      <c r="D571">
        <v>3</v>
      </c>
      <c r="E571">
        <v>2</v>
      </c>
      <c r="F571">
        <v>155</v>
      </c>
      <c r="G571">
        <v>12</v>
      </c>
      <c r="H571">
        <v>14</v>
      </c>
      <c r="I571">
        <v>34</v>
      </c>
      <c r="J571">
        <v>280549</v>
      </c>
      <c r="K571">
        <v>98</v>
      </c>
      <c r="L571">
        <v>0</v>
      </c>
      <c r="M571">
        <v>1</v>
      </c>
      <c r="N571">
        <v>2</v>
      </c>
      <c r="O571">
        <v>1</v>
      </c>
      <c r="P571">
        <v>0</v>
      </c>
      <c r="Q571">
        <v>0</v>
      </c>
      <c r="R571">
        <v>95</v>
      </c>
      <c r="S571">
        <v>196</v>
      </c>
      <c r="T571">
        <v>25</v>
      </c>
      <c r="U571">
        <v>80</v>
      </c>
    </row>
    <row r="572" spans="1:21" x14ac:dyDescent="0.3">
      <c r="A572">
        <v>22</v>
      </c>
      <c r="B572">
        <v>12</v>
      </c>
      <c r="C572">
        <v>1</v>
      </c>
      <c r="D572">
        <v>2</v>
      </c>
      <c r="E572">
        <v>2</v>
      </c>
      <c r="F572">
        <v>179</v>
      </c>
      <c r="G572">
        <v>26</v>
      </c>
      <c r="H572">
        <v>9</v>
      </c>
      <c r="I572">
        <v>30</v>
      </c>
      <c r="J572">
        <v>313532</v>
      </c>
      <c r="K572">
        <v>96</v>
      </c>
      <c r="L572">
        <v>0</v>
      </c>
      <c r="M572">
        <v>3</v>
      </c>
      <c r="N572">
        <v>0</v>
      </c>
      <c r="O572">
        <v>0</v>
      </c>
      <c r="P572">
        <v>0</v>
      </c>
      <c r="Q572">
        <v>0</v>
      </c>
      <c r="R572">
        <v>56</v>
      </c>
      <c r="S572">
        <v>171</v>
      </c>
      <c r="T572">
        <v>19</v>
      </c>
      <c r="U572">
        <v>24</v>
      </c>
    </row>
    <row r="573" spans="1:21" x14ac:dyDescent="0.3">
      <c r="A573">
        <v>22</v>
      </c>
      <c r="B573">
        <v>12</v>
      </c>
      <c r="C573">
        <v>1</v>
      </c>
      <c r="D573">
        <v>5</v>
      </c>
      <c r="E573">
        <v>2</v>
      </c>
      <c r="F573">
        <v>179</v>
      </c>
      <c r="G573">
        <v>26</v>
      </c>
      <c r="H573">
        <v>9</v>
      </c>
      <c r="I573">
        <v>30</v>
      </c>
      <c r="J573">
        <v>313532</v>
      </c>
      <c r="K573">
        <v>96</v>
      </c>
      <c r="L573">
        <v>0</v>
      </c>
      <c r="M573">
        <v>3</v>
      </c>
      <c r="N573">
        <v>0</v>
      </c>
      <c r="O573">
        <v>0</v>
      </c>
      <c r="P573">
        <v>0</v>
      </c>
      <c r="Q573">
        <v>0</v>
      </c>
      <c r="R573">
        <v>56</v>
      </c>
      <c r="S573">
        <v>171</v>
      </c>
      <c r="T573">
        <v>19</v>
      </c>
      <c r="U573">
        <v>16</v>
      </c>
    </row>
    <row r="574" spans="1:21" x14ac:dyDescent="0.3">
      <c r="A574">
        <v>17</v>
      </c>
      <c r="B574">
        <v>25</v>
      </c>
      <c r="C574">
        <v>1</v>
      </c>
      <c r="D574">
        <v>5</v>
      </c>
      <c r="E574">
        <v>2</v>
      </c>
      <c r="F574">
        <v>179</v>
      </c>
      <c r="G574">
        <v>22</v>
      </c>
      <c r="H574">
        <v>17</v>
      </c>
      <c r="I574">
        <v>40</v>
      </c>
      <c r="J574">
        <v>313532</v>
      </c>
      <c r="K574">
        <v>96</v>
      </c>
      <c r="L574">
        <v>0</v>
      </c>
      <c r="M574">
        <v>2</v>
      </c>
      <c r="N574">
        <v>2</v>
      </c>
      <c r="O574">
        <v>0</v>
      </c>
      <c r="P574">
        <v>1</v>
      </c>
      <c r="Q574">
        <v>0</v>
      </c>
      <c r="R574">
        <v>63</v>
      </c>
      <c r="S574">
        <v>170</v>
      </c>
      <c r="T574">
        <v>22</v>
      </c>
      <c r="U574">
        <v>2</v>
      </c>
    </row>
    <row r="575" spans="1:21" x14ac:dyDescent="0.3">
      <c r="A575">
        <v>17</v>
      </c>
      <c r="B575">
        <v>25</v>
      </c>
      <c r="C575">
        <v>1</v>
      </c>
      <c r="D575">
        <v>6</v>
      </c>
      <c r="E575">
        <v>2</v>
      </c>
      <c r="F575">
        <v>179</v>
      </c>
      <c r="G575">
        <v>22</v>
      </c>
      <c r="H575">
        <v>17</v>
      </c>
      <c r="I575">
        <v>40</v>
      </c>
      <c r="J575">
        <v>313532</v>
      </c>
      <c r="K575">
        <v>96</v>
      </c>
      <c r="L575">
        <v>0</v>
      </c>
      <c r="M575">
        <v>2</v>
      </c>
      <c r="N575">
        <v>2</v>
      </c>
      <c r="O575">
        <v>0</v>
      </c>
      <c r="P575">
        <v>1</v>
      </c>
      <c r="Q575">
        <v>0</v>
      </c>
      <c r="R575">
        <v>63</v>
      </c>
      <c r="S575">
        <v>170</v>
      </c>
      <c r="T575">
        <v>22</v>
      </c>
      <c r="U575">
        <v>2</v>
      </c>
    </row>
    <row r="576" spans="1:21" x14ac:dyDescent="0.3">
      <c r="A576">
        <v>22</v>
      </c>
      <c r="B576">
        <v>13</v>
      </c>
      <c r="C576">
        <v>1</v>
      </c>
      <c r="D576">
        <v>2</v>
      </c>
      <c r="E576">
        <v>2</v>
      </c>
      <c r="F576">
        <v>179</v>
      </c>
      <c r="G576">
        <v>26</v>
      </c>
      <c r="H576">
        <v>9</v>
      </c>
      <c r="I576">
        <v>30</v>
      </c>
      <c r="J576">
        <v>313532</v>
      </c>
      <c r="K576">
        <v>96</v>
      </c>
      <c r="L576">
        <v>0</v>
      </c>
      <c r="M576">
        <v>3</v>
      </c>
      <c r="N576">
        <v>0</v>
      </c>
      <c r="O576">
        <v>0</v>
      </c>
      <c r="P576">
        <v>0</v>
      </c>
      <c r="Q576">
        <v>0</v>
      </c>
      <c r="R576">
        <v>56</v>
      </c>
      <c r="S576">
        <v>171</v>
      </c>
      <c r="T576">
        <v>19</v>
      </c>
      <c r="U576">
        <v>3</v>
      </c>
    </row>
    <row r="577" spans="1:21" x14ac:dyDescent="0.3">
      <c r="A577">
        <v>17</v>
      </c>
      <c r="B577">
        <v>25</v>
      </c>
      <c r="C577">
        <v>1</v>
      </c>
      <c r="D577">
        <v>4</v>
      </c>
      <c r="E577">
        <v>2</v>
      </c>
      <c r="F577">
        <v>179</v>
      </c>
      <c r="G577">
        <v>22</v>
      </c>
      <c r="H577">
        <v>17</v>
      </c>
      <c r="I577">
        <v>40</v>
      </c>
      <c r="J577">
        <v>313532</v>
      </c>
      <c r="K577">
        <v>96</v>
      </c>
      <c r="L577">
        <v>0</v>
      </c>
      <c r="M577">
        <v>2</v>
      </c>
      <c r="N577">
        <v>2</v>
      </c>
      <c r="O577">
        <v>0</v>
      </c>
      <c r="P577">
        <v>1</v>
      </c>
      <c r="Q577">
        <v>0</v>
      </c>
      <c r="R577">
        <v>63</v>
      </c>
      <c r="S577">
        <v>170</v>
      </c>
      <c r="T577">
        <v>22</v>
      </c>
      <c r="U577">
        <v>2</v>
      </c>
    </row>
    <row r="578" spans="1:21" x14ac:dyDescent="0.3">
      <c r="A578">
        <v>32</v>
      </c>
      <c r="B578">
        <v>10</v>
      </c>
      <c r="C578">
        <v>1</v>
      </c>
      <c r="D578">
        <v>5</v>
      </c>
      <c r="E578">
        <v>2</v>
      </c>
      <c r="F578">
        <v>289</v>
      </c>
      <c r="G578">
        <v>48</v>
      </c>
      <c r="H578">
        <v>29</v>
      </c>
      <c r="I578">
        <v>49</v>
      </c>
      <c r="J578">
        <v>313532</v>
      </c>
      <c r="K578">
        <v>96</v>
      </c>
      <c r="L578">
        <v>0</v>
      </c>
      <c r="M578">
        <v>1</v>
      </c>
      <c r="N578">
        <v>0</v>
      </c>
      <c r="O578">
        <v>0</v>
      </c>
      <c r="P578">
        <v>0</v>
      </c>
      <c r="Q578">
        <v>2</v>
      </c>
      <c r="R578">
        <v>108</v>
      </c>
      <c r="S578">
        <v>172</v>
      </c>
      <c r="T578">
        <v>36</v>
      </c>
      <c r="U578">
        <v>8</v>
      </c>
    </row>
    <row r="579" spans="1:21" x14ac:dyDescent="0.3">
      <c r="A579">
        <v>17</v>
      </c>
      <c r="B579">
        <v>18</v>
      </c>
      <c r="C579">
        <v>1</v>
      </c>
      <c r="D579">
        <v>6</v>
      </c>
      <c r="E579">
        <v>2</v>
      </c>
      <c r="F579">
        <v>179</v>
      </c>
      <c r="G579">
        <v>22</v>
      </c>
      <c r="H579">
        <v>17</v>
      </c>
      <c r="I579">
        <v>40</v>
      </c>
      <c r="J579">
        <v>313532</v>
      </c>
      <c r="K579">
        <v>96</v>
      </c>
      <c r="L579">
        <v>0</v>
      </c>
      <c r="M579">
        <v>2</v>
      </c>
      <c r="N579">
        <v>2</v>
      </c>
      <c r="O579">
        <v>0</v>
      </c>
      <c r="P579">
        <v>1</v>
      </c>
      <c r="Q579">
        <v>0</v>
      </c>
      <c r="R579">
        <v>63</v>
      </c>
      <c r="S579">
        <v>170</v>
      </c>
      <c r="T579">
        <v>22</v>
      </c>
      <c r="U579">
        <v>3</v>
      </c>
    </row>
    <row r="580" spans="1:21" x14ac:dyDescent="0.3">
      <c r="A580">
        <v>22</v>
      </c>
      <c r="B580">
        <v>27</v>
      </c>
      <c r="C580">
        <v>1</v>
      </c>
      <c r="D580">
        <v>2</v>
      </c>
      <c r="E580">
        <v>2</v>
      </c>
      <c r="F580">
        <v>179</v>
      </c>
      <c r="G580">
        <v>26</v>
      </c>
      <c r="H580">
        <v>9</v>
      </c>
      <c r="I580">
        <v>30</v>
      </c>
      <c r="J580">
        <v>313532</v>
      </c>
      <c r="K580">
        <v>96</v>
      </c>
      <c r="L580">
        <v>0</v>
      </c>
      <c r="M580">
        <v>3</v>
      </c>
      <c r="N580">
        <v>0</v>
      </c>
      <c r="O580">
        <v>0</v>
      </c>
      <c r="P580">
        <v>0</v>
      </c>
      <c r="Q580">
        <v>0</v>
      </c>
      <c r="R580">
        <v>56</v>
      </c>
      <c r="S580">
        <v>171</v>
      </c>
      <c r="T580">
        <v>19</v>
      </c>
      <c r="U580">
        <v>2</v>
      </c>
    </row>
    <row r="581" spans="1:21" x14ac:dyDescent="0.3">
      <c r="A581">
        <v>14</v>
      </c>
      <c r="B581">
        <v>18</v>
      </c>
      <c r="C581">
        <v>1</v>
      </c>
      <c r="D581">
        <v>3</v>
      </c>
      <c r="E581">
        <v>2</v>
      </c>
      <c r="F581">
        <v>155</v>
      </c>
      <c r="G581">
        <v>12</v>
      </c>
      <c r="H581">
        <v>14</v>
      </c>
      <c r="I581">
        <v>34</v>
      </c>
      <c r="J581">
        <v>313532</v>
      </c>
      <c r="K581">
        <v>96</v>
      </c>
      <c r="L581">
        <v>0</v>
      </c>
      <c r="M581">
        <v>1</v>
      </c>
      <c r="N581">
        <v>2</v>
      </c>
      <c r="O581">
        <v>1</v>
      </c>
      <c r="P581">
        <v>0</v>
      </c>
      <c r="Q581">
        <v>0</v>
      </c>
      <c r="R581">
        <v>95</v>
      </c>
      <c r="S581">
        <v>196</v>
      </c>
      <c r="T581">
        <v>25</v>
      </c>
      <c r="U581">
        <v>8</v>
      </c>
    </row>
    <row r="582" spans="1:21" x14ac:dyDescent="0.3">
      <c r="A582">
        <v>22</v>
      </c>
      <c r="B582">
        <v>27</v>
      </c>
      <c r="C582">
        <v>1</v>
      </c>
      <c r="D582">
        <v>4</v>
      </c>
      <c r="E582">
        <v>2</v>
      </c>
      <c r="F582">
        <v>179</v>
      </c>
      <c r="G582">
        <v>26</v>
      </c>
      <c r="H582">
        <v>9</v>
      </c>
      <c r="I582">
        <v>30</v>
      </c>
      <c r="J582">
        <v>313532</v>
      </c>
      <c r="K582">
        <v>96</v>
      </c>
      <c r="L582">
        <v>0</v>
      </c>
      <c r="M582">
        <v>3</v>
      </c>
      <c r="N582">
        <v>0</v>
      </c>
      <c r="O582">
        <v>0</v>
      </c>
      <c r="P582">
        <v>0</v>
      </c>
      <c r="Q582">
        <v>0</v>
      </c>
      <c r="R582">
        <v>56</v>
      </c>
      <c r="S582">
        <v>171</v>
      </c>
      <c r="T582">
        <v>19</v>
      </c>
      <c r="U582">
        <v>2</v>
      </c>
    </row>
    <row r="583" spans="1:21" x14ac:dyDescent="0.3">
      <c r="A583">
        <v>3</v>
      </c>
      <c r="B583">
        <v>27</v>
      </c>
      <c r="C583">
        <v>1</v>
      </c>
      <c r="D583">
        <v>4</v>
      </c>
      <c r="E583">
        <v>2</v>
      </c>
      <c r="F583">
        <v>179</v>
      </c>
      <c r="G583">
        <v>51</v>
      </c>
      <c r="H583">
        <v>18</v>
      </c>
      <c r="I583">
        <v>38</v>
      </c>
      <c r="J583">
        <v>313532</v>
      </c>
      <c r="K583">
        <v>96</v>
      </c>
      <c r="L583">
        <v>0</v>
      </c>
      <c r="M583">
        <v>1</v>
      </c>
      <c r="N583">
        <v>0</v>
      </c>
      <c r="O583">
        <v>1</v>
      </c>
      <c r="P583">
        <v>0</v>
      </c>
      <c r="Q583">
        <v>0</v>
      </c>
      <c r="R583">
        <v>89</v>
      </c>
      <c r="S583">
        <v>170</v>
      </c>
      <c r="T583">
        <v>31</v>
      </c>
      <c r="U583">
        <v>3</v>
      </c>
    </row>
    <row r="584" spans="1:21" x14ac:dyDescent="0.3">
      <c r="A584">
        <v>11</v>
      </c>
      <c r="B584">
        <v>13</v>
      </c>
      <c r="C584">
        <v>1</v>
      </c>
      <c r="D584">
        <v>4</v>
      </c>
      <c r="E584">
        <v>2</v>
      </c>
      <c r="F584">
        <v>289</v>
      </c>
      <c r="G584">
        <v>36</v>
      </c>
      <c r="H584">
        <v>13</v>
      </c>
      <c r="I584">
        <v>33</v>
      </c>
      <c r="J584">
        <v>313532</v>
      </c>
      <c r="K584">
        <v>96</v>
      </c>
      <c r="L584">
        <v>0</v>
      </c>
      <c r="M584">
        <v>1</v>
      </c>
      <c r="N584">
        <v>2</v>
      </c>
      <c r="O584">
        <v>1</v>
      </c>
      <c r="P584">
        <v>0</v>
      </c>
      <c r="Q584">
        <v>1</v>
      </c>
      <c r="R584">
        <v>90</v>
      </c>
      <c r="S584">
        <v>172</v>
      </c>
      <c r="T584">
        <v>30</v>
      </c>
      <c r="U584">
        <v>8</v>
      </c>
    </row>
    <row r="585" spans="1:21" x14ac:dyDescent="0.3">
      <c r="A585">
        <v>3</v>
      </c>
      <c r="B585">
        <v>27</v>
      </c>
      <c r="C585">
        <v>1</v>
      </c>
      <c r="D585">
        <v>5</v>
      </c>
      <c r="E585">
        <v>2</v>
      </c>
      <c r="F585">
        <v>179</v>
      </c>
      <c r="G585">
        <v>51</v>
      </c>
      <c r="H585">
        <v>18</v>
      </c>
      <c r="I585">
        <v>38</v>
      </c>
      <c r="J585">
        <v>313532</v>
      </c>
      <c r="K585">
        <v>96</v>
      </c>
      <c r="L585">
        <v>0</v>
      </c>
      <c r="M585">
        <v>1</v>
      </c>
      <c r="N585">
        <v>0</v>
      </c>
      <c r="O585">
        <v>1</v>
      </c>
      <c r="P585">
        <v>0</v>
      </c>
      <c r="Q585">
        <v>0</v>
      </c>
      <c r="R585">
        <v>89</v>
      </c>
      <c r="S585">
        <v>170</v>
      </c>
      <c r="T585">
        <v>31</v>
      </c>
      <c r="U585">
        <v>3</v>
      </c>
    </row>
    <row r="586" spans="1:21" x14ac:dyDescent="0.3">
      <c r="A586">
        <v>3</v>
      </c>
      <c r="B586">
        <v>27</v>
      </c>
      <c r="C586">
        <v>1</v>
      </c>
      <c r="D586">
        <v>6</v>
      </c>
      <c r="E586">
        <v>2</v>
      </c>
      <c r="F586">
        <v>179</v>
      </c>
      <c r="G586">
        <v>51</v>
      </c>
      <c r="H586">
        <v>18</v>
      </c>
      <c r="I586">
        <v>38</v>
      </c>
      <c r="J586">
        <v>313532</v>
      </c>
      <c r="K586">
        <v>96</v>
      </c>
      <c r="L586">
        <v>0</v>
      </c>
      <c r="M586">
        <v>1</v>
      </c>
      <c r="N586">
        <v>0</v>
      </c>
      <c r="O586">
        <v>1</v>
      </c>
      <c r="P586">
        <v>0</v>
      </c>
      <c r="Q586">
        <v>0</v>
      </c>
      <c r="R586">
        <v>89</v>
      </c>
      <c r="S586">
        <v>170</v>
      </c>
      <c r="T586">
        <v>31</v>
      </c>
      <c r="U586">
        <v>2</v>
      </c>
    </row>
    <row r="587" spans="1:21" x14ac:dyDescent="0.3">
      <c r="A587">
        <v>3</v>
      </c>
      <c r="B587">
        <v>13</v>
      </c>
      <c r="C587">
        <v>2</v>
      </c>
      <c r="D587">
        <v>3</v>
      </c>
      <c r="E587">
        <v>2</v>
      </c>
      <c r="F587">
        <v>179</v>
      </c>
      <c r="G587">
        <v>51</v>
      </c>
      <c r="H587">
        <v>18</v>
      </c>
      <c r="I587">
        <v>38</v>
      </c>
      <c r="J587">
        <v>264249</v>
      </c>
      <c r="K587">
        <v>97</v>
      </c>
      <c r="L587">
        <v>0</v>
      </c>
      <c r="M587">
        <v>1</v>
      </c>
      <c r="N587">
        <v>0</v>
      </c>
      <c r="O587">
        <v>1</v>
      </c>
      <c r="P587">
        <v>0</v>
      </c>
      <c r="Q587">
        <v>0</v>
      </c>
      <c r="R587">
        <v>89</v>
      </c>
      <c r="S587">
        <v>170</v>
      </c>
      <c r="T587">
        <v>31</v>
      </c>
      <c r="U587">
        <v>8</v>
      </c>
    </row>
    <row r="588" spans="1:21" x14ac:dyDescent="0.3">
      <c r="A588">
        <v>28</v>
      </c>
      <c r="B588">
        <v>23</v>
      </c>
      <c r="C588">
        <v>2</v>
      </c>
      <c r="D588">
        <v>3</v>
      </c>
      <c r="E588">
        <v>2</v>
      </c>
      <c r="F588">
        <v>225</v>
      </c>
      <c r="G588">
        <v>26</v>
      </c>
      <c r="H588">
        <v>9</v>
      </c>
      <c r="I588">
        <v>28</v>
      </c>
      <c r="J588">
        <v>264249</v>
      </c>
      <c r="K588">
        <v>97</v>
      </c>
      <c r="L588">
        <v>0</v>
      </c>
      <c r="M588">
        <v>1</v>
      </c>
      <c r="N588">
        <v>1</v>
      </c>
      <c r="O588">
        <v>0</v>
      </c>
      <c r="P588">
        <v>0</v>
      </c>
      <c r="Q588">
        <v>2</v>
      </c>
      <c r="R588">
        <v>69</v>
      </c>
      <c r="S588">
        <v>169</v>
      </c>
      <c r="T588">
        <v>24</v>
      </c>
      <c r="U588">
        <v>3</v>
      </c>
    </row>
    <row r="589" spans="1:21" x14ac:dyDescent="0.3">
      <c r="A589">
        <v>33</v>
      </c>
      <c r="B589">
        <v>1</v>
      </c>
      <c r="C589">
        <v>2</v>
      </c>
      <c r="D589">
        <v>4</v>
      </c>
      <c r="E589">
        <v>2</v>
      </c>
      <c r="F589">
        <v>248</v>
      </c>
      <c r="G589">
        <v>25</v>
      </c>
      <c r="H589">
        <v>14</v>
      </c>
      <c r="I589">
        <v>47</v>
      </c>
      <c r="J589">
        <v>264249</v>
      </c>
      <c r="K589">
        <v>97</v>
      </c>
      <c r="L589">
        <v>0</v>
      </c>
      <c r="M589">
        <v>1</v>
      </c>
      <c r="N589">
        <v>2</v>
      </c>
      <c r="O589">
        <v>0</v>
      </c>
      <c r="P589">
        <v>0</v>
      </c>
      <c r="Q589">
        <v>1</v>
      </c>
      <c r="R589">
        <v>86</v>
      </c>
      <c r="S589">
        <v>165</v>
      </c>
      <c r="T589">
        <v>32</v>
      </c>
      <c r="U589">
        <v>8</v>
      </c>
    </row>
    <row r="590" spans="1:21" x14ac:dyDescent="0.3">
      <c r="A590">
        <v>3</v>
      </c>
      <c r="B590">
        <v>27</v>
      </c>
      <c r="C590">
        <v>2</v>
      </c>
      <c r="D590">
        <v>4</v>
      </c>
      <c r="E590">
        <v>2</v>
      </c>
      <c r="F590">
        <v>179</v>
      </c>
      <c r="G590">
        <v>51</v>
      </c>
      <c r="H590">
        <v>18</v>
      </c>
      <c r="I590">
        <v>38</v>
      </c>
      <c r="J590">
        <v>264249</v>
      </c>
      <c r="K590">
        <v>97</v>
      </c>
      <c r="L590">
        <v>0</v>
      </c>
      <c r="M590">
        <v>1</v>
      </c>
      <c r="N590">
        <v>0</v>
      </c>
      <c r="O590">
        <v>1</v>
      </c>
      <c r="P590">
        <v>0</v>
      </c>
      <c r="Q590">
        <v>0</v>
      </c>
      <c r="R590">
        <v>89</v>
      </c>
      <c r="S590">
        <v>170</v>
      </c>
      <c r="T590">
        <v>31</v>
      </c>
      <c r="U590">
        <v>2</v>
      </c>
    </row>
    <row r="591" spans="1:21" x14ac:dyDescent="0.3">
      <c r="A591">
        <v>28</v>
      </c>
      <c r="B591">
        <v>28</v>
      </c>
      <c r="C591">
        <v>2</v>
      </c>
      <c r="D591">
        <v>5</v>
      </c>
      <c r="E591">
        <v>2</v>
      </c>
      <c r="F591">
        <v>225</v>
      </c>
      <c r="G591">
        <v>26</v>
      </c>
      <c r="H591">
        <v>9</v>
      </c>
      <c r="I591">
        <v>28</v>
      </c>
      <c r="J591">
        <v>264249</v>
      </c>
      <c r="K591">
        <v>97</v>
      </c>
      <c r="L591">
        <v>0</v>
      </c>
      <c r="M591">
        <v>1</v>
      </c>
      <c r="N591">
        <v>1</v>
      </c>
      <c r="O591">
        <v>0</v>
      </c>
      <c r="P591">
        <v>0</v>
      </c>
      <c r="Q591">
        <v>2</v>
      </c>
      <c r="R591">
        <v>69</v>
      </c>
      <c r="S591">
        <v>169</v>
      </c>
      <c r="T591">
        <v>24</v>
      </c>
      <c r="U591">
        <v>3</v>
      </c>
    </row>
    <row r="592" spans="1:21" x14ac:dyDescent="0.3">
      <c r="A592">
        <v>3</v>
      </c>
      <c r="B592">
        <v>27</v>
      </c>
      <c r="C592">
        <v>2</v>
      </c>
      <c r="D592">
        <v>5</v>
      </c>
      <c r="E592">
        <v>2</v>
      </c>
      <c r="F592">
        <v>179</v>
      </c>
      <c r="G592">
        <v>51</v>
      </c>
      <c r="H592">
        <v>18</v>
      </c>
      <c r="I592">
        <v>38</v>
      </c>
      <c r="J592">
        <v>264249</v>
      </c>
      <c r="K592">
        <v>97</v>
      </c>
      <c r="L592">
        <v>0</v>
      </c>
      <c r="M592">
        <v>1</v>
      </c>
      <c r="N592">
        <v>0</v>
      </c>
      <c r="O592">
        <v>1</v>
      </c>
      <c r="P592">
        <v>0</v>
      </c>
      <c r="Q592">
        <v>0</v>
      </c>
      <c r="R592">
        <v>89</v>
      </c>
      <c r="S592">
        <v>170</v>
      </c>
      <c r="T592">
        <v>31</v>
      </c>
      <c r="U592">
        <v>2</v>
      </c>
    </row>
    <row r="593" spans="1:21" x14ac:dyDescent="0.3">
      <c r="A593">
        <v>22</v>
      </c>
      <c r="B593">
        <v>27</v>
      </c>
      <c r="C593">
        <v>2</v>
      </c>
      <c r="D593">
        <v>5</v>
      </c>
      <c r="E593">
        <v>2</v>
      </c>
      <c r="F593">
        <v>179</v>
      </c>
      <c r="G593">
        <v>26</v>
      </c>
      <c r="H593">
        <v>9</v>
      </c>
      <c r="I593">
        <v>30</v>
      </c>
      <c r="J593">
        <v>264249</v>
      </c>
      <c r="K593">
        <v>97</v>
      </c>
      <c r="L593">
        <v>0</v>
      </c>
      <c r="M593">
        <v>3</v>
      </c>
      <c r="N593">
        <v>0</v>
      </c>
      <c r="O593">
        <v>0</v>
      </c>
      <c r="P593">
        <v>0</v>
      </c>
      <c r="Q593">
        <v>0</v>
      </c>
      <c r="R593">
        <v>56</v>
      </c>
      <c r="S593">
        <v>171</v>
      </c>
      <c r="T593">
        <v>19</v>
      </c>
      <c r="U593">
        <v>2</v>
      </c>
    </row>
    <row r="594" spans="1:21" x14ac:dyDescent="0.3">
      <c r="A594">
        <v>29</v>
      </c>
      <c r="B594">
        <v>28</v>
      </c>
      <c r="C594">
        <v>2</v>
      </c>
      <c r="D594">
        <v>6</v>
      </c>
      <c r="E594">
        <v>2</v>
      </c>
      <c r="F594">
        <v>225</v>
      </c>
      <c r="G594">
        <v>15</v>
      </c>
      <c r="H594">
        <v>15</v>
      </c>
      <c r="I594">
        <v>41</v>
      </c>
      <c r="J594">
        <v>264249</v>
      </c>
      <c r="K594">
        <v>97</v>
      </c>
      <c r="L594">
        <v>0</v>
      </c>
      <c r="M594">
        <v>4</v>
      </c>
      <c r="N594">
        <v>2</v>
      </c>
      <c r="O594">
        <v>1</v>
      </c>
      <c r="P594">
        <v>0</v>
      </c>
      <c r="Q594">
        <v>2</v>
      </c>
      <c r="R594">
        <v>94</v>
      </c>
      <c r="S594">
        <v>182</v>
      </c>
      <c r="T594">
        <v>28</v>
      </c>
      <c r="U594">
        <v>2</v>
      </c>
    </row>
    <row r="595" spans="1:21" x14ac:dyDescent="0.3">
      <c r="A595">
        <v>3</v>
      </c>
      <c r="B595">
        <v>27</v>
      </c>
      <c r="C595">
        <v>2</v>
      </c>
      <c r="D595">
        <v>6</v>
      </c>
      <c r="E595">
        <v>2</v>
      </c>
      <c r="F595">
        <v>179</v>
      </c>
      <c r="G595">
        <v>51</v>
      </c>
      <c r="H595">
        <v>18</v>
      </c>
      <c r="I595">
        <v>38</v>
      </c>
      <c r="J595">
        <v>264249</v>
      </c>
      <c r="K595">
        <v>97</v>
      </c>
      <c r="L595">
        <v>0</v>
      </c>
      <c r="M595">
        <v>1</v>
      </c>
      <c r="N595">
        <v>0</v>
      </c>
      <c r="O595">
        <v>1</v>
      </c>
      <c r="P595">
        <v>0</v>
      </c>
      <c r="Q595">
        <v>0</v>
      </c>
      <c r="R595">
        <v>89</v>
      </c>
      <c r="S595">
        <v>170</v>
      </c>
      <c r="T595">
        <v>31</v>
      </c>
      <c r="U595">
        <v>2</v>
      </c>
    </row>
    <row r="596" spans="1:21" x14ac:dyDescent="0.3">
      <c r="A596">
        <v>12</v>
      </c>
      <c r="B596">
        <v>19</v>
      </c>
      <c r="C596">
        <v>2</v>
      </c>
      <c r="D596">
        <v>2</v>
      </c>
      <c r="E596">
        <v>2</v>
      </c>
      <c r="F596">
        <v>233</v>
      </c>
      <c r="G596">
        <v>51</v>
      </c>
      <c r="H596">
        <v>1</v>
      </c>
      <c r="I596">
        <v>31</v>
      </c>
      <c r="J596">
        <v>264249</v>
      </c>
      <c r="K596">
        <v>97</v>
      </c>
      <c r="L596">
        <v>0</v>
      </c>
      <c r="M596">
        <v>2</v>
      </c>
      <c r="N596">
        <v>1</v>
      </c>
      <c r="O596">
        <v>1</v>
      </c>
      <c r="P596">
        <v>0</v>
      </c>
      <c r="Q596">
        <v>8</v>
      </c>
      <c r="R596">
        <v>68</v>
      </c>
      <c r="S596">
        <v>178</v>
      </c>
      <c r="T596">
        <v>21</v>
      </c>
      <c r="U596">
        <v>2</v>
      </c>
    </row>
    <row r="597" spans="1:21" x14ac:dyDescent="0.3">
      <c r="A597">
        <v>3</v>
      </c>
      <c r="B597">
        <v>27</v>
      </c>
      <c r="C597">
        <v>2</v>
      </c>
      <c r="D597">
        <v>2</v>
      </c>
      <c r="E597">
        <v>2</v>
      </c>
      <c r="F597">
        <v>179</v>
      </c>
      <c r="G597">
        <v>51</v>
      </c>
      <c r="H597">
        <v>18</v>
      </c>
      <c r="I597">
        <v>38</v>
      </c>
      <c r="J597">
        <v>264249</v>
      </c>
      <c r="K597">
        <v>97</v>
      </c>
      <c r="L597">
        <v>0</v>
      </c>
      <c r="M597">
        <v>1</v>
      </c>
      <c r="N597">
        <v>0</v>
      </c>
      <c r="O597">
        <v>1</v>
      </c>
      <c r="P597">
        <v>0</v>
      </c>
      <c r="Q597">
        <v>0</v>
      </c>
      <c r="R597">
        <v>89</v>
      </c>
      <c r="S597">
        <v>170</v>
      </c>
      <c r="T597">
        <v>31</v>
      </c>
      <c r="U597">
        <v>2</v>
      </c>
    </row>
    <row r="598" spans="1:21" x14ac:dyDescent="0.3">
      <c r="A598">
        <v>28</v>
      </c>
      <c r="B598">
        <v>7</v>
      </c>
      <c r="C598">
        <v>2</v>
      </c>
      <c r="D598">
        <v>3</v>
      </c>
      <c r="E598">
        <v>2</v>
      </c>
      <c r="F598">
        <v>225</v>
      </c>
      <c r="G598">
        <v>26</v>
      </c>
      <c r="H598">
        <v>9</v>
      </c>
      <c r="I598">
        <v>28</v>
      </c>
      <c r="J598">
        <v>264249</v>
      </c>
      <c r="K598">
        <v>97</v>
      </c>
      <c r="L598">
        <v>0</v>
      </c>
      <c r="M598">
        <v>1</v>
      </c>
      <c r="N598">
        <v>1</v>
      </c>
      <c r="O598">
        <v>0</v>
      </c>
      <c r="P598">
        <v>0</v>
      </c>
      <c r="Q598">
        <v>2</v>
      </c>
      <c r="R598">
        <v>69</v>
      </c>
      <c r="S598">
        <v>169</v>
      </c>
      <c r="T598">
        <v>24</v>
      </c>
      <c r="U598">
        <v>8</v>
      </c>
    </row>
    <row r="599" spans="1:21" x14ac:dyDescent="0.3">
      <c r="A599">
        <v>3</v>
      </c>
      <c r="B599">
        <v>27</v>
      </c>
      <c r="C599">
        <v>2</v>
      </c>
      <c r="D599">
        <v>4</v>
      </c>
      <c r="E599">
        <v>2</v>
      </c>
      <c r="F599">
        <v>179</v>
      </c>
      <c r="G599">
        <v>51</v>
      </c>
      <c r="H599">
        <v>18</v>
      </c>
      <c r="I599">
        <v>38</v>
      </c>
      <c r="J599">
        <v>264249</v>
      </c>
      <c r="K599">
        <v>97</v>
      </c>
      <c r="L599">
        <v>0</v>
      </c>
      <c r="M599">
        <v>1</v>
      </c>
      <c r="N599">
        <v>0</v>
      </c>
      <c r="O599">
        <v>1</v>
      </c>
      <c r="P599">
        <v>0</v>
      </c>
      <c r="Q599">
        <v>0</v>
      </c>
      <c r="R599">
        <v>89</v>
      </c>
      <c r="S599">
        <v>170</v>
      </c>
      <c r="T599">
        <v>31</v>
      </c>
      <c r="U599">
        <v>3</v>
      </c>
    </row>
    <row r="600" spans="1:21" x14ac:dyDescent="0.3">
      <c r="A600">
        <v>3</v>
      </c>
      <c r="B600">
        <v>27</v>
      </c>
      <c r="C600">
        <v>2</v>
      </c>
      <c r="D600">
        <v>5</v>
      </c>
      <c r="E600">
        <v>2</v>
      </c>
      <c r="F600">
        <v>179</v>
      </c>
      <c r="G600">
        <v>51</v>
      </c>
      <c r="H600">
        <v>18</v>
      </c>
      <c r="I600">
        <v>38</v>
      </c>
      <c r="J600">
        <v>264249</v>
      </c>
      <c r="K600">
        <v>97</v>
      </c>
      <c r="L600">
        <v>0</v>
      </c>
      <c r="M600">
        <v>1</v>
      </c>
      <c r="N600">
        <v>0</v>
      </c>
      <c r="O600">
        <v>1</v>
      </c>
      <c r="P600">
        <v>0</v>
      </c>
      <c r="Q600">
        <v>0</v>
      </c>
      <c r="R600">
        <v>89</v>
      </c>
      <c r="S600">
        <v>170</v>
      </c>
      <c r="T600">
        <v>31</v>
      </c>
      <c r="U600">
        <v>3</v>
      </c>
    </row>
    <row r="601" spans="1:21" x14ac:dyDescent="0.3">
      <c r="A601">
        <v>28</v>
      </c>
      <c r="B601">
        <v>25</v>
      </c>
      <c r="C601">
        <v>2</v>
      </c>
      <c r="D601">
        <v>5</v>
      </c>
      <c r="E601">
        <v>2</v>
      </c>
      <c r="F601">
        <v>225</v>
      </c>
      <c r="G601">
        <v>26</v>
      </c>
      <c r="H601">
        <v>9</v>
      </c>
      <c r="I601">
        <v>28</v>
      </c>
      <c r="J601">
        <v>264249</v>
      </c>
      <c r="K601">
        <v>97</v>
      </c>
      <c r="L601">
        <v>0</v>
      </c>
      <c r="M601">
        <v>1</v>
      </c>
      <c r="N601">
        <v>1</v>
      </c>
      <c r="O601">
        <v>0</v>
      </c>
      <c r="P601">
        <v>0</v>
      </c>
      <c r="Q601">
        <v>2</v>
      </c>
      <c r="R601">
        <v>69</v>
      </c>
      <c r="S601">
        <v>169</v>
      </c>
      <c r="T601">
        <v>24</v>
      </c>
      <c r="U601">
        <v>3</v>
      </c>
    </row>
    <row r="602" spans="1:21" x14ac:dyDescent="0.3">
      <c r="A602">
        <v>22</v>
      </c>
      <c r="B602">
        <v>13</v>
      </c>
      <c r="C602">
        <v>2</v>
      </c>
      <c r="D602">
        <v>5</v>
      </c>
      <c r="E602">
        <v>2</v>
      </c>
      <c r="F602">
        <v>179</v>
      </c>
      <c r="G602">
        <v>26</v>
      </c>
      <c r="H602">
        <v>9</v>
      </c>
      <c r="I602">
        <v>30</v>
      </c>
      <c r="J602">
        <v>264249</v>
      </c>
      <c r="K602">
        <v>97</v>
      </c>
      <c r="L602">
        <v>0</v>
      </c>
      <c r="M602">
        <v>3</v>
      </c>
      <c r="N602">
        <v>0</v>
      </c>
      <c r="O602">
        <v>0</v>
      </c>
      <c r="P602">
        <v>0</v>
      </c>
      <c r="Q602">
        <v>0</v>
      </c>
      <c r="R602">
        <v>56</v>
      </c>
      <c r="S602">
        <v>171</v>
      </c>
      <c r="T602">
        <v>19</v>
      </c>
      <c r="U602">
        <v>2</v>
      </c>
    </row>
    <row r="603" spans="1:21" x14ac:dyDescent="0.3">
      <c r="A603">
        <v>17</v>
      </c>
      <c r="B603">
        <v>23</v>
      </c>
      <c r="C603">
        <v>2</v>
      </c>
      <c r="D603">
        <v>6</v>
      </c>
      <c r="E603">
        <v>2</v>
      </c>
      <c r="F603">
        <v>179</v>
      </c>
      <c r="G603">
        <v>22</v>
      </c>
      <c r="H603">
        <v>17</v>
      </c>
      <c r="I603">
        <v>40</v>
      </c>
      <c r="J603">
        <v>264249</v>
      </c>
      <c r="K603">
        <v>97</v>
      </c>
      <c r="L603">
        <v>0</v>
      </c>
      <c r="M603">
        <v>2</v>
      </c>
      <c r="N603">
        <v>2</v>
      </c>
      <c r="O603">
        <v>0</v>
      </c>
      <c r="P603">
        <v>1</v>
      </c>
      <c r="Q603">
        <v>0</v>
      </c>
      <c r="R603">
        <v>63</v>
      </c>
      <c r="S603">
        <v>170</v>
      </c>
      <c r="T603">
        <v>22</v>
      </c>
      <c r="U603">
        <v>2</v>
      </c>
    </row>
    <row r="604" spans="1:21" x14ac:dyDescent="0.3">
      <c r="A604">
        <v>3</v>
      </c>
      <c r="B604">
        <v>27</v>
      </c>
      <c r="C604">
        <v>2</v>
      </c>
      <c r="D604">
        <v>6</v>
      </c>
      <c r="E604">
        <v>2</v>
      </c>
      <c r="F604">
        <v>179</v>
      </c>
      <c r="G604">
        <v>51</v>
      </c>
      <c r="H604">
        <v>18</v>
      </c>
      <c r="I604">
        <v>38</v>
      </c>
      <c r="J604">
        <v>264249</v>
      </c>
      <c r="K604">
        <v>97</v>
      </c>
      <c r="L604">
        <v>0</v>
      </c>
      <c r="M604">
        <v>1</v>
      </c>
      <c r="N604">
        <v>0</v>
      </c>
      <c r="O604">
        <v>1</v>
      </c>
      <c r="P604">
        <v>0</v>
      </c>
      <c r="Q604">
        <v>0</v>
      </c>
      <c r="R604">
        <v>89</v>
      </c>
      <c r="S604">
        <v>170</v>
      </c>
      <c r="T604">
        <v>31</v>
      </c>
      <c r="U604">
        <v>3</v>
      </c>
    </row>
    <row r="605" spans="1:21" x14ac:dyDescent="0.3">
      <c r="A605">
        <v>12</v>
      </c>
      <c r="B605">
        <v>12</v>
      </c>
      <c r="C605">
        <v>2</v>
      </c>
      <c r="D605">
        <v>4</v>
      </c>
      <c r="E605">
        <v>2</v>
      </c>
      <c r="F605">
        <v>233</v>
      </c>
      <c r="G605">
        <v>51</v>
      </c>
      <c r="H605">
        <v>1</v>
      </c>
      <c r="I605">
        <v>31</v>
      </c>
      <c r="J605">
        <v>264249</v>
      </c>
      <c r="K605">
        <v>97</v>
      </c>
      <c r="L605">
        <v>0</v>
      </c>
      <c r="M605">
        <v>2</v>
      </c>
      <c r="N605">
        <v>1</v>
      </c>
      <c r="O605">
        <v>1</v>
      </c>
      <c r="P605">
        <v>0</v>
      </c>
      <c r="Q605">
        <v>8</v>
      </c>
      <c r="R605">
        <v>68</v>
      </c>
      <c r="S605">
        <v>178</v>
      </c>
      <c r="T605">
        <v>21</v>
      </c>
      <c r="U605">
        <v>3</v>
      </c>
    </row>
    <row r="606" spans="1:21" x14ac:dyDescent="0.3">
      <c r="A606">
        <v>22</v>
      </c>
      <c r="B606">
        <v>27</v>
      </c>
      <c r="C606">
        <v>2</v>
      </c>
      <c r="D606">
        <v>4</v>
      </c>
      <c r="E606">
        <v>2</v>
      </c>
      <c r="F606">
        <v>179</v>
      </c>
      <c r="G606">
        <v>26</v>
      </c>
      <c r="H606">
        <v>9</v>
      </c>
      <c r="I606">
        <v>30</v>
      </c>
      <c r="J606">
        <v>264249</v>
      </c>
      <c r="K606">
        <v>97</v>
      </c>
      <c r="L606">
        <v>0</v>
      </c>
      <c r="M606">
        <v>3</v>
      </c>
      <c r="N606">
        <v>0</v>
      </c>
      <c r="O606">
        <v>0</v>
      </c>
      <c r="P606">
        <v>0</v>
      </c>
      <c r="Q606">
        <v>0</v>
      </c>
      <c r="R606">
        <v>56</v>
      </c>
      <c r="S606">
        <v>171</v>
      </c>
      <c r="T606">
        <v>19</v>
      </c>
      <c r="U606">
        <v>2</v>
      </c>
    </row>
    <row r="607" spans="1:21" x14ac:dyDescent="0.3">
      <c r="A607">
        <v>3</v>
      </c>
      <c r="B607">
        <v>27</v>
      </c>
      <c r="C607">
        <v>2</v>
      </c>
      <c r="D607">
        <v>4</v>
      </c>
      <c r="E607">
        <v>2</v>
      </c>
      <c r="F607">
        <v>179</v>
      </c>
      <c r="G607">
        <v>51</v>
      </c>
      <c r="H607">
        <v>18</v>
      </c>
      <c r="I607">
        <v>38</v>
      </c>
      <c r="J607">
        <v>264249</v>
      </c>
      <c r="K607">
        <v>97</v>
      </c>
      <c r="L607">
        <v>0</v>
      </c>
      <c r="M607">
        <v>1</v>
      </c>
      <c r="N607">
        <v>0</v>
      </c>
      <c r="O607">
        <v>1</v>
      </c>
      <c r="P607">
        <v>0</v>
      </c>
      <c r="Q607">
        <v>0</v>
      </c>
      <c r="R607">
        <v>89</v>
      </c>
      <c r="S607">
        <v>170</v>
      </c>
      <c r="T607">
        <v>31</v>
      </c>
      <c r="U607">
        <v>2</v>
      </c>
    </row>
    <row r="608" spans="1:21" x14ac:dyDescent="0.3">
      <c r="A608">
        <v>3</v>
      </c>
      <c r="B608">
        <v>13</v>
      </c>
      <c r="C608">
        <v>2</v>
      </c>
      <c r="D608">
        <v>5</v>
      </c>
      <c r="E608">
        <v>2</v>
      </c>
      <c r="F608">
        <v>179</v>
      </c>
      <c r="G608">
        <v>51</v>
      </c>
      <c r="H608">
        <v>18</v>
      </c>
      <c r="I608">
        <v>38</v>
      </c>
      <c r="J608">
        <v>264249</v>
      </c>
      <c r="K608">
        <v>97</v>
      </c>
      <c r="L608">
        <v>0</v>
      </c>
      <c r="M608">
        <v>1</v>
      </c>
      <c r="N608">
        <v>0</v>
      </c>
      <c r="O608">
        <v>1</v>
      </c>
      <c r="P608">
        <v>0</v>
      </c>
      <c r="Q608">
        <v>0</v>
      </c>
      <c r="R608">
        <v>89</v>
      </c>
      <c r="S608">
        <v>170</v>
      </c>
      <c r="T608">
        <v>31</v>
      </c>
      <c r="U608">
        <v>8</v>
      </c>
    </row>
    <row r="609" spans="1:21" x14ac:dyDescent="0.3">
      <c r="A609">
        <v>3</v>
      </c>
      <c r="B609">
        <v>27</v>
      </c>
      <c r="C609">
        <v>2</v>
      </c>
      <c r="D609">
        <v>6</v>
      </c>
      <c r="E609">
        <v>2</v>
      </c>
      <c r="F609">
        <v>179</v>
      </c>
      <c r="G609">
        <v>51</v>
      </c>
      <c r="H609">
        <v>18</v>
      </c>
      <c r="I609">
        <v>38</v>
      </c>
      <c r="J609">
        <v>264249</v>
      </c>
      <c r="K609">
        <v>97</v>
      </c>
      <c r="L609">
        <v>0</v>
      </c>
      <c r="M609">
        <v>1</v>
      </c>
      <c r="N609">
        <v>0</v>
      </c>
      <c r="O609">
        <v>1</v>
      </c>
      <c r="P609">
        <v>0</v>
      </c>
      <c r="Q609">
        <v>0</v>
      </c>
      <c r="R609">
        <v>89</v>
      </c>
      <c r="S609">
        <v>170</v>
      </c>
      <c r="T609">
        <v>31</v>
      </c>
      <c r="U609">
        <v>2</v>
      </c>
    </row>
    <row r="610" spans="1:21" x14ac:dyDescent="0.3">
      <c r="A610">
        <v>14</v>
      </c>
      <c r="B610">
        <v>25</v>
      </c>
      <c r="C610">
        <v>2</v>
      </c>
      <c r="D610">
        <v>2</v>
      </c>
      <c r="E610">
        <v>2</v>
      </c>
      <c r="F610">
        <v>155</v>
      </c>
      <c r="G610">
        <v>12</v>
      </c>
      <c r="H610">
        <v>14</v>
      </c>
      <c r="I610">
        <v>34</v>
      </c>
      <c r="J610">
        <v>264249</v>
      </c>
      <c r="K610">
        <v>97</v>
      </c>
      <c r="L610">
        <v>0</v>
      </c>
      <c r="M610">
        <v>1</v>
      </c>
      <c r="N610">
        <v>2</v>
      </c>
      <c r="O610">
        <v>1</v>
      </c>
      <c r="P610">
        <v>0</v>
      </c>
      <c r="Q610">
        <v>0</v>
      </c>
      <c r="R610">
        <v>95</v>
      </c>
      <c r="S610">
        <v>196</v>
      </c>
      <c r="T610">
        <v>25</v>
      </c>
      <c r="U610">
        <v>5</v>
      </c>
    </row>
    <row r="611" spans="1:21" x14ac:dyDescent="0.3">
      <c r="A611">
        <v>25</v>
      </c>
      <c r="B611">
        <v>25</v>
      </c>
      <c r="C611">
        <v>2</v>
      </c>
      <c r="D611">
        <v>2</v>
      </c>
      <c r="E611">
        <v>2</v>
      </c>
      <c r="F611">
        <v>235</v>
      </c>
      <c r="G611">
        <v>16</v>
      </c>
      <c r="H611">
        <v>8</v>
      </c>
      <c r="I611">
        <v>32</v>
      </c>
      <c r="J611">
        <v>264249</v>
      </c>
      <c r="K611">
        <v>97</v>
      </c>
      <c r="L611">
        <v>0</v>
      </c>
      <c r="M611">
        <v>3</v>
      </c>
      <c r="N611">
        <v>0</v>
      </c>
      <c r="O611">
        <v>0</v>
      </c>
      <c r="P611">
        <v>0</v>
      </c>
      <c r="Q611">
        <v>0</v>
      </c>
      <c r="R611">
        <v>75</v>
      </c>
      <c r="S611">
        <v>178</v>
      </c>
      <c r="T611">
        <v>25</v>
      </c>
      <c r="U611">
        <v>3</v>
      </c>
    </row>
    <row r="612" spans="1:21" x14ac:dyDescent="0.3">
      <c r="A612">
        <v>3</v>
      </c>
      <c r="B612">
        <v>27</v>
      </c>
      <c r="C612">
        <v>2</v>
      </c>
      <c r="D612">
        <v>2</v>
      </c>
      <c r="E612">
        <v>2</v>
      </c>
      <c r="F612">
        <v>179</v>
      </c>
      <c r="G612">
        <v>51</v>
      </c>
      <c r="H612">
        <v>18</v>
      </c>
      <c r="I612">
        <v>38</v>
      </c>
      <c r="J612">
        <v>264249</v>
      </c>
      <c r="K612">
        <v>97</v>
      </c>
      <c r="L612">
        <v>0</v>
      </c>
      <c r="M612">
        <v>1</v>
      </c>
      <c r="N612">
        <v>0</v>
      </c>
      <c r="O612">
        <v>1</v>
      </c>
      <c r="P612">
        <v>0</v>
      </c>
      <c r="Q612">
        <v>0</v>
      </c>
      <c r="R612">
        <v>89</v>
      </c>
      <c r="S612">
        <v>170</v>
      </c>
      <c r="T612">
        <v>31</v>
      </c>
      <c r="U612">
        <v>2</v>
      </c>
    </row>
    <row r="613" spans="1:21" x14ac:dyDescent="0.3">
      <c r="A613">
        <v>28</v>
      </c>
      <c r="B613">
        <v>7</v>
      </c>
      <c r="C613">
        <v>2</v>
      </c>
      <c r="D613">
        <v>2</v>
      </c>
      <c r="E613">
        <v>2</v>
      </c>
      <c r="F613">
        <v>225</v>
      </c>
      <c r="G613">
        <v>26</v>
      </c>
      <c r="H613">
        <v>9</v>
      </c>
      <c r="I613">
        <v>28</v>
      </c>
      <c r="J613">
        <v>264249</v>
      </c>
      <c r="K613">
        <v>97</v>
      </c>
      <c r="L613">
        <v>0</v>
      </c>
      <c r="M613">
        <v>1</v>
      </c>
      <c r="N613">
        <v>1</v>
      </c>
      <c r="O613">
        <v>0</v>
      </c>
      <c r="P613">
        <v>0</v>
      </c>
      <c r="Q613">
        <v>2</v>
      </c>
      <c r="R613">
        <v>69</v>
      </c>
      <c r="S613">
        <v>169</v>
      </c>
      <c r="T613">
        <v>24</v>
      </c>
      <c r="U613">
        <v>2</v>
      </c>
    </row>
    <row r="614" spans="1:21" x14ac:dyDescent="0.3">
      <c r="A614">
        <v>3</v>
      </c>
      <c r="B614">
        <v>27</v>
      </c>
      <c r="C614">
        <v>2</v>
      </c>
      <c r="D614">
        <v>3</v>
      </c>
      <c r="E614">
        <v>2</v>
      </c>
      <c r="F614">
        <v>179</v>
      </c>
      <c r="G614">
        <v>51</v>
      </c>
      <c r="H614">
        <v>18</v>
      </c>
      <c r="I614">
        <v>38</v>
      </c>
      <c r="J614">
        <v>264249</v>
      </c>
      <c r="K614">
        <v>97</v>
      </c>
      <c r="L614">
        <v>0</v>
      </c>
      <c r="M614">
        <v>1</v>
      </c>
      <c r="N614">
        <v>0</v>
      </c>
      <c r="O614">
        <v>1</v>
      </c>
      <c r="P614">
        <v>0</v>
      </c>
      <c r="Q614">
        <v>0</v>
      </c>
      <c r="R614">
        <v>89</v>
      </c>
      <c r="S614">
        <v>170</v>
      </c>
      <c r="T614">
        <v>31</v>
      </c>
      <c r="U614">
        <v>2</v>
      </c>
    </row>
    <row r="615" spans="1:21" x14ac:dyDescent="0.3">
      <c r="A615">
        <v>33</v>
      </c>
      <c r="B615">
        <v>23</v>
      </c>
      <c r="C615">
        <v>2</v>
      </c>
      <c r="D615">
        <v>3</v>
      </c>
      <c r="E615">
        <v>2</v>
      </c>
      <c r="F615">
        <v>248</v>
      </c>
      <c r="G615">
        <v>25</v>
      </c>
      <c r="H615">
        <v>14</v>
      </c>
      <c r="I615">
        <v>47</v>
      </c>
      <c r="J615">
        <v>264249</v>
      </c>
      <c r="K615">
        <v>97</v>
      </c>
      <c r="L615">
        <v>0</v>
      </c>
      <c r="M615">
        <v>1</v>
      </c>
      <c r="N615">
        <v>2</v>
      </c>
      <c r="O615">
        <v>0</v>
      </c>
      <c r="P615">
        <v>0</v>
      </c>
      <c r="Q615">
        <v>1</v>
      </c>
      <c r="R615">
        <v>86</v>
      </c>
      <c r="S615">
        <v>165</v>
      </c>
      <c r="T615">
        <v>32</v>
      </c>
      <c r="U615">
        <v>2</v>
      </c>
    </row>
    <row r="616" spans="1:21" x14ac:dyDescent="0.3">
      <c r="A616">
        <v>28</v>
      </c>
      <c r="B616">
        <v>25</v>
      </c>
      <c r="C616">
        <v>2</v>
      </c>
      <c r="D616">
        <v>3</v>
      </c>
      <c r="E616">
        <v>2</v>
      </c>
      <c r="F616">
        <v>225</v>
      </c>
      <c r="G616">
        <v>26</v>
      </c>
      <c r="H616">
        <v>9</v>
      </c>
      <c r="I616">
        <v>28</v>
      </c>
      <c r="J616">
        <v>264249</v>
      </c>
      <c r="K616">
        <v>97</v>
      </c>
      <c r="L616">
        <v>0</v>
      </c>
      <c r="M616">
        <v>1</v>
      </c>
      <c r="N616">
        <v>1</v>
      </c>
      <c r="O616">
        <v>0</v>
      </c>
      <c r="P616">
        <v>0</v>
      </c>
      <c r="Q616">
        <v>2</v>
      </c>
      <c r="R616">
        <v>69</v>
      </c>
      <c r="S616">
        <v>169</v>
      </c>
      <c r="T616">
        <v>24</v>
      </c>
      <c r="U616">
        <v>2</v>
      </c>
    </row>
    <row r="617" spans="1:21" x14ac:dyDescent="0.3">
      <c r="A617">
        <v>3</v>
      </c>
      <c r="B617">
        <v>27</v>
      </c>
      <c r="C617">
        <v>2</v>
      </c>
      <c r="D617">
        <v>4</v>
      </c>
      <c r="E617">
        <v>2</v>
      </c>
      <c r="F617">
        <v>179</v>
      </c>
      <c r="G617">
        <v>51</v>
      </c>
      <c r="H617">
        <v>18</v>
      </c>
      <c r="I617">
        <v>38</v>
      </c>
      <c r="J617">
        <v>264249</v>
      </c>
      <c r="K617">
        <v>97</v>
      </c>
      <c r="L617">
        <v>0</v>
      </c>
      <c r="M617">
        <v>1</v>
      </c>
      <c r="N617">
        <v>0</v>
      </c>
      <c r="O617">
        <v>1</v>
      </c>
      <c r="P617">
        <v>0</v>
      </c>
      <c r="Q617">
        <v>0</v>
      </c>
      <c r="R617">
        <v>89</v>
      </c>
      <c r="S617">
        <v>170</v>
      </c>
      <c r="T617">
        <v>31</v>
      </c>
      <c r="U617">
        <v>2</v>
      </c>
    </row>
    <row r="618" spans="1:21" x14ac:dyDescent="0.3">
      <c r="A618">
        <v>3</v>
      </c>
      <c r="B618">
        <v>27</v>
      </c>
      <c r="C618">
        <v>2</v>
      </c>
      <c r="D618">
        <v>5</v>
      </c>
      <c r="E618">
        <v>2</v>
      </c>
      <c r="F618">
        <v>179</v>
      </c>
      <c r="G618">
        <v>51</v>
      </c>
      <c r="H618">
        <v>18</v>
      </c>
      <c r="I618">
        <v>38</v>
      </c>
      <c r="J618">
        <v>264249</v>
      </c>
      <c r="K618">
        <v>97</v>
      </c>
      <c r="L618">
        <v>0</v>
      </c>
      <c r="M618">
        <v>1</v>
      </c>
      <c r="N618">
        <v>0</v>
      </c>
      <c r="O618">
        <v>1</v>
      </c>
      <c r="P618">
        <v>0</v>
      </c>
      <c r="Q618">
        <v>0</v>
      </c>
      <c r="R618">
        <v>89</v>
      </c>
      <c r="S618">
        <v>170</v>
      </c>
      <c r="T618">
        <v>31</v>
      </c>
      <c r="U618">
        <v>2</v>
      </c>
    </row>
    <row r="619" spans="1:21" x14ac:dyDescent="0.3">
      <c r="A619">
        <v>25</v>
      </c>
      <c r="B619">
        <v>25</v>
      </c>
      <c r="C619">
        <v>2</v>
      </c>
      <c r="D619">
        <v>6</v>
      </c>
      <c r="E619">
        <v>2</v>
      </c>
      <c r="F619">
        <v>235</v>
      </c>
      <c r="G619">
        <v>16</v>
      </c>
      <c r="H619">
        <v>8</v>
      </c>
      <c r="I619">
        <v>32</v>
      </c>
      <c r="J619">
        <v>264249</v>
      </c>
      <c r="K619">
        <v>97</v>
      </c>
      <c r="L619">
        <v>0</v>
      </c>
      <c r="M619">
        <v>3</v>
      </c>
      <c r="N619">
        <v>0</v>
      </c>
      <c r="O619">
        <v>0</v>
      </c>
      <c r="P619">
        <v>0</v>
      </c>
      <c r="Q619">
        <v>0</v>
      </c>
      <c r="R619">
        <v>75</v>
      </c>
      <c r="S619">
        <v>178</v>
      </c>
      <c r="T619">
        <v>25</v>
      </c>
      <c r="U619">
        <v>2</v>
      </c>
    </row>
    <row r="620" spans="1:21" x14ac:dyDescent="0.3">
      <c r="A620">
        <v>3</v>
      </c>
      <c r="B620">
        <v>27</v>
      </c>
      <c r="C620">
        <v>3</v>
      </c>
      <c r="D620">
        <v>2</v>
      </c>
      <c r="E620">
        <v>2</v>
      </c>
      <c r="F620">
        <v>179</v>
      </c>
      <c r="G620">
        <v>51</v>
      </c>
      <c r="H620">
        <v>18</v>
      </c>
      <c r="I620">
        <v>38</v>
      </c>
      <c r="J620">
        <v>222196</v>
      </c>
      <c r="K620">
        <v>99</v>
      </c>
      <c r="L620">
        <v>0</v>
      </c>
      <c r="M620">
        <v>1</v>
      </c>
      <c r="N620">
        <v>0</v>
      </c>
      <c r="O620">
        <v>1</v>
      </c>
      <c r="P620">
        <v>0</v>
      </c>
      <c r="Q620">
        <v>0</v>
      </c>
      <c r="R620">
        <v>89</v>
      </c>
      <c r="S620">
        <v>170</v>
      </c>
      <c r="T620">
        <v>31</v>
      </c>
      <c r="U620">
        <v>2</v>
      </c>
    </row>
    <row r="621" spans="1:21" x14ac:dyDescent="0.3">
      <c r="A621">
        <v>33</v>
      </c>
      <c r="B621">
        <v>23</v>
      </c>
      <c r="C621">
        <v>3</v>
      </c>
      <c r="D621">
        <v>2</v>
      </c>
      <c r="E621">
        <v>2</v>
      </c>
      <c r="F621">
        <v>248</v>
      </c>
      <c r="G621">
        <v>25</v>
      </c>
      <c r="H621">
        <v>14</v>
      </c>
      <c r="I621">
        <v>47</v>
      </c>
      <c r="J621">
        <v>222196</v>
      </c>
      <c r="K621">
        <v>99</v>
      </c>
      <c r="L621">
        <v>0</v>
      </c>
      <c r="M621">
        <v>1</v>
      </c>
      <c r="N621">
        <v>2</v>
      </c>
      <c r="O621">
        <v>0</v>
      </c>
      <c r="P621">
        <v>0</v>
      </c>
      <c r="Q621">
        <v>1</v>
      </c>
      <c r="R621">
        <v>86</v>
      </c>
      <c r="S621">
        <v>165</v>
      </c>
      <c r="T621">
        <v>32</v>
      </c>
      <c r="U621">
        <v>2</v>
      </c>
    </row>
    <row r="622" spans="1:21" x14ac:dyDescent="0.3">
      <c r="A622">
        <v>9</v>
      </c>
      <c r="B622">
        <v>25</v>
      </c>
      <c r="C622">
        <v>3</v>
      </c>
      <c r="D622">
        <v>3</v>
      </c>
      <c r="E622">
        <v>2</v>
      </c>
      <c r="F622">
        <v>228</v>
      </c>
      <c r="G622">
        <v>14</v>
      </c>
      <c r="H622">
        <v>16</v>
      </c>
      <c r="I622">
        <v>58</v>
      </c>
      <c r="J622">
        <v>222196</v>
      </c>
      <c r="K622">
        <v>99</v>
      </c>
      <c r="L622">
        <v>0</v>
      </c>
      <c r="M622">
        <v>1</v>
      </c>
      <c r="N622">
        <v>2</v>
      </c>
      <c r="O622">
        <v>0</v>
      </c>
      <c r="P622">
        <v>0</v>
      </c>
      <c r="Q622">
        <v>1</v>
      </c>
      <c r="R622">
        <v>65</v>
      </c>
      <c r="S622">
        <v>172</v>
      </c>
      <c r="T622">
        <v>22</v>
      </c>
      <c r="U622">
        <v>3</v>
      </c>
    </row>
    <row r="623" spans="1:21" x14ac:dyDescent="0.3">
      <c r="A623">
        <v>33</v>
      </c>
      <c r="B623">
        <v>25</v>
      </c>
      <c r="C623">
        <v>3</v>
      </c>
      <c r="D623">
        <v>3</v>
      </c>
      <c r="E623">
        <v>2</v>
      </c>
      <c r="F623">
        <v>248</v>
      </c>
      <c r="G623">
        <v>25</v>
      </c>
      <c r="H623">
        <v>14</v>
      </c>
      <c r="I623">
        <v>47</v>
      </c>
      <c r="J623">
        <v>222196</v>
      </c>
      <c r="K623">
        <v>99</v>
      </c>
      <c r="L623">
        <v>0</v>
      </c>
      <c r="M623">
        <v>1</v>
      </c>
      <c r="N623">
        <v>2</v>
      </c>
      <c r="O623">
        <v>0</v>
      </c>
      <c r="P623">
        <v>0</v>
      </c>
      <c r="Q623">
        <v>1</v>
      </c>
      <c r="R623">
        <v>86</v>
      </c>
      <c r="S623">
        <v>165</v>
      </c>
      <c r="T623">
        <v>32</v>
      </c>
      <c r="U623">
        <v>3</v>
      </c>
    </row>
    <row r="624" spans="1:21" x14ac:dyDescent="0.3">
      <c r="A624">
        <v>9</v>
      </c>
      <c r="B624">
        <v>12</v>
      </c>
      <c r="C624">
        <v>3</v>
      </c>
      <c r="D624">
        <v>3</v>
      </c>
      <c r="E624">
        <v>2</v>
      </c>
      <c r="F624">
        <v>228</v>
      </c>
      <c r="G624">
        <v>14</v>
      </c>
      <c r="H624">
        <v>16</v>
      </c>
      <c r="I624">
        <v>58</v>
      </c>
      <c r="J624">
        <v>222196</v>
      </c>
      <c r="K624">
        <v>99</v>
      </c>
      <c r="L624">
        <v>0</v>
      </c>
      <c r="M624">
        <v>1</v>
      </c>
      <c r="N624">
        <v>2</v>
      </c>
      <c r="O624">
        <v>0</v>
      </c>
      <c r="P624">
        <v>0</v>
      </c>
      <c r="Q624">
        <v>1</v>
      </c>
      <c r="R624">
        <v>65</v>
      </c>
      <c r="S624">
        <v>172</v>
      </c>
      <c r="T624">
        <v>22</v>
      </c>
      <c r="U624">
        <v>112</v>
      </c>
    </row>
    <row r="625" spans="1:21" x14ac:dyDescent="0.3">
      <c r="A625">
        <v>3</v>
      </c>
      <c r="B625">
        <v>27</v>
      </c>
      <c r="C625">
        <v>3</v>
      </c>
      <c r="D625">
        <v>4</v>
      </c>
      <c r="E625">
        <v>2</v>
      </c>
      <c r="F625">
        <v>179</v>
      </c>
      <c r="G625">
        <v>51</v>
      </c>
      <c r="H625">
        <v>18</v>
      </c>
      <c r="I625">
        <v>38</v>
      </c>
      <c r="J625">
        <v>222196</v>
      </c>
      <c r="K625">
        <v>99</v>
      </c>
      <c r="L625">
        <v>0</v>
      </c>
      <c r="M625">
        <v>1</v>
      </c>
      <c r="N625">
        <v>0</v>
      </c>
      <c r="O625">
        <v>1</v>
      </c>
      <c r="P625">
        <v>0</v>
      </c>
      <c r="Q625">
        <v>0</v>
      </c>
      <c r="R625">
        <v>89</v>
      </c>
      <c r="S625">
        <v>170</v>
      </c>
      <c r="T625">
        <v>31</v>
      </c>
      <c r="U625">
        <v>2</v>
      </c>
    </row>
    <row r="626" spans="1:21" x14ac:dyDescent="0.3">
      <c r="A626">
        <v>28</v>
      </c>
      <c r="B626">
        <v>27</v>
      </c>
      <c r="C626">
        <v>3</v>
      </c>
      <c r="D626">
        <v>5</v>
      </c>
      <c r="E626">
        <v>2</v>
      </c>
      <c r="F626">
        <v>225</v>
      </c>
      <c r="G626">
        <v>26</v>
      </c>
      <c r="H626">
        <v>9</v>
      </c>
      <c r="I626">
        <v>28</v>
      </c>
      <c r="J626">
        <v>222196</v>
      </c>
      <c r="K626">
        <v>99</v>
      </c>
      <c r="L626">
        <v>0</v>
      </c>
      <c r="M626">
        <v>1</v>
      </c>
      <c r="N626">
        <v>1</v>
      </c>
      <c r="O626">
        <v>0</v>
      </c>
      <c r="P626">
        <v>0</v>
      </c>
      <c r="Q626">
        <v>2</v>
      </c>
      <c r="R626">
        <v>69</v>
      </c>
      <c r="S626">
        <v>169</v>
      </c>
      <c r="T626">
        <v>24</v>
      </c>
      <c r="U626">
        <v>2</v>
      </c>
    </row>
    <row r="627" spans="1:21" x14ac:dyDescent="0.3">
      <c r="A627">
        <v>3</v>
      </c>
      <c r="B627">
        <v>27</v>
      </c>
      <c r="C627">
        <v>3</v>
      </c>
      <c r="D627">
        <v>5</v>
      </c>
      <c r="E627">
        <v>2</v>
      </c>
      <c r="F627">
        <v>179</v>
      </c>
      <c r="G627">
        <v>51</v>
      </c>
      <c r="H627">
        <v>18</v>
      </c>
      <c r="I627">
        <v>38</v>
      </c>
      <c r="J627">
        <v>222196</v>
      </c>
      <c r="K627">
        <v>99</v>
      </c>
      <c r="L627">
        <v>0</v>
      </c>
      <c r="M627">
        <v>1</v>
      </c>
      <c r="N627">
        <v>0</v>
      </c>
      <c r="O627">
        <v>1</v>
      </c>
      <c r="P627">
        <v>0</v>
      </c>
      <c r="Q627">
        <v>0</v>
      </c>
      <c r="R627">
        <v>89</v>
      </c>
      <c r="S627">
        <v>170</v>
      </c>
      <c r="T627">
        <v>31</v>
      </c>
      <c r="U627">
        <v>3</v>
      </c>
    </row>
    <row r="628" spans="1:21" x14ac:dyDescent="0.3">
      <c r="A628">
        <v>28</v>
      </c>
      <c r="B628">
        <v>25</v>
      </c>
      <c r="C628">
        <v>3</v>
      </c>
      <c r="D628">
        <v>5</v>
      </c>
      <c r="E628">
        <v>2</v>
      </c>
      <c r="F628">
        <v>225</v>
      </c>
      <c r="G628">
        <v>26</v>
      </c>
      <c r="H628">
        <v>9</v>
      </c>
      <c r="I628">
        <v>28</v>
      </c>
      <c r="J628">
        <v>222196</v>
      </c>
      <c r="K628">
        <v>99</v>
      </c>
      <c r="L628">
        <v>0</v>
      </c>
      <c r="M628">
        <v>1</v>
      </c>
      <c r="N628">
        <v>1</v>
      </c>
      <c r="O628">
        <v>0</v>
      </c>
      <c r="P628">
        <v>0</v>
      </c>
      <c r="Q628">
        <v>2</v>
      </c>
      <c r="R628">
        <v>69</v>
      </c>
      <c r="S628">
        <v>169</v>
      </c>
      <c r="T628">
        <v>24</v>
      </c>
      <c r="U628">
        <v>2</v>
      </c>
    </row>
    <row r="629" spans="1:21" x14ac:dyDescent="0.3">
      <c r="A629">
        <v>22</v>
      </c>
      <c r="B629">
        <v>27</v>
      </c>
      <c r="C629">
        <v>3</v>
      </c>
      <c r="D629">
        <v>6</v>
      </c>
      <c r="E629">
        <v>2</v>
      </c>
      <c r="F629">
        <v>179</v>
      </c>
      <c r="G629">
        <v>26</v>
      </c>
      <c r="H629">
        <v>9</v>
      </c>
      <c r="I629">
        <v>30</v>
      </c>
      <c r="J629">
        <v>222196</v>
      </c>
      <c r="K629">
        <v>99</v>
      </c>
      <c r="L629">
        <v>0</v>
      </c>
      <c r="M629">
        <v>3</v>
      </c>
      <c r="N629">
        <v>0</v>
      </c>
      <c r="O629">
        <v>0</v>
      </c>
      <c r="P629">
        <v>0</v>
      </c>
      <c r="Q629">
        <v>0</v>
      </c>
      <c r="R629">
        <v>56</v>
      </c>
      <c r="S629">
        <v>171</v>
      </c>
      <c r="T629">
        <v>19</v>
      </c>
      <c r="U629">
        <v>3</v>
      </c>
    </row>
    <row r="630" spans="1:21" x14ac:dyDescent="0.3">
      <c r="A630">
        <v>25</v>
      </c>
      <c r="B630">
        <v>25</v>
      </c>
      <c r="C630">
        <v>3</v>
      </c>
      <c r="D630">
        <v>2</v>
      </c>
      <c r="E630">
        <v>2</v>
      </c>
      <c r="F630">
        <v>235</v>
      </c>
      <c r="G630">
        <v>16</v>
      </c>
      <c r="H630">
        <v>8</v>
      </c>
      <c r="I630">
        <v>32</v>
      </c>
      <c r="J630">
        <v>222196</v>
      </c>
      <c r="K630">
        <v>99</v>
      </c>
      <c r="L630">
        <v>0</v>
      </c>
      <c r="M630">
        <v>3</v>
      </c>
      <c r="N630">
        <v>0</v>
      </c>
      <c r="O630">
        <v>0</v>
      </c>
      <c r="P630">
        <v>0</v>
      </c>
      <c r="Q630">
        <v>0</v>
      </c>
      <c r="R630">
        <v>75</v>
      </c>
      <c r="S630">
        <v>178</v>
      </c>
      <c r="T630">
        <v>25</v>
      </c>
      <c r="U630">
        <v>3</v>
      </c>
    </row>
    <row r="631" spans="1:21" x14ac:dyDescent="0.3">
      <c r="A631">
        <v>10</v>
      </c>
      <c r="B631">
        <v>19</v>
      </c>
      <c r="C631">
        <v>3</v>
      </c>
      <c r="D631">
        <v>2</v>
      </c>
      <c r="E631">
        <v>2</v>
      </c>
      <c r="F631">
        <v>361</v>
      </c>
      <c r="G631">
        <v>52</v>
      </c>
      <c r="H631">
        <v>3</v>
      </c>
      <c r="I631">
        <v>28</v>
      </c>
      <c r="J631">
        <v>222196</v>
      </c>
      <c r="K631">
        <v>99</v>
      </c>
      <c r="L631">
        <v>0</v>
      </c>
      <c r="M631">
        <v>1</v>
      </c>
      <c r="N631">
        <v>1</v>
      </c>
      <c r="O631">
        <v>1</v>
      </c>
      <c r="P631">
        <v>0</v>
      </c>
      <c r="Q631">
        <v>4</v>
      </c>
      <c r="R631">
        <v>80</v>
      </c>
      <c r="S631">
        <v>172</v>
      </c>
      <c r="T631">
        <v>27</v>
      </c>
      <c r="U631">
        <v>8</v>
      </c>
    </row>
    <row r="632" spans="1:21" x14ac:dyDescent="0.3">
      <c r="A632">
        <v>3</v>
      </c>
      <c r="B632">
        <v>13</v>
      </c>
      <c r="C632">
        <v>3</v>
      </c>
      <c r="D632">
        <v>3</v>
      </c>
      <c r="E632">
        <v>2</v>
      </c>
      <c r="F632">
        <v>179</v>
      </c>
      <c r="G632">
        <v>51</v>
      </c>
      <c r="H632">
        <v>18</v>
      </c>
      <c r="I632">
        <v>38</v>
      </c>
      <c r="J632">
        <v>222196</v>
      </c>
      <c r="K632">
        <v>99</v>
      </c>
      <c r="L632">
        <v>0</v>
      </c>
      <c r="M632">
        <v>1</v>
      </c>
      <c r="N632">
        <v>0</v>
      </c>
      <c r="O632">
        <v>1</v>
      </c>
      <c r="P632">
        <v>0</v>
      </c>
      <c r="Q632">
        <v>0</v>
      </c>
      <c r="R632">
        <v>89</v>
      </c>
      <c r="S632">
        <v>170</v>
      </c>
      <c r="T632">
        <v>31</v>
      </c>
      <c r="U632">
        <v>8</v>
      </c>
    </row>
    <row r="633" spans="1:21" x14ac:dyDescent="0.3">
      <c r="A633">
        <v>3</v>
      </c>
      <c r="B633">
        <v>27</v>
      </c>
      <c r="C633">
        <v>3</v>
      </c>
      <c r="D633">
        <v>4</v>
      </c>
      <c r="E633">
        <v>2</v>
      </c>
      <c r="F633">
        <v>179</v>
      </c>
      <c r="G633">
        <v>51</v>
      </c>
      <c r="H633">
        <v>18</v>
      </c>
      <c r="I633">
        <v>38</v>
      </c>
      <c r="J633">
        <v>222196</v>
      </c>
      <c r="K633">
        <v>99</v>
      </c>
      <c r="L633">
        <v>0</v>
      </c>
      <c r="M633">
        <v>1</v>
      </c>
      <c r="N633">
        <v>0</v>
      </c>
      <c r="O633">
        <v>1</v>
      </c>
      <c r="P633">
        <v>0</v>
      </c>
      <c r="Q633">
        <v>0</v>
      </c>
      <c r="R633">
        <v>89</v>
      </c>
      <c r="S633">
        <v>170</v>
      </c>
      <c r="T633">
        <v>31</v>
      </c>
      <c r="U633">
        <v>2</v>
      </c>
    </row>
    <row r="634" spans="1:21" x14ac:dyDescent="0.3">
      <c r="A634">
        <v>3</v>
      </c>
      <c r="B634">
        <v>27</v>
      </c>
      <c r="C634">
        <v>3</v>
      </c>
      <c r="D634">
        <v>5</v>
      </c>
      <c r="E634">
        <v>2</v>
      </c>
      <c r="F634">
        <v>179</v>
      </c>
      <c r="G634">
        <v>51</v>
      </c>
      <c r="H634">
        <v>18</v>
      </c>
      <c r="I634">
        <v>38</v>
      </c>
      <c r="J634">
        <v>222196</v>
      </c>
      <c r="K634">
        <v>99</v>
      </c>
      <c r="L634">
        <v>0</v>
      </c>
      <c r="M634">
        <v>1</v>
      </c>
      <c r="N634">
        <v>0</v>
      </c>
      <c r="O634">
        <v>1</v>
      </c>
      <c r="P634">
        <v>0</v>
      </c>
      <c r="Q634">
        <v>0</v>
      </c>
      <c r="R634">
        <v>89</v>
      </c>
      <c r="S634">
        <v>170</v>
      </c>
      <c r="T634">
        <v>31</v>
      </c>
      <c r="U634">
        <v>3</v>
      </c>
    </row>
    <row r="635" spans="1:21" x14ac:dyDescent="0.3">
      <c r="A635">
        <v>22</v>
      </c>
      <c r="B635">
        <v>27</v>
      </c>
      <c r="C635">
        <v>3</v>
      </c>
      <c r="D635">
        <v>6</v>
      </c>
      <c r="E635">
        <v>2</v>
      </c>
      <c r="F635">
        <v>179</v>
      </c>
      <c r="G635">
        <v>26</v>
      </c>
      <c r="H635">
        <v>9</v>
      </c>
      <c r="I635">
        <v>30</v>
      </c>
      <c r="J635">
        <v>222196</v>
      </c>
      <c r="K635">
        <v>99</v>
      </c>
      <c r="L635">
        <v>0</v>
      </c>
      <c r="M635">
        <v>3</v>
      </c>
      <c r="N635">
        <v>0</v>
      </c>
      <c r="O635">
        <v>0</v>
      </c>
      <c r="P635">
        <v>0</v>
      </c>
      <c r="Q635">
        <v>0</v>
      </c>
      <c r="R635">
        <v>56</v>
      </c>
      <c r="S635">
        <v>171</v>
      </c>
      <c r="T635">
        <v>19</v>
      </c>
      <c r="U635">
        <v>2</v>
      </c>
    </row>
    <row r="636" spans="1:21" x14ac:dyDescent="0.3">
      <c r="A636">
        <v>3</v>
      </c>
      <c r="B636">
        <v>10</v>
      </c>
      <c r="C636">
        <v>3</v>
      </c>
      <c r="D636">
        <v>2</v>
      </c>
      <c r="E636">
        <v>2</v>
      </c>
      <c r="F636">
        <v>179</v>
      </c>
      <c r="G636">
        <v>51</v>
      </c>
      <c r="H636">
        <v>18</v>
      </c>
      <c r="I636">
        <v>38</v>
      </c>
      <c r="J636">
        <v>222196</v>
      </c>
      <c r="K636">
        <v>99</v>
      </c>
      <c r="L636">
        <v>0</v>
      </c>
      <c r="M636">
        <v>1</v>
      </c>
      <c r="N636">
        <v>0</v>
      </c>
      <c r="O636">
        <v>1</v>
      </c>
      <c r="P636">
        <v>0</v>
      </c>
      <c r="Q636">
        <v>0</v>
      </c>
      <c r="R636">
        <v>89</v>
      </c>
      <c r="S636">
        <v>170</v>
      </c>
      <c r="T636">
        <v>31</v>
      </c>
      <c r="U636">
        <v>4</v>
      </c>
    </row>
    <row r="637" spans="1:21" x14ac:dyDescent="0.3">
      <c r="A637">
        <v>33</v>
      </c>
      <c r="B637">
        <v>13</v>
      </c>
      <c r="C637">
        <v>3</v>
      </c>
      <c r="D637">
        <v>2</v>
      </c>
      <c r="E637">
        <v>2</v>
      </c>
      <c r="F637">
        <v>248</v>
      </c>
      <c r="G637">
        <v>25</v>
      </c>
      <c r="H637">
        <v>14</v>
      </c>
      <c r="I637">
        <v>47</v>
      </c>
      <c r="J637">
        <v>222196</v>
      </c>
      <c r="K637">
        <v>99</v>
      </c>
      <c r="L637">
        <v>0</v>
      </c>
      <c r="M637">
        <v>1</v>
      </c>
      <c r="N637">
        <v>2</v>
      </c>
      <c r="O637">
        <v>0</v>
      </c>
      <c r="P637">
        <v>0</v>
      </c>
      <c r="Q637">
        <v>1</v>
      </c>
      <c r="R637">
        <v>86</v>
      </c>
      <c r="S637">
        <v>165</v>
      </c>
      <c r="T637">
        <v>32</v>
      </c>
      <c r="U637">
        <v>2</v>
      </c>
    </row>
    <row r="638" spans="1:21" x14ac:dyDescent="0.3">
      <c r="A638">
        <v>3</v>
      </c>
      <c r="B638">
        <v>27</v>
      </c>
      <c r="C638">
        <v>3</v>
      </c>
      <c r="D638">
        <v>2</v>
      </c>
      <c r="E638">
        <v>2</v>
      </c>
      <c r="F638">
        <v>179</v>
      </c>
      <c r="G638">
        <v>51</v>
      </c>
      <c r="H638">
        <v>18</v>
      </c>
      <c r="I638">
        <v>38</v>
      </c>
      <c r="J638">
        <v>222196</v>
      </c>
      <c r="K638">
        <v>99</v>
      </c>
      <c r="L638">
        <v>0</v>
      </c>
      <c r="M638">
        <v>1</v>
      </c>
      <c r="N638">
        <v>0</v>
      </c>
      <c r="O638">
        <v>1</v>
      </c>
      <c r="P638">
        <v>0</v>
      </c>
      <c r="Q638">
        <v>0</v>
      </c>
      <c r="R638">
        <v>89</v>
      </c>
      <c r="S638">
        <v>170</v>
      </c>
      <c r="T638">
        <v>31</v>
      </c>
      <c r="U638">
        <v>3</v>
      </c>
    </row>
    <row r="639" spans="1:21" x14ac:dyDescent="0.3">
      <c r="A639">
        <v>28</v>
      </c>
      <c r="B639">
        <v>7</v>
      </c>
      <c r="C639">
        <v>3</v>
      </c>
      <c r="D639">
        <v>2</v>
      </c>
      <c r="E639">
        <v>2</v>
      </c>
      <c r="F639">
        <v>225</v>
      </c>
      <c r="G639">
        <v>26</v>
      </c>
      <c r="H639">
        <v>9</v>
      </c>
      <c r="I639">
        <v>28</v>
      </c>
      <c r="J639">
        <v>222196</v>
      </c>
      <c r="K639">
        <v>99</v>
      </c>
      <c r="L639">
        <v>0</v>
      </c>
      <c r="M639">
        <v>1</v>
      </c>
      <c r="N639">
        <v>1</v>
      </c>
      <c r="O639">
        <v>0</v>
      </c>
      <c r="P639">
        <v>0</v>
      </c>
      <c r="Q639">
        <v>2</v>
      </c>
      <c r="R639">
        <v>69</v>
      </c>
      <c r="S639">
        <v>169</v>
      </c>
      <c r="T639">
        <v>24</v>
      </c>
      <c r="U639">
        <v>8</v>
      </c>
    </row>
    <row r="640" spans="1:21" x14ac:dyDescent="0.3">
      <c r="A640">
        <v>3</v>
      </c>
      <c r="B640">
        <v>27</v>
      </c>
      <c r="C640">
        <v>3</v>
      </c>
      <c r="D640">
        <v>3</v>
      </c>
      <c r="E640">
        <v>2</v>
      </c>
      <c r="F640">
        <v>179</v>
      </c>
      <c r="G640">
        <v>51</v>
      </c>
      <c r="H640">
        <v>18</v>
      </c>
      <c r="I640">
        <v>38</v>
      </c>
      <c r="J640">
        <v>222196</v>
      </c>
      <c r="K640">
        <v>99</v>
      </c>
      <c r="L640">
        <v>0</v>
      </c>
      <c r="M640">
        <v>1</v>
      </c>
      <c r="N640">
        <v>0</v>
      </c>
      <c r="O640">
        <v>1</v>
      </c>
      <c r="P640">
        <v>0</v>
      </c>
      <c r="Q640">
        <v>0</v>
      </c>
      <c r="R640">
        <v>89</v>
      </c>
      <c r="S640">
        <v>170</v>
      </c>
      <c r="T640">
        <v>31</v>
      </c>
      <c r="U640">
        <v>2</v>
      </c>
    </row>
    <row r="641" spans="1:21" x14ac:dyDescent="0.3">
      <c r="A641">
        <v>11</v>
      </c>
      <c r="B641">
        <v>23</v>
      </c>
      <c r="C641">
        <v>3</v>
      </c>
      <c r="D641">
        <v>4</v>
      </c>
      <c r="E641">
        <v>2</v>
      </c>
      <c r="F641">
        <v>289</v>
      </c>
      <c r="G641">
        <v>36</v>
      </c>
      <c r="H641">
        <v>13</v>
      </c>
      <c r="I641">
        <v>33</v>
      </c>
      <c r="J641">
        <v>222196</v>
      </c>
      <c r="K641">
        <v>99</v>
      </c>
      <c r="L641">
        <v>0</v>
      </c>
      <c r="M641">
        <v>1</v>
      </c>
      <c r="N641">
        <v>2</v>
      </c>
      <c r="O641">
        <v>1</v>
      </c>
      <c r="P641">
        <v>0</v>
      </c>
      <c r="Q641">
        <v>1</v>
      </c>
      <c r="R641">
        <v>90</v>
      </c>
      <c r="S641">
        <v>172</v>
      </c>
      <c r="T641">
        <v>30</v>
      </c>
      <c r="U641">
        <v>8</v>
      </c>
    </row>
    <row r="642" spans="1:21" x14ac:dyDescent="0.3">
      <c r="A642">
        <v>9</v>
      </c>
      <c r="B642">
        <v>25</v>
      </c>
      <c r="C642">
        <v>3</v>
      </c>
      <c r="D642">
        <v>4</v>
      </c>
      <c r="E642">
        <v>2</v>
      </c>
      <c r="F642">
        <v>228</v>
      </c>
      <c r="G642">
        <v>14</v>
      </c>
      <c r="H642">
        <v>16</v>
      </c>
      <c r="I642">
        <v>58</v>
      </c>
      <c r="J642">
        <v>222196</v>
      </c>
      <c r="K642">
        <v>99</v>
      </c>
      <c r="L642">
        <v>0</v>
      </c>
      <c r="M642">
        <v>1</v>
      </c>
      <c r="N642">
        <v>2</v>
      </c>
      <c r="O642">
        <v>0</v>
      </c>
      <c r="P642">
        <v>0</v>
      </c>
      <c r="Q642">
        <v>1</v>
      </c>
      <c r="R642">
        <v>65</v>
      </c>
      <c r="S642">
        <v>172</v>
      </c>
      <c r="T642">
        <v>22</v>
      </c>
      <c r="U642">
        <v>2</v>
      </c>
    </row>
    <row r="643" spans="1:21" x14ac:dyDescent="0.3">
      <c r="A643">
        <v>3</v>
      </c>
      <c r="B643">
        <v>27</v>
      </c>
      <c r="C643">
        <v>3</v>
      </c>
      <c r="D643">
        <v>4</v>
      </c>
      <c r="E643">
        <v>2</v>
      </c>
      <c r="F643">
        <v>179</v>
      </c>
      <c r="G643">
        <v>51</v>
      </c>
      <c r="H643">
        <v>18</v>
      </c>
      <c r="I643">
        <v>38</v>
      </c>
      <c r="J643">
        <v>222196</v>
      </c>
      <c r="K643">
        <v>99</v>
      </c>
      <c r="L643">
        <v>0</v>
      </c>
      <c r="M643">
        <v>1</v>
      </c>
      <c r="N643">
        <v>0</v>
      </c>
      <c r="O643">
        <v>1</v>
      </c>
      <c r="P643">
        <v>0</v>
      </c>
      <c r="Q643">
        <v>0</v>
      </c>
      <c r="R643">
        <v>89</v>
      </c>
      <c r="S643">
        <v>170</v>
      </c>
      <c r="T643">
        <v>31</v>
      </c>
      <c r="U643">
        <v>2</v>
      </c>
    </row>
    <row r="644" spans="1:21" x14ac:dyDescent="0.3">
      <c r="A644">
        <v>33</v>
      </c>
      <c r="B644">
        <v>23</v>
      </c>
      <c r="C644">
        <v>3</v>
      </c>
      <c r="D644">
        <v>5</v>
      </c>
      <c r="E644">
        <v>2</v>
      </c>
      <c r="F644">
        <v>248</v>
      </c>
      <c r="G644">
        <v>25</v>
      </c>
      <c r="H644">
        <v>14</v>
      </c>
      <c r="I644">
        <v>47</v>
      </c>
      <c r="J644">
        <v>222196</v>
      </c>
      <c r="K644">
        <v>99</v>
      </c>
      <c r="L644">
        <v>0</v>
      </c>
      <c r="M644">
        <v>1</v>
      </c>
      <c r="N644">
        <v>2</v>
      </c>
      <c r="O644">
        <v>0</v>
      </c>
      <c r="P644">
        <v>0</v>
      </c>
      <c r="Q644">
        <v>1</v>
      </c>
      <c r="R644">
        <v>86</v>
      </c>
      <c r="S644">
        <v>165</v>
      </c>
      <c r="T644">
        <v>32</v>
      </c>
      <c r="U644">
        <v>3</v>
      </c>
    </row>
    <row r="645" spans="1:21" x14ac:dyDescent="0.3">
      <c r="A645">
        <v>3</v>
      </c>
      <c r="B645">
        <v>27</v>
      </c>
      <c r="C645">
        <v>3</v>
      </c>
      <c r="D645">
        <v>5</v>
      </c>
      <c r="E645">
        <v>2</v>
      </c>
      <c r="F645">
        <v>179</v>
      </c>
      <c r="G645">
        <v>51</v>
      </c>
      <c r="H645">
        <v>18</v>
      </c>
      <c r="I645">
        <v>38</v>
      </c>
      <c r="J645">
        <v>222196</v>
      </c>
      <c r="K645">
        <v>99</v>
      </c>
      <c r="L645">
        <v>0</v>
      </c>
      <c r="M645">
        <v>1</v>
      </c>
      <c r="N645">
        <v>0</v>
      </c>
      <c r="O645">
        <v>1</v>
      </c>
      <c r="P645">
        <v>0</v>
      </c>
      <c r="Q645">
        <v>0</v>
      </c>
      <c r="R645">
        <v>89</v>
      </c>
      <c r="S645">
        <v>170</v>
      </c>
      <c r="T645">
        <v>31</v>
      </c>
      <c r="U645">
        <v>3</v>
      </c>
    </row>
    <row r="646" spans="1:21" x14ac:dyDescent="0.3">
      <c r="A646">
        <v>22</v>
      </c>
      <c r="B646">
        <v>23</v>
      </c>
      <c r="C646">
        <v>3</v>
      </c>
      <c r="D646">
        <v>6</v>
      </c>
      <c r="E646">
        <v>2</v>
      </c>
      <c r="F646">
        <v>179</v>
      </c>
      <c r="G646">
        <v>26</v>
      </c>
      <c r="H646">
        <v>9</v>
      </c>
      <c r="I646">
        <v>30</v>
      </c>
      <c r="J646">
        <v>222196</v>
      </c>
      <c r="K646">
        <v>99</v>
      </c>
      <c r="L646">
        <v>0</v>
      </c>
      <c r="M646">
        <v>3</v>
      </c>
      <c r="N646">
        <v>0</v>
      </c>
      <c r="O646">
        <v>0</v>
      </c>
      <c r="P646">
        <v>0</v>
      </c>
      <c r="Q646">
        <v>0</v>
      </c>
      <c r="R646">
        <v>56</v>
      </c>
      <c r="S646">
        <v>171</v>
      </c>
      <c r="T646">
        <v>19</v>
      </c>
      <c r="U646">
        <v>2</v>
      </c>
    </row>
    <row r="647" spans="1:21" x14ac:dyDescent="0.3">
      <c r="A647">
        <v>3</v>
      </c>
      <c r="B647">
        <v>27</v>
      </c>
      <c r="C647">
        <v>3</v>
      </c>
      <c r="D647">
        <v>6</v>
      </c>
      <c r="E647">
        <v>2</v>
      </c>
      <c r="F647">
        <v>179</v>
      </c>
      <c r="G647">
        <v>51</v>
      </c>
      <c r="H647">
        <v>18</v>
      </c>
      <c r="I647">
        <v>38</v>
      </c>
      <c r="J647">
        <v>222196</v>
      </c>
      <c r="K647">
        <v>99</v>
      </c>
      <c r="L647">
        <v>0</v>
      </c>
      <c r="M647">
        <v>1</v>
      </c>
      <c r="N647">
        <v>0</v>
      </c>
      <c r="O647">
        <v>1</v>
      </c>
      <c r="P647">
        <v>0</v>
      </c>
      <c r="Q647">
        <v>0</v>
      </c>
      <c r="R647">
        <v>89</v>
      </c>
      <c r="S647">
        <v>170</v>
      </c>
      <c r="T647">
        <v>31</v>
      </c>
      <c r="U647">
        <v>3</v>
      </c>
    </row>
    <row r="648" spans="1:21" x14ac:dyDescent="0.3">
      <c r="A648">
        <v>3</v>
      </c>
      <c r="B648">
        <v>27</v>
      </c>
      <c r="C648">
        <v>3</v>
      </c>
      <c r="D648">
        <v>3</v>
      </c>
      <c r="E648">
        <v>3</v>
      </c>
      <c r="F648">
        <v>179</v>
      </c>
      <c r="G648">
        <v>51</v>
      </c>
      <c r="H648">
        <v>18</v>
      </c>
      <c r="I648">
        <v>38</v>
      </c>
      <c r="J648">
        <v>222196</v>
      </c>
      <c r="K648">
        <v>99</v>
      </c>
      <c r="L648">
        <v>0</v>
      </c>
      <c r="M648">
        <v>1</v>
      </c>
      <c r="N648">
        <v>0</v>
      </c>
      <c r="O648">
        <v>1</v>
      </c>
      <c r="P648">
        <v>0</v>
      </c>
      <c r="Q648">
        <v>0</v>
      </c>
      <c r="R648">
        <v>89</v>
      </c>
      <c r="S648">
        <v>170</v>
      </c>
      <c r="T648">
        <v>31</v>
      </c>
      <c r="U648">
        <v>3</v>
      </c>
    </row>
    <row r="649" spans="1:21" x14ac:dyDescent="0.3">
      <c r="A649">
        <v>16</v>
      </c>
      <c r="B649">
        <v>23</v>
      </c>
      <c r="C649">
        <v>3</v>
      </c>
      <c r="D649">
        <v>4</v>
      </c>
      <c r="E649">
        <v>3</v>
      </c>
      <c r="F649">
        <v>118</v>
      </c>
      <c r="G649">
        <v>15</v>
      </c>
      <c r="H649">
        <v>24</v>
      </c>
      <c r="I649">
        <v>46</v>
      </c>
      <c r="J649">
        <v>222196</v>
      </c>
      <c r="K649">
        <v>99</v>
      </c>
      <c r="L649">
        <v>0</v>
      </c>
      <c r="M649">
        <v>1</v>
      </c>
      <c r="N649">
        <v>2</v>
      </c>
      <c r="O649">
        <v>1</v>
      </c>
      <c r="P649">
        <v>1</v>
      </c>
      <c r="Q649">
        <v>0</v>
      </c>
      <c r="R649">
        <v>75</v>
      </c>
      <c r="S649">
        <v>175</v>
      </c>
      <c r="T649">
        <v>25</v>
      </c>
      <c r="U649">
        <v>8</v>
      </c>
    </row>
    <row r="650" spans="1:21" x14ac:dyDescent="0.3">
      <c r="A650">
        <v>14</v>
      </c>
      <c r="B650">
        <v>13</v>
      </c>
      <c r="C650">
        <v>3</v>
      </c>
      <c r="D650">
        <v>4</v>
      </c>
      <c r="E650">
        <v>3</v>
      </c>
      <c r="F650">
        <v>155</v>
      </c>
      <c r="G650">
        <v>12</v>
      </c>
      <c r="H650">
        <v>14</v>
      </c>
      <c r="I650">
        <v>34</v>
      </c>
      <c r="J650">
        <v>222196</v>
      </c>
      <c r="K650">
        <v>99</v>
      </c>
      <c r="L650">
        <v>0</v>
      </c>
      <c r="M650">
        <v>1</v>
      </c>
      <c r="N650">
        <v>2</v>
      </c>
      <c r="O650">
        <v>1</v>
      </c>
      <c r="P650">
        <v>0</v>
      </c>
      <c r="Q650">
        <v>0</v>
      </c>
      <c r="R650">
        <v>95</v>
      </c>
      <c r="S650">
        <v>196</v>
      </c>
      <c r="T650">
        <v>25</v>
      </c>
      <c r="U650">
        <v>24</v>
      </c>
    </row>
    <row r="651" spans="1:21" x14ac:dyDescent="0.3">
      <c r="A651">
        <v>3</v>
      </c>
      <c r="B651">
        <v>27</v>
      </c>
      <c r="C651">
        <v>3</v>
      </c>
      <c r="D651">
        <v>4</v>
      </c>
      <c r="E651">
        <v>3</v>
      </c>
      <c r="F651">
        <v>179</v>
      </c>
      <c r="G651">
        <v>51</v>
      </c>
      <c r="H651">
        <v>18</v>
      </c>
      <c r="I651">
        <v>38</v>
      </c>
      <c r="J651">
        <v>222196</v>
      </c>
      <c r="K651">
        <v>99</v>
      </c>
      <c r="L651">
        <v>0</v>
      </c>
      <c r="M651">
        <v>1</v>
      </c>
      <c r="N651">
        <v>0</v>
      </c>
      <c r="O651">
        <v>1</v>
      </c>
      <c r="P651">
        <v>0</v>
      </c>
      <c r="Q651">
        <v>0</v>
      </c>
      <c r="R651">
        <v>89</v>
      </c>
      <c r="S651">
        <v>170</v>
      </c>
      <c r="T651">
        <v>31</v>
      </c>
      <c r="U651">
        <v>3</v>
      </c>
    </row>
    <row r="652" spans="1:21" x14ac:dyDescent="0.3">
      <c r="A652">
        <v>3</v>
      </c>
      <c r="B652">
        <v>27</v>
      </c>
      <c r="C652">
        <v>3</v>
      </c>
      <c r="D652">
        <v>5</v>
      </c>
      <c r="E652">
        <v>3</v>
      </c>
      <c r="F652">
        <v>179</v>
      </c>
      <c r="G652">
        <v>51</v>
      </c>
      <c r="H652">
        <v>18</v>
      </c>
      <c r="I652">
        <v>38</v>
      </c>
      <c r="J652">
        <v>222196</v>
      </c>
      <c r="K652">
        <v>99</v>
      </c>
      <c r="L652">
        <v>0</v>
      </c>
      <c r="M652">
        <v>1</v>
      </c>
      <c r="N652">
        <v>0</v>
      </c>
      <c r="O652">
        <v>1</v>
      </c>
      <c r="P652">
        <v>0</v>
      </c>
      <c r="Q652">
        <v>0</v>
      </c>
      <c r="R652">
        <v>89</v>
      </c>
      <c r="S652">
        <v>170</v>
      </c>
      <c r="T652">
        <v>31</v>
      </c>
      <c r="U652">
        <v>3</v>
      </c>
    </row>
    <row r="653" spans="1:21" x14ac:dyDescent="0.3">
      <c r="A653">
        <v>22</v>
      </c>
      <c r="B653">
        <v>13</v>
      </c>
      <c r="C653">
        <v>3</v>
      </c>
      <c r="D653">
        <v>2</v>
      </c>
      <c r="E653">
        <v>3</v>
      </c>
      <c r="F653">
        <v>179</v>
      </c>
      <c r="G653">
        <v>26</v>
      </c>
      <c r="H653">
        <v>9</v>
      </c>
      <c r="I653">
        <v>30</v>
      </c>
      <c r="J653">
        <v>222196</v>
      </c>
      <c r="K653">
        <v>99</v>
      </c>
      <c r="L653">
        <v>0</v>
      </c>
      <c r="M653">
        <v>3</v>
      </c>
      <c r="N653">
        <v>0</v>
      </c>
      <c r="O653">
        <v>0</v>
      </c>
      <c r="P653">
        <v>0</v>
      </c>
      <c r="Q653">
        <v>0</v>
      </c>
      <c r="R653">
        <v>56</v>
      </c>
      <c r="S653">
        <v>171</v>
      </c>
      <c r="T653">
        <v>19</v>
      </c>
      <c r="U653">
        <v>2</v>
      </c>
    </row>
    <row r="654" spans="1:21" x14ac:dyDescent="0.3">
      <c r="A654">
        <v>11</v>
      </c>
      <c r="B654">
        <v>19</v>
      </c>
      <c r="C654">
        <v>3</v>
      </c>
      <c r="D654">
        <v>2</v>
      </c>
      <c r="E654">
        <v>3</v>
      </c>
      <c r="F654">
        <v>289</v>
      </c>
      <c r="G654">
        <v>36</v>
      </c>
      <c r="H654">
        <v>13</v>
      </c>
      <c r="I654">
        <v>33</v>
      </c>
      <c r="J654">
        <v>222196</v>
      </c>
      <c r="K654">
        <v>99</v>
      </c>
      <c r="L654">
        <v>0</v>
      </c>
      <c r="M654">
        <v>1</v>
      </c>
      <c r="N654">
        <v>2</v>
      </c>
      <c r="O654">
        <v>1</v>
      </c>
      <c r="P654">
        <v>0</v>
      </c>
      <c r="Q654">
        <v>1</v>
      </c>
      <c r="R654">
        <v>90</v>
      </c>
      <c r="S654">
        <v>172</v>
      </c>
      <c r="T654">
        <v>30</v>
      </c>
      <c r="U654">
        <v>104</v>
      </c>
    </row>
    <row r="655" spans="1:21" x14ac:dyDescent="0.3">
      <c r="A655">
        <v>13</v>
      </c>
      <c r="B655">
        <v>22</v>
      </c>
      <c r="C655">
        <v>3</v>
      </c>
      <c r="D655">
        <v>4</v>
      </c>
      <c r="E655">
        <v>3</v>
      </c>
      <c r="F655">
        <v>369</v>
      </c>
      <c r="G655">
        <v>17</v>
      </c>
      <c r="H655">
        <v>12</v>
      </c>
      <c r="I655">
        <v>31</v>
      </c>
      <c r="J655">
        <v>222196</v>
      </c>
      <c r="K655">
        <v>99</v>
      </c>
      <c r="L655">
        <v>0</v>
      </c>
      <c r="M655">
        <v>1</v>
      </c>
      <c r="N655">
        <v>3</v>
      </c>
      <c r="O655">
        <v>1</v>
      </c>
      <c r="P655">
        <v>0</v>
      </c>
      <c r="Q655">
        <v>0</v>
      </c>
      <c r="R655">
        <v>70</v>
      </c>
      <c r="S655">
        <v>169</v>
      </c>
      <c r="T655">
        <v>25</v>
      </c>
      <c r="U655">
        <v>8</v>
      </c>
    </row>
    <row r="656" spans="1:21" x14ac:dyDescent="0.3">
      <c r="A656">
        <v>28</v>
      </c>
      <c r="B656">
        <v>13</v>
      </c>
      <c r="C656">
        <v>4</v>
      </c>
      <c r="D656">
        <v>2</v>
      </c>
      <c r="E656">
        <v>3</v>
      </c>
      <c r="F656">
        <v>225</v>
      </c>
      <c r="G656">
        <v>26</v>
      </c>
      <c r="H656">
        <v>9</v>
      </c>
      <c r="I656">
        <v>28</v>
      </c>
      <c r="J656">
        <v>246288</v>
      </c>
      <c r="K656">
        <v>91</v>
      </c>
      <c r="L656">
        <v>0</v>
      </c>
      <c r="M656">
        <v>1</v>
      </c>
      <c r="N656">
        <v>1</v>
      </c>
      <c r="O656">
        <v>0</v>
      </c>
      <c r="P656">
        <v>0</v>
      </c>
      <c r="Q656">
        <v>2</v>
      </c>
      <c r="R656">
        <v>69</v>
      </c>
      <c r="S656">
        <v>169</v>
      </c>
      <c r="T656">
        <v>24</v>
      </c>
      <c r="U656">
        <v>8</v>
      </c>
    </row>
    <row r="657" spans="1:21" x14ac:dyDescent="0.3">
      <c r="A657">
        <v>34</v>
      </c>
      <c r="B657">
        <v>10</v>
      </c>
      <c r="C657">
        <v>4</v>
      </c>
      <c r="D657">
        <v>2</v>
      </c>
      <c r="E657">
        <v>3</v>
      </c>
      <c r="F657">
        <v>118</v>
      </c>
      <c r="G657">
        <v>10</v>
      </c>
      <c r="H657">
        <v>10</v>
      </c>
      <c r="I657">
        <v>37</v>
      </c>
      <c r="J657">
        <v>246288</v>
      </c>
      <c r="K657">
        <v>91</v>
      </c>
      <c r="L657">
        <v>0</v>
      </c>
      <c r="M657">
        <v>1</v>
      </c>
      <c r="N657">
        <v>0</v>
      </c>
      <c r="O657">
        <v>0</v>
      </c>
      <c r="P657">
        <v>0</v>
      </c>
      <c r="Q657">
        <v>0</v>
      </c>
      <c r="R657">
        <v>83</v>
      </c>
      <c r="S657">
        <v>172</v>
      </c>
      <c r="T657">
        <v>28</v>
      </c>
      <c r="U657">
        <v>8</v>
      </c>
    </row>
    <row r="658" spans="1:21" x14ac:dyDescent="0.3">
      <c r="A658">
        <v>10</v>
      </c>
      <c r="B658">
        <v>19</v>
      </c>
      <c r="C658">
        <v>4</v>
      </c>
      <c r="D658">
        <v>3</v>
      </c>
      <c r="E658">
        <v>3</v>
      </c>
      <c r="F658">
        <v>361</v>
      </c>
      <c r="G658">
        <v>52</v>
      </c>
      <c r="H658">
        <v>3</v>
      </c>
      <c r="I658">
        <v>28</v>
      </c>
      <c r="J658">
        <v>246288</v>
      </c>
      <c r="K658">
        <v>91</v>
      </c>
      <c r="L658">
        <v>0</v>
      </c>
      <c r="M658">
        <v>1</v>
      </c>
      <c r="N658">
        <v>1</v>
      </c>
      <c r="O658">
        <v>1</v>
      </c>
      <c r="P658">
        <v>0</v>
      </c>
      <c r="Q658">
        <v>4</v>
      </c>
      <c r="R658">
        <v>80</v>
      </c>
      <c r="S658">
        <v>172</v>
      </c>
      <c r="T658">
        <v>27</v>
      </c>
      <c r="U658">
        <v>8</v>
      </c>
    </row>
    <row r="659" spans="1:21" x14ac:dyDescent="0.3">
      <c r="A659">
        <v>33</v>
      </c>
      <c r="B659">
        <v>19</v>
      </c>
      <c r="C659">
        <v>4</v>
      </c>
      <c r="D659">
        <v>4</v>
      </c>
      <c r="E659">
        <v>3</v>
      </c>
      <c r="F659">
        <v>248</v>
      </c>
      <c r="G659">
        <v>25</v>
      </c>
      <c r="H659">
        <v>14</v>
      </c>
      <c r="I659">
        <v>47</v>
      </c>
      <c r="J659">
        <v>246288</v>
      </c>
      <c r="K659">
        <v>91</v>
      </c>
      <c r="L659">
        <v>0</v>
      </c>
      <c r="M659">
        <v>1</v>
      </c>
      <c r="N659">
        <v>2</v>
      </c>
      <c r="O659">
        <v>0</v>
      </c>
      <c r="P659">
        <v>0</v>
      </c>
      <c r="Q659">
        <v>1</v>
      </c>
      <c r="R659">
        <v>86</v>
      </c>
      <c r="S659">
        <v>165</v>
      </c>
      <c r="T659">
        <v>32</v>
      </c>
      <c r="U659">
        <v>8</v>
      </c>
    </row>
    <row r="660" spans="1:21" x14ac:dyDescent="0.3">
      <c r="A660">
        <v>6</v>
      </c>
      <c r="B660">
        <v>13</v>
      </c>
      <c r="C660">
        <v>4</v>
      </c>
      <c r="D660">
        <v>5</v>
      </c>
      <c r="E660">
        <v>3</v>
      </c>
      <c r="F660">
        <v>189</v>
      </c>
      <c r="G660">
        <v>29</v>
      </c>
      <c r="H660">
        <v>13</v>
      </c>
      <c r="I660">
        <v>33</v>
      </c>
      <c r="J660">
        <v>246288</v>
      </c>
      <c r="K660">
        <v>91</v>
      </c>
      <c r="L660">
        <v>0</v>
      </c>
      <c r="M660">
        <v>1</v>
      </c>
      <c r="N660">
        <v>2</v>
      </c>
      <c r="O660">
        <v>0</v>
      </c>
      <c r="P660">
        <v>0</v>
      </c>
      <c r="Q660">
        <v>2</v>
      </c>
      <c r="R660">
        <v>69</v>
      </c>
      <c r="S660">
        <v>167</v>
      </c>
      <c r="T660">
        <v>25</v>
      </c>
      <c r="U660">
        <v>8</v>
      </c>
    </row>
    <row r="661" spans="1:21" x14ac:dyDescent="0.3">
      <c r="A661">
        <v>22</v>
      </c>
      <c r="B661">
        <v>27</v>
      </c>
      <c r="C661">
        <v>4</v>
      </c>
      <c r="D661">
        <v>6</v>
      </c>
      <c r="E661">
        <v>3</v>
      </c>
      <c r="F661">
        <v>179</v>
      </c>
      <c r="G661">
        <v>26</v>
      </c>
      <c r="H661">
        <v>9</v>
      </c>
      <c r="I661">
        <v>30</v>
      </c>
      <c r="J661">
        <v>246288</v>
      </c>
      <c r="K661">
        <v>91</v>
      </c>
      <c r="L661">
        <v>0</v>
      </c>
      <c r="M661">
        <v>3</v>
      </c>
      <c r="N661">
        <v>0</v>
      </c>
      <c r="O661">
        <v>0</v>
      </c>
      <c r="P661">
        <v>0</v>
      </c>
      <c r="Q661">
        <v>0</v>
      </c>
      <c r="R661">
        <v>56</v>
      </c>
      <c r="S661">
        <v>171</v>
      </c>
      <c r="T661">
        <v>19</v>
      </c>
      <c r="U661">
        <v>2</v>
      </c>
    </row>
    <row r="662" spans="1:21" x14ac:dyDescent="0.3">
      <c r="A662">
        <v>13</v>
      </c>
      <c r="B662">
        <v>7</v>
      </c>
      <c r="C662">
        <v>4</v>
      </c>
      <c r="D662">
        <v>2</v>
      </c>
      <c r="E662">
        <v>3</v>
      </c>
      <c r="F662">
        <v>369</v>
      </c>
      <c r="G662">
        <v>17</v>
      </c>
      <c r="H662">
        <v>12</v>
      </c>
      <c r="I662">
        <v>31</v>
      </c>
      <c r="J662">
        <v>246288</v>
      </c>
      <c r="K662">
        <v>91</v>
      </c>
      <c r="L662">
        <v>0</v>
      </c>
      <c r="M662">
        <v>1</v>
      </c>
      <c r="N662">
        <v>3</v>
      </c>
      <c r="O662">
        <v>1</v>
      </c>
      <c r="P662">
        <v>0</v>
      </c>
      <c r="Q662">
        <v>0</v>
      </c>
      <c r="R662">
        <v>70</v>
      </c>
      <c r="S662">
        <v>169</v>
      </c>
      <c r="T662">
        <v>25</v>
      </c>
      <c r="U662">
        <v>24</v>
      </c>
    </row>
    <row r="663" spans="1:21" x14ac:dyDescent="0.3">
      <c r="A663">
        <v>17</v>
      </c>
      <c r="B663">
        <v>16</v>
      </c>
      <c r="C663">
        <v>4</v>
      </c>
      <c r="D663">
        <v>3</v>
      </c>
      <c r="E663">
        <v>3</v>
      </c>
      <c r="F663">
        <v>179</v>
      </c>
      <c r="G663">
        <v>22</v>
      </c>
      <c r="H663">
        <v>17</v>
      </c>
      <c r="I663">
        <v>40</v>
      </c>
      <c r="J663">
        <v>246288</v>
      </c>
      <c r="K663">
        <v>91</v>
      </c>
      <c r="L663">
        <v>0</v>
      </c>
      <c r="M663">
        <v>2</v>
      </c>
      <c r="N663">
        <v>2</v>
      </c>
      <c r="O663">
        <v>0</v>
      </c>
      <c r="P663">
        <v>1</v>
      </c>
      <c r="Q663">
        <v>0</v>
      </c>
      <c r="R663">
        <v>63</v>
      </c>
      <c r="S663">
        <v>170</v>
      </c>
      <c r="T663">
        <v>22</v>
      </c>
      <c r="U663">
        <v>2</v>
      </c>
    </row>
    <row r="664" spans="1:21" x14ac:dyDescent="0.3">
      <c r="A664">
        <v>36</v>
      </c>
      <c r="B664">
        <v>23</v>
      </c>
      <c r="C664">
        <v>4</v>
      </c>
      <c r="D664">
        <v>3</v>
      </c>
      <c r="E664">
        <v>3</v>
      </c>
      <c r="F664">
        <v>118</v>
      </c>
      <c r="G664">
        <v>13</v>
      </c>
      <c r="H664">
        <v>18</v>
      </c>
      <c r="I664">
        <v>50</v>
      </c>
      <c r="J664">
        <v>246288</v>
      </c>
      <c r="K664">
        <v>91</v>
      </c>
      <c r="L664">
        <v>0</v>
      </c>
      <c r="M664">
        <v>1</v>
      </c>
      <c r="N664">
        <v>1</v>
      </c>
      <c r="O664">
        <v>1</v>
      </c>
      <c r="P664">
        <v>0</v>
      </c>
      <c r="Q664">
        <v>0</v>
      </c>
      <c r="R664">
        <v>98</v>
      </c>
      <c r="S664">
        <v>178</v>
      </c>
      <c r="T664">
        <v>31</v>
      </c>
      <c r="U664">
        <v>3</v>
      </c>
    </row>
    <row r="665" spans="1:21" x14ac:dyDescent="0.3">
      <c r="A665">
        <v>10</v>
      </c>
      <c r="B665">
        <v>23</v>
      </c>
      <c r="C665">
        <v>4</v>
      </c>
      <c r="D665">
        <v>3</v>
      </c>
      <c r="E665">
        <v>3</v>
      </c>
      <c r="F665">
        <v>361</v>
      </c>
      <c r="G665">
        <v>52</v>
      </c>
      <c r="H665">
        <v>3</v>
      </c>
      <c r="I665">
        <v>28</v>
      </c>
      <c r="J665">
        <v>246288</v>
      </c>
      <c r="K665">
        <v>91</v>
      </c>
      <c r="L665">
        <v>0</v>
      </c>
      <c r="M665">
        <v>1</v>
      </c>
      <c r="N665">
        <v>1</v>
      </c>
      <c r="O665">
        <v>1</v>
      </c>
      <c r="P665">
        <v>0</v>
      </c>
      <c r="Q665">
        <v>4</v>
      </c>
      <c r="R665">
        <v>80</v>
      </c>
      <c r="S665">
        <v>172</v>
      </c>
      <c r="T665">
        <v>27</v>
      </c>
      <c r="U665">
        <v>2</v>
      </c>
    </row>
    <row r="666" spans="1:21" x14ac:dyDescent="0.3">
      <c r="A666">
        <v>34</v>
      </c>
      <c r="B666">
        <v>10</v>
      </c>
      <c r="C666">
        <v>4</v>
      </c>
      <c r="D666">
        <v>4</v>
      </c>
      <c r="E666">
        <v>3</v>
      </c>
      <c r="F666">
        <v>118</v>
      </c>
      <c r="G666">
        <v>10</v>
      </c>
      <c r="H666">
        <v>10</v>
      </c>
      <c r="I666">
        <v>37</v>
      </c>
      <c r="J666">
        <v>246288</v>
      </c>
      <c r="K666">
        <v>91</v>
      </c>
      <c r="L666">
        <v>0</v>
      </c>
      <c r="M666">
        <v>1</v>
      </c>
      <c r="N666">
        <v>0</v>
      </c>
      <c r="O666">
        <v>0</v>
      </c>
      <c r="P666">
        <v>0</v>
      </c>
      <c r="Q666">
        <v>0</v>
      </c>
      <c r="R666">
        <v>83</v>
      </c>
      <c r="S666">
        <v>172</v>
      </c>
      <c r="T666">
        <v>28</v>
      </c>
      <c r="U666">
        <v>2</v>
      </c>
    </row>
    <row r="667" spans="1:21" x14ac:dyDescent="0.3">
      <c r="A667">
        <v>1</v>
      </c>
      <c r="B667">
        <v>22</v>
      </c>
      <c r="C667">
        <v>4</v>
      </c>
      <c r="D667">
        <v>6</v>
      </c>
      <c r="E667">
        <v>3</v>
      </c>
      <c r="F667">
        <v>235</v>
      </c>
      <c r="G667">
        <v>11</v>
      </c>
      <c r="H667">
        <v>14</v>
      </c>
      <c r="I667">
        <v>37</v>
      </c>
      <c r="J667">
        <v>246288</v>
      </c>
      <c r="K667">
        <v>91</v>
      </c>
      <c r="L667">
        <v>0</v>
      </c>
      <c r="M667">
        <v>3</v>
      </c>
      <c r="N667">
        <v>1</v>
      </c>
      <c r="O667">
        <v>0</v>
      </c>
      <c r="P667">
        <v>0</v>
      </c>
      <c r="Q667">
        <v>1</v>
      </c>
      <c r="R667">
        <v>88</v>
      </c>
      <c r="S667">
        <v>172</v>
      </c>
      <c r="T667">
        <v>29</v>
      </c>
      <c r="U667">
        <v>8</v>
      </c>
    </row>
    <row r="668" spans="1:21" x14ac:dyDescent="0.3">
      <c r="A668">
        <v>22</v>
      </c>
      <c r="B668">
        <v>27</v>
      </c>
      <c r="C668">
        <v>4</v>
      </c>
      <c r="D668">
        <v>6</v>
      </c>
      <c r="E668">
        <v>3</v>
      </c>
      <c r="F668">
        <v>179</v>
      </c>
      <c r="G668">
        <v>26</v>
      </c>
      <c r="H668">
        <v>9</v>
      </c>
      <c r="I668">
        <v>30</v>
      </c>
      <c r="J668">
        <v>246288</v>
      </c>
      <c r="K668">
        <v>91</v>
      </c>
      <c r="L668">
        <v>0</v>
      </c>
      <c r="M668">
        <v>3</v>
      </c>
      <c r="N668">
        <v>0</v>
      </c>
      <c r="O668">
        <v>0</v>
      </c>
      <c r="P668">
        <v>0</v>
      </c>
      <c r="Q668">
        <v>0</v>
      </c>
      <c r="R668">
        <v>56</v>
      </c>
      <c r="S668">
        <v>171</v>
      </c>
      <c r="T668">
        <v>19</v>
      </c>
      <c r="U668">
        <v>2</v>
      </c>
    </row>
    <row r="669" spans="1:21" x14ac:dyDescent="0.3">
      <c r="A669">
        <v>28</v>
      </c>
      <c r="B669">
        <v>19</v>
      </c>
      <c r="C669">
        <v>4</v>
      </c>
      <c r="D669">
        <v>2</v>
      </c>
      <c r="E669">
        <v>3</v>
      </c>
      <c r="F669">
        <v>225</v>
      </c>
      <c r="G669">
        <v>26</v>
      </c>
      <c r="H669">
        <v>9</v>
      </c>
      <c r="I669">
        <v>28</v>
      </c>
      <c r="J669">
        <v>246288</v>
      </c>
      <c r="K669">
        <v>91</v>
      </c>
      <c r="L669">
        <v>0</v>
      </c>
      <c r="M669">
        <v>1</v>
      </c>
      <c r="N669">
        <v>1</v>
      </c>
      <c r="O669">
        <v>0</v>
      </c>
      <c r="P669">
        <v>0</v>
      </c>
      <c r="Q669">
        <v>2</v>
      </c>
      <c r="R669">
        <v>69</v>
      </c>
      <c r="S669">
        <v>169</v>
      </c>
      <c r="T669">
        <v>24</v>
      </c>
      <c r="U669">
        <v>8</v>
      </c>
    </row>
    <row r="670" spans="1:21" x14ac:dyDescent="0.3">
      <c r="A670">
        <v>25</v>
      </c>
      <c r="B670">
        <v>16</v>
      </c>
      <c r="C670">
        <v>4</v>
      </c>
      <c r="D670">
        <v>3</v>
      </c>
      <c r="E670">
        <v>3</v>
      </c>
      <c r="F670">
        <v>235</v>
      </c>
      <c r="G670">
        <v>16</v>
      </c>
      <c r="H670">
        <v>8</v>
      </c>
      <c r="I670">
        <v>32</v>
      </c>
      <c r="J670">
        <v>246288</v>
      </c>
      <c r="K670">
        <v>91</v>
      </c>
      <c r="L670">
        <v>0</v>
      </c>
      <c r="M670">
        <v>3</v>
      </c>
      <c r="N670">
        <v>0</v>
      </c>
      <c r="O670">
        <v>0</v>
      </c>
      <c r="P670">
        <v>0</v>
      </c>
      <c r="Q670">
        <v>0</v>
      </c>
      <c r="R670">
        <v>75</v>
      </c>
      <c r="S670">
        <v>178</v>
      </c>
      <c r="T670">
        <v>25</v>
      </c>
      <c r="U670">
        <v>3</v>
      </c>
    </row>
    <row r="671" spans="1:21" x14ac:dyDescent="0.3">
      <c r="A671">
        <v>22</v>
      </c>
      <c r="B671">
        <v>27</v>
      </c>
      <c r="C671">
        <v>4</v>
      </c>
      <c r="D671">
        <v>6</v>
      </c>
      <c r="E671">
        <v>3</v>
      </c>
      <c r="F671">
        <v>179</v>
      </c>
      <c r="G671">
        <v>26</v>
      </c>
      <c r="H671">
        <v>9</v>
      </c>
      <c r="I671">
        <v>30</v>
      </c>
      <c r="J671">
        <v>246288</v>
      </c>
      <c r="K671">
        <v>91</v>
      </c>
      <c r="L671">
        <v>0</v>
      </c>
      <c r="M671">
        <v>3</v>
      </c>
      <c r="N671">
        <v>0</v>
      </c>
      <c r="O671">
        <v>0</v>
      </c>
      <c r="P671">
        <v>0</v>
      </c>
      <c r="Q671">
        <v>0</v>
      </c>
      <c r="R671">
        <v>56</v>
      </c>
      <c r="S671">
        <v>171</v>
      </c>
      <c r="T671">
        <v>19</v>
      </c>
      <c r="U671">
        <v>2</v>
      </c>
    </row>
    <row r="672" spans="1:21" x14ac:dyDescent="0.3">
      <c r="A672">
        <v>14</v>
      </c>
      <c r="B672">
        <v>28</v>
      </c>
      <c r="C672">
        <v>4</v>
      </c>
      <c r="D672">
        <v>3</v>
      </c>
      <c r="E672">
        <v>3</v>
      </c>
      <c r="F672">
        <v>155</v>
      </c>
      <c r="G672">
        <v>12</v>
      </c>
      <c r="H672">
        <v>14</v>
      </c>
      <c r="I672">
        <v>34</v>
      </c>
      <c r="J672">
        <v>246288</v>
      </c>
      <c r="K672">
        <v>91</v>
      </c>
      <c r="L672">
        <v>0</v>
      </c>
      <c r="M672">
        <v>1</v>
      </c>
      <c r="N672">
        <v>2</v>
      </c>
      <c r="O672">
        <v>1</v>
      </c>
      <c r="P672">
        <v>0</v>
      </c>
      <c r="Q672">
        <v>0</v>
      </c>
      <c r="R672">
        <v>95</v>
      </c>
      <c r="S672">
        <v>196</v>
      </c>
      <c r="T672">
        <v>25</v>
      </c>
      <c r="U672">
        <v>4</v>
      </c>
    </row>
    <row r="673" spans="1:21" x14ac:dyDescent="0.3">
      <c r="A673">
        <v>28</v>
      </c>
      <c r="B673">
        <v>19</v>
      </c>
      <c r="C673">
        <v>4</v>
      </c>
      <c r="D673">
        <v>5</v>
      </c>
      <c r="E673">
        <v>3</v>
      </c>
      <c r="F673">
        <v>225</v>
      </c>
      <c r="G673">
        <v>26</v>
      </c>
      <c r="H673">
        <v>9</v>
      </c>
      <c r="I673">
        <v>28</v>
      </c>
      <c r="J673">
        <v>246288</v>
      </c>
      <c r="K673">
        <v>91</v>
      </c>
      <c r="L673">
        <v>0</v>
      </c>
      <c r="M673">
        <v>1</v>
      </c>
      <c r="N673">
        <v>1</v>
      </c>
      <c r="O673">
        <v>0</v>
      </c>
      <c r="P673">
        <v>0</v>
      </c>
      <c r="Q673">
        <v>2</v>
      </c>
      <c r="R673">
        <v>69</v>
      </c>
      <c r="S673">
        <v>169</v>
      </c>
      <c r="T673">
        <v>24</v>
      </c>
      <c r="U673">
        <v>8</v>
      </c>
    </row>
    <row r="674" spans="1:21" x14ac:dyDescent="0.3">
      <c r="A674">
        <v>36</v>
      </c>
      <c r="B674">
        <v>14</v>
      </c>
      <c r="C674">
        <v>4</v>
      </c>
      <c r="D674">
        <v>5</v>
      </c>
      <c r="E674">
        <v>3</v>
      </c>
      <c r="F674">
        <v>118</v>
      </c>
      <c r="G674">
        <v>13</v>
      </c>
      <c r="H674">
        <v>18</v>
      </c>
      <c r="I674">
        <v>50</v>
      </c>
      <c r="J674">
        <v>246288</v>
      </c>
      <c r="K674">
        <v>91</v>
      </c>
      <c r="L674">
        <v>0</v>
      </c>
      <c r="M674">
        <v>1</v>
      </c>
      <c r="N674">
        <v>1</v>
      </c>
      <c r="O674">
        <v>1</v>
      </c>
      <c r="P674">
        <v>0</v>
      </c>
      <c r="Q674">
        <v>0</v>
      </c>
      <c r="R674">
        <v>98</v>
      </c>
      <c r="S674">
        <v>178</v>
      </c>
      <c r="T674">
        <v>31</v>
      </c>
      <c r="U674">
        <v>2</v>
      </c>
    </row>
    <row r="675" spans="1:21" x14ac:dyDescent="0.3">
      <c r="A675">
        <v>22</v>
      </c>
      <c r="B675">
        <v>27</v>
      </c>
      <c r="C675">
        <v>4</v>
      </c>
      <c r="D675">
        <v>6</v>
      </c>
      <c r="E675">
        <v>3</v>
      </c>
      <c r="F675">
        <v>179</v>
      </c>
      <c r="G675">
        <v>26</v>
      </c>
      <c r="H675">
        <v>9</v>
      </c>
      <c r="I675">
        <v>30</v>
      </c>
      <c r="J675">
        <v>246288</v>
      </c>
      <c r="K675">
        <v>91</v>
      </c>
      <c r="L675">
        <v>0</v>
      </c>
      <c r="M675">
        <v>3</v>
      </c>
      <c r="N675">
        <v>0</v>
      </c>
      <c r="O675">
        <v>0</v>
      </c>
      <c r="P675">
        <v>0</v>
      </c>
      <c r="Q675">
        <v>0</v>
      </c>
      <c r="R675">
        <v>56</v>
      </c>
      <c r="S675">
        <v>171</v>
      </c>
      <c r="T675">
        <v>19</v>
      </c>
      <c r="U675">
        <v>2</v>
      </c>
    </row>
    <row r="676" spans="1:21" x14ac:dyDescent="0.3">
      <c r="A676">
        <v>1</v>
      </c>
      <c r="B676">
        <v>22</v>
      </c>
      <c r="C676">
        <v>5</v>
      </c>
      <c r="D676">
        <v>2</v>
      </c>
      <c r="E676">
        <v>3</v>
      </c>
      <c r="F676">
        <v>235</v>
      </c>
      <c r="G676">
        <v>11</v>
      </c>
      <c r="H676">
        <v>14</v>
      </c>
      <c r="I676">
        <v>37</v>
      </c>
      <c r="J676">
        <v>237656</v>
      </c>
      <c r="K676">
        <v>99</v>
      </c>
      <c r="L676">
        <v>0</v>
      </c>
      <c r="M676">
        <v>3</v>
      </c>
      <c r="N676">
        <v>1</v>
      </c>
      <c r="O676">
        <v>0</v>
      </c>
      <c r="P676">
        <v>0</v>
      </c>
      <c r="Q676">
        <v>1</v>
      </c>
      <c r="R676">
        <v>88</v>
      </c>
      <c r="S676">
        <v>172</v>
      </c>
      <c r="T676">
        <v>29</v>
      </c>
      <c r="U676">
        <v>8</v>
      </c>
    </row>
    <row r="677" spans="1:21" x14ac:dyDescent="0.3">
      <c r="A677">
        <v>29</v>
      </c>
      <c r="B677">
        <v>19</v>
      </c>
      <c r="C677">
        <v>5</v>
      </c>
      <c r="D677">
        <v>4</v>
      </c>
      <c r="E677">
        <v>3</v>
      </c>
      <c r="F677">
        <v>225</v>
      </c>
      <c r="G677">
        <v>15</v>
      </c>
      <c r="H677">
        <v>15</v>
      </c>
      <c r="I677">
        <v>41</v>
      </c>
      <c r="J677">
        <v>237656</v>
      </c>
      <c r="K677">
        <v>99</v>
      </c>
      <c r="L677">
        <v>0</v>
      </c>
      <c r="M677">
        <v>4</v>
      </c>
      <c r="N677">
        <v>2</v>
      </c>
      <c r="O677">
        <v>1</v>
      </c>
      <c r="P677">
        <v>0</v>
      </c>
      <c r="Q677">
        <v>2</v>
      </c>
      <c r="R677">
        <v>94</v>
      </c>
      <c r="S677">
        <v>182</v>
      </c>
      <c r="T677">
        <v>28</v>
      </c>
      <c r="U677">
        <v>3</v>
      </c>
    </row>
    <row r="678" spans="1:21" x14ac:dyDescent="0.3">
      <c r="A678">
        <v>25</v>
      </c>
      <c r="B678">
        <v>28</v>
      </c>
      <c r="C678">
        <v>5</v>
      </c>
      <c r="D678">
        <v>4</v>
      </c>
      <c r="E678">
        <v>3</v>
      </c>
      <c r="F678">
        <v>235</v>
      </c>
      <c r="G678">
        <v>16</v>
      </c>
      <c r="H678">
        <v>8</v>
      </c>
      <c r="I678">
        <v>32</v>
      </c>
      <c r="J678">
        <v>237656</v>
      </c>
      <c r="K678">
        <v>99</v>
      </c>
      <c r="L678">
        <v>0</v>
      </c>
      <c r="M678">
        <v>3</v>
      </c>
      <c r="N678">
        <v>0</v>
      </c>
      <c r="O678">
        <v>0</v>
      </c>
      <c r="P678">
        <v>0</v>
      </c>
      <c r="Q678">
        <v>0</v>
      </c>
      <c r="R678">
        <v>75</v>
      </c>
      <c r="S678">
        <v>178</v>
      </c>
      <c r="T678">
        <v>25</v>
      </c>
      <c r="U678">
        <v>2</v>
      </c>
    </row>
    <row r="679" spans="1:21" x14ac:dyDescent="0.3">
      <c r="A679">
        <v>34</v>
      </c>
      <c r="B679">
        <v>8</v>
      </c>
      <c r="C679">
        <v>5</v>
      </c>
      <c r="D679">
        <v>4</v>
      </c>
      <c r="E679">
        <v>3</v>
      </c>
      <c r="F679">
        <v>118</v>
      </c>
      <c r="G679">
        <v>10</v>
      </c>
      <c r="H679">
        <v>10</v>
      </c>
      <c r="I679">
        <v>37</v>
      </c>
      <c r="J679">
        <v>237656</v>
      </c>
      <c r="K679">
        <v>99</v>
      </c>
      <c r="L679">
        <v>0</v>
      </c>
      <c r="M679">
        <v>1</v>
      </c>
      <c r="N679">
        <v>0</v>
      </c>
      <c r="O679">
        <v>0</v>
      </c>
      <c r="P679">
        <v>0</v>
      </c>
      <c r="Q679">
        <v>0</v>
      </c>
      <c r="R679">
        <v>83</v>
      </c>
      <c r="S679">
        <v>172</v>
      </c>
      <c r="T679">
        <v>28</v>
      </c>
      <c r="U679">
        <v>3</v>
      </c>
    </row>
    <row r="680" spans="1:21" x14ac:dyDescent="0.3">
      <c r="A680">
        <v>5</v>
      </c>
      <c r="B680">
        <v>26</v>
      </c>
      <c r="C680">
        <v>5</v>
      </c>
      <c r="D680">
        <v>4</v>
      </c>
      <c r="E680">
        <v>3</v>
      </c>
      <c r="F680">
        <v>235</v>
      </c>
      <c r="G680">
        <v>20</v>
      </c>
      <c r="H680">
        <v>13</v>
      </c>
      <c r="I680">
        <v>43</v>
      </c>
      <c r="J680">
        <v>237656</v>
      </c>
      <c r="K680">
        <v>99</v>
      </c>
      <c r="L680">
        <v>0</v>
      </c>
      <c r="M680">
        <v>1</v>
      </c>
      <c r="N680">
        <v>1</v>
      </c>
      <c r="O680">
        <v>1</v>
      </c>
      <c r="P680">
        <v>0</v>
      </c>
      <c r="Q680">
        <v>0</v>
      </c>
      <c r="R680">
        <v>106</v>
      </c>
      <c r="S680">
        <v>167</v>
      </c>
      <c r="T680">
        <v>38</v>
      </c>
      <c r="U680">
        <v>8</v>
      </c>
    </row>
    <row r="681" spans="1:21" x14ac:dyDescent="0.3">
      <c r="A681">
        <v>22</v>
      </c>
      <c r="B681">
        <v>13</v>
      </c>
      <c r="C681">
        <v>5</v>
      </c>
      <c r="D681">
        <v>5</v>
      </c>
      <c r="E681">
        <v>3</v>
      </c>
      <c r="F681">
        <v>179</v>
      </c>
      <c r="G681">
        <v>26</v>
      </c>
      <c r="H681">
        <v>9</v>
      </c>
      <c r="I681">
        <v>30</v>
      </c>
      <c r="J681">
        <v>237656</v>
      </c>
      <c r="K681">
        <v>99</v>
      </c>
      <c r="L681">
        <v>0</v>
      </c>
      <c r="M681">
        <v>3</v>
      </c>
      <c r="N681">
        <v>0</v>
      </c>
      <c r="O681">
        <v>0</v>
      </c>
      <c r="P681">
        <v>0</v>
      </c>
      <c r="Q681">
        <v>0</v>
      </c>
      <c r="R681">
        <v>56</v>
      </c>
      <c r="S681">
        <v>171</v>
      </c>
      <c r="T681">
        <v>19</v>
      </c>
      <c r="U681">
        <v>1</v>
      </c>
    </row>
    <row r="682" spans="1:21" x14ac:dyDescent="0.3">
      <c r="A682">
        <v>15</v>
      </c>
      <c r="B682">
        <v>28</v>
      </c>
      <c r="C682">
        <v>5</v>
      </c>
      <c r="D682">
        <v>5</v>
      </c>
      <c r="E682">
        <v>3</v>
      </c>
      <c r="F682">
        <v>291</v>
      </c>
      <c r="G682">
        <v>31</v>
      </c>
      <c r="H682">
        <v>12</v>
      </c>
      <c r="I682">
        <v>40</v>
      </c>
      <c r="J682">
        <v>237656</v>
      </c>
      <c r="K682">
        <v>99</v>
      </c>
      <c r="L682">
        <v>0</v>
      </c>
      <c r="M682">
        <v>1</v>
      </c>
      <c r="N682">
        <v>1</v>
      </c>
      <c r="O682">
        <v>1</v>
      </c>
      <c r="P682">
        <v>0</v>
      </c>
      <c r="Q682">
        <v>1</v>
      </c>
      <c r="R682">
        <v>73</v>
      </c>
      <c r="S682">
        <v>171</v>
      </c>
      <c r="T682">
        <v>25</v>
      </c>
      <c r="U682">
        <v>2</v>
      </c>
    </row>
    <row r="683" spans="1:21" x14ac:dyDescent="0.3">
      <c r="A683">
        <v>29</v>
      </c>
      <c r="B683">
        <v>14</v>
      </c>
      <c r="C683">
        <v>5</v>
      </c>
      <c r="D683">
        <v>5</v>
      </c>
      <c r="E683">
        <v>3</v>
      </c>
      <c r="F683">
        <v>225</v>
      </c>
      <c r="G683">
        <v>15</v>
      </c>
      <c r="H683">
        <v>15</v>
      </c>
      <c r="I683">
        <v>41</v>
      </c>
      <c r="J683">
        <v>237656</v>
      </c>
      <c r="K683">
        <v>99</v>
      </c>
      <c r="L683">
        <v>0</v>
      </c>
      <c r="M683">
        <v>4</v>
      </c>
      <c r="N683">
        <v>2</v>
      </c>
      <c r="O683">
        <v>1</v>
      </c>
      <c r="P683">
        <v>0</v>
      </c>
      <c r="Q683">
        <v>2</v>
      </c>
      <c r="R683">
        <v>94</v>
      </c>
      <c r="S683">
        <v>182</v>
      </c>
      <c r="T683">
        <v>28</v>
      </c>
      <c r="U683">
        <v>8</v>
      </c>
    </row>
    <row r="684" spans="1:21" x14ac:dyDescent="0.3">
      <c r="A684">
        <v>26</v>
      </c>
      <c r="B684">
        <v>19</v>
      </c>
      <c r="C684">
        <v>5</v>
      </c>
      <c r="D684">
        <v>6</v>
      </c>
      <c r="E684">
        <v>3</v>
      </c>
      <c r="F684">
        <v>300</v>
      </c>
      <c r="G684">
        <v>26</v>
      </c>
      <c r="H684">
        <v>13</v>
      </c>
      <c r="I684">
        <v>43</v>
      </c>
      <c r="J684">
        <v>237656</v>
      </c>
      <c r="K684">
        <v>99</v>
      </c>
      <c r="L684">
        <v>0</v>
      </c>
      <c r="M684">
        <v>1</v>
      </c>
      <c r="N684">
        <v>2</v>
      </c>
      <c r="O684">
        <v>1</v>
      </c>
      <c r="P684">
        <v>1</v>
      </c>
      <c r="Q684">
        <v>1</v>
      </c>
      <c r="R684">
        <v>77</v>
      </c>
      <c r="S684">
        <v>175</v>
      </c>
      <c r="T684">
        <v>25</v>
      </c>
      <c r="U684">
        <v>64</v>
      </c>
    </row>
    <row r="685" spans="1:21" x14ac:dyDescent="0.3">
      <c r="A685">
        <v>29</v>
      </c>
      <c r="B685">
        <v>22</v>
      </c>
      <c r="C685">
        <v>5</v>
      </c>
      <c r="D685">
        <v>6</v>
      </c>
      <c r="E685">
        <v>3</v>
      </c>
      <c r="F685">
        <v>225</v>
      </c>
      <c r="G685">
        <v>15</v>
      </c>
      <c r="H685">
        <v>15</v>
      </c>
      <c r="I685">
        <v>41</v>
      </c>
      <c r="J685">
        <v>237656</v>
      </c>
      <c r="K685">
        <v>99</v>
      </c>
      <c r="L685">
        <v>0</v>
      </c>
      <c r="M685">
        <v>4</v>
      </c>
      <c r="N685">
        <v>2</v>
      </c>
      <c r="O685">
        <v>1</v>
      </c>
      <c r="P685">
        <v>0</v>
      </c>
      <c r="Q685">
        <v>2</v>
      </c>
      <c r="R685">
        <v>94</v>
      </c>
      <c r="S685">
        <v>182</v>
      </c>
      <c r="T685">
        <v>28</v>
      </c>
      <c r="U685">
        <v>8</v>
      </c>
    </row>
    <row r="686" spans="1:21" x14ac:dyDescent="0.3">
      <c r="A686">
        <v>22</v>
      </c>
      <c r="B686">
        <v>27</v>
      </c>
      <c r="C686">
        <v>5</v>
      </c>
      <c r="D686">
        <v>6</v>
      </c>
      <c r="E686">
        <v>3</v>
      </c>
      <c r="F686">
        <v>179</v>
      </c>
      <c r="G686">
        <v>26</v>
      </c>
      <c r="H686">
        <v>9</v>
      </c>
      <c r="I686">
        <v>30</v>
      </c>
      <c r="J686">
        <v>237656</v>
      </c>
      <c r="K686">
        <v>99</v>
      </c>
      <c r="L686">
        <v>0</v>
      </c>
      <c r="M686">
        <v>3</v>
      </c>
      <c r="N686">
        <v>0</v>
      </c>
      <c r="O686">
        <v>0</v>
      </c>
      <c r="P686">
        <v>0</v>
      </c>
      <c r="Q686">
        <v>0</v>
      </c>
      <c r="R686">
        <v>56</v>
      </c>
      <c r="S686">
        <v>171</v>
      </c>
      <c r="T686">
        <v>19</v>
      </c>
      <c r="U686">
        <v>2</v>
      </c>
    </row>
    <row r="687" spans="1:21" x14ac:dyDescent="0.3">
      <c r="A687">
        <v>36</v>
      </c>
      <c r="B687">
        <v>23</v>
      </c>
      <c r="C687">
        <v>5</v>
      </c>
      <c r="D687">
        <v>2</v>
      </c>
      <c r="E687">
        <v>3</v>
      </c>
      <c r="F687">
        <v>118</v>
      </c>
      <c r="G687">
        <v>13</v>
      </c>
      <c r="H687">
        <v>18</v>
      </c>
      <c r="I687">
        <v>50</v>
      </c>
      <c r="J687">
        <v>237656</v>
      </c>
      <c r="K687">
        <v>99</v>
      </c>
      <c r="L687">
        <v>0</v>
      </c>
      <c r="M687">
        <v>1</v>
      </c>
      <c r="N687">
        <v>1</v>
      </c>
      <c r="O687">
        <v>1</v>
      </c>
      <c r="P687">
        <v>0</v>
      </c>
      <c r="Q687">
        <v>0</v>
      </c>
      <c r="R687">
        <v>98</v>
      </c>
      <c r="S687">
        <v>178</v>
      </c>
      <c r="T687">
        <v>31</v>
      </c>
      <c r="U687">
        <v>2</v>
      </c>
    </row>
    <row r="688" spans="1:21" x14ac:dyDescent="0.3">
      <c r="A688">
        <v>36</v>
      </c>
      <c r="B688">
        <v>5</v>
      </c>
      <c r="C688">
        <v>5</v>
      </c>
      <c r="D688">
        <v>3</v>
      </c>
      <c r="E688">
        <v>3</v>
      </c>
      <c r="F688">
        <v>118</v>
      </c>
      <c r="G688">
        <v>13</v>
      </c>
      <c r="H688">
        <v>18</v>
      </c>
      <c r="I688">
        <v>50</v>
      </c>
      <c r="J688">
        <v>237656</v>
      </c>
      <c r="K688">
        <v>99</v>
      </c>
      <c r="L688">
        <v>0</v>
      </c>
      <c r="M688">
        <v>1</v>
      </c>
      <c r="N688">
        <v>1</v>
      </c>
      <c r="O688">
        <v>1</v>
      </c>
      <c r="P688">
        <v>0</v>
      </c>
      <c r="Q688">
        <v>0</v>
      </c>
      <c r="R688">
        <v>98</v>
      </c>
      <c r="S688">
        <v>178</v>
      </c>
      <c r="T688">
        <v>31</v>
      </c>
      <c r="U688">
        <v>3</v>
      </c>
    </row>
    <row r="689" spans="1:21" x14ac:dyDescent="0.3">
      <c r="A689">
        <v>34</v>
      </c>
      <c r="B689">
        <v>28</v>
      </c>
      <c r="C689">
        <v>5</v>
      </c>
      <c r="D689">
        <v>3</v>
      </c>
      <c r="E689">
        <v>3</v>
      </c>
      <c r="F689">
        <v>118</v>
      </c>
      <c r="G689">
        <v>10</v>
      </c>
      <c r="H689">
        <v>10</v>
      </c>
      <c r="I689">
        <v>37</v>
      </c>
      <c r="J689">
        <v>237656</v>
      </c>
      <c r="K689">
        <v>99</v>
      </c>
      <c r="L689">
        <v>0</v>
      </c>
      <c r="M689">
        <v>1</v>
      </c>
      <c r="N689">
        <v>0</v>
      </c>
      <c r="O689">
        <v>0</v>
      </c>
      <c r="P689">
        <v>0</v>
      </c>
      <c r="Q689">
        <v>0</v>
      </c>
      <c r="R689">
        <v>83</v>
      </c>
      <c r="S689">
        <v>172</v>
      </c>
      <c r="T689">
        <v>28</v>
      </c>
      <c r="U689">
        <v>1</v>
      </c>
    </row>
    <row r="690" spans="1:21" x14ac:dyDescent="0.3">
      <c r="A690">
        <v>36</v>
      </c>
      <c r="B690">
        <v>0</v>
      </c>
      <c r="C690">
        <v>5</v>
      </c>
      <c r="D690">
        <v>3</v>
      </c>
      <c r="E690">
        <v>3</v>
      </c>
      <c r="F690">
        <v>118</v>
      </c>
      <c r="G690">
        <v>13</v>
      </c>
      <c r="H690">
        <v>18</v>
      </c>
      <c r="I690">
        <v>50</v>
      </c>
      <c r="J690">
        <v>237656</v>
      </c>
      <c r="K690">
        <v>99</v>
      </c>
      <c r="L690">
        <v>1</v>
      </c>
      <c r="M690">
        <v>1</v>
      </c>
      <c r="N690">
        <v>1</v>
      </c>
      <c r="O690">
        <v>1</v>
      </c>
      <c r="P690">
        <v>0</v>
      </c>
      <c r="Q690">
        <v>0</v>
      </c>
      <c r="R690">
        <v>98</v>
      </c>
      <c r="S690">
        <v>178</v>
      </c>
      <c r="T690">
        <v>31</v>
      </c>
      <c r="U690">
        <v>0</v>
      </c>
    </row>
    <row r="691" spans="1:21" x14ac:dyDescent="0.3">
      <c r="A691">
        <v>22</v>
      </c>
      <c r="B691">
        <v>27</v>
      </c>
      <c r="C691">
        <v>5</v>
      </c>
      <c r="D691">
        <v>4</v>
      </c>
      <c r="E691">
        <v>3</v>
      </c>
      <c r="F691">
        <v>179</v>
      </c>
      <c r="G691">
        <v>26</v>
      </c>
      <c r="H691">
        <v>9</v>
      </c>
      <c r="I691">
        <v>30</v>
      </c>
      <c r="J691">
        <v>237656</v>
      </c>
      <c r="K691">
        <v>99</v>
      </c>
      <c r="L691">
        <v>0</v>
      </c>
      <c r="M691">
        <v>3</v>
      </c>
      <c r="N691">
        <v>0</v>
      </c>
      <c r="O691">
        <v>0</v>
      </c>
      <c r="P691">
        <v>0</v>
      </c>
      <c r="Q691">
        <v>0</v>
      </c>
      <c r="R691">
        <v>56</v>
      </c>
      <c r="S691">
        <v>171</v>
      </c>
      <c r="T691">
        <v>19</v>
      </c>
      <c r="U691">
        <v>2</v>
      </c>
    </row>
    <row r="692" spans="1:21" x14ac:dyDescent="0.3">
      <c r="A692">
        <v>23</v>
      </c>
      <c r="B692">
        <v>0</v>
      </c>
      <c r="C692">
        <v>5</v>
      </c>
      <c r="D692">
        <v>4</v>
      </c>
      <c r="E692">
        <v>3</v>
      </c>
      <c r="F692">
        <v>378</v>
      </c>
      <c r="G692">
        <v>49</v>
      </c>
      <c r="H692">
        <v>11</v>
      </c>
      <c r="I692">
        <v>36</v>
      </c>
      <c r="J692">
        <v>237656</v>
      </c>
      <c r="K692">
        <v>99</v>
      </c>
      <c r="L692">
        <v>1</v>
      </c>
      <c r="M692">
        <v>1</v>
      </c>
      <c r="N692">
        <v>2</v>
      </c>
      <c r="O692">
        <v>0</v>
      </c>
      <c r="P692">
        <v>1</v>
      </c>
      <c r="Q692">
        <v>4</v>
      </c>
      <c r="R692">
        <v>65</v>
      </c>
      <c r="S692">
        <v>174</v>
      </c>
      <c r="T692">
        <v>21</v>
      </c>
      <c r="U692">
        <v>0</v>
      </c>
    </row>
    <row r="693" spans="1:21" x14ac:dyDescent="0.3">
      <c r="A693">
        <v>17</v>
      </c>
      <c r="B693">
        <v>16</v>
      </c>
      <c r="C693">
        <v>5</v>
      </c>
      <c r="D693">
        <v>6</v>
      </c>
      <c r="E693">
        <v>3</v>
      </c>
      <c r="F693">
        <v>179</v>
      </c>
      <c r="G693">
        <v>22</v>
      </c>
      <c r="H693">
        <v>17</v>
      </c>
      <c r="I693">
        <v>40</v>
      </c>
      <c r="J693">
        <v>237656</v>
      </c>
      <c r="K693">
        <v>99</v>
      </c>
      <c r="L693">
        <v>0</v>
      </c>
      <c r="M693">
        <v>2</v>
      </c>
      <c r="N693">
        <v>2</v>
      </c>
      <c r="O693">
        <v>0</v>
      </c>
      <c r="P693">
        <v>1</v>
      </c>
      <c r="Q693">
        <v>0</v>
      </c>
      <c r="R693">
        <v>63</v>
      </c>
      <c r="S693">
        <v>170</v>
      </c>
      <c r="T693">
        <v>22</v>
      </c>
      <c r="U693">
        <v>1</v>
      </c>
    </row>
    <row r="694" spans="1:21" x14ac:dyDescent="0.3">
      <c r="A694">
        <v>14</v>
      </c>
      <c r="B694">
        <v>10</v>
      </c>
      <c r="C694">
        <v>5</v>
      </c>
      <c r="D694">
        <v>2</v>
      </c>
      <c r="E694">
        <v>3</v>
      </c>
      <c r="F694">
        <v>155</v>
      </c>
      <c r="G694">
        <v>12</v>
      </c>
      <c r="H694">
        <v>14</v>
      </c>
      <c r="I694">
        <v>34</v>
      </c>
      <c r="J694">
        <v>237656</v>
      </c>
      <c r="K694">
        <v>99</v>
      </c>
      <c r="L694">
        <v>0</v>
      </c>
      <c r="M694">
        <v>1</v>
      </c>
      <c r="N694">
        <v>2</v>
      </c>
      <c r="O694">
        <v>1</v>
      </c>
      <c r="P694">
        <v>0</v>
      </c>
      <c r="Q694">
        <v>0</v>
      </c>
      <c r="R694">
        <v>95</v>
      </c>
      <c r="S694">
        <v>196</v>
      </c>
      <c r="T694">
        <v>25</v>
      </c>
      <c r="U694">
        <v>48</v>
      </c>
    </row>
    <row r="695" spans="1:21" x14ac:dyDescent="0.3">
      <c r="A695">
        <v>25</v>
      </c>
      <c r="B695">
        <v>10</v>
      </c>
      <c r="C695">
        <v>5</v>
      </c>
      <c r="D695">
        <v>2</v>
      </c>
      <c r="E695">
        <v>3</v>
      </c>
      <c r="F695">
        <v>235</v>
      </c>
      <c r="G695">
        <v>16</v>
      </c>
      <c r="H695">
        <v>8</v>
      </c>
      <c r="I695">
        <v>32</v>
      </c>
      <c r="J695">
        <v>237656</v>
      </c>
      <c r="K695">
        <v>99</v>
      </c>
      <c r="L695">
        <v>0</v>
      </c>
      <c r="M695">
        <v>3</v>
      </c>
      <c r="N695">
        <v>0</v>
      </c>
      <c r="O695">
        <v>0</v>
      </c>
      <c r="P695">
        <v>0</v>
      </c>
      <c r="Q695">
        <v>0</v>
      </c>
      <c r="R695">
        <v>75</v>
      </c>
      <c r="S695">
        <v>178</v>
      </c>
      <c r="T695">
        <v>25</v>
      </c>
      <c r="U695">
        <v>8</v>
      </c>
    </row>
    <row r="696" spans="1:21" x14ac:dyDescent="0.3">
      <c r="A696">
        <v>15</v>
      </c>
      <c r="B696">
        <v>22</v>
      </c>
      <c r="C696">
        <v>5</v>
      </c>
      <c r="D696">
        <v>4</v>
      </c>
      <c r="E696">
        <v>3</v>
      </c>
      <c r="F696">
        <v>291</v>
      </c>
      <c r="G696">
        <v>31</v>
      </c>
      <c r="H696">
        <v>12</v>
      </c>
      <c r="I696">
        <v>40</v>
      </c>
      <c r="J696">
        <v>237656</v>
      </c>
      <c r="K696">
        <v>99</v>
      </c>
      <c r="L696">
        <v>0</v>
      </c>
      <c r="M696">
        <v>1</v>
      </c>
      <c r="N696">
        <v>1</v>
      </c>
      <c r="O696">
        <v>1</v>
      </c>
      <c r="P696">
        <v>0</v>
      </c>
      <c r="Q696">
        <v>1</v>
      </c>
      <c r="R696">
        <v>73</v>
      </c>
      <c r="S696">
        <v>171</v>
      </c>
      <c r="T696">
        <v>25</v>
      </c>
      <c r="U696">
        <v>8</v>
      </c>
    </row>
    <row r="697" spans="1:21" x14ac:dyDescent="0.3">
      <c r="A697">
        <v>17</v>
      </c>
      <c r="B697">
        <v>10</v>
      </c>
      <c r="C697">
        <v>5</v>
      </c>
      <c r="D697">
        <v>4</v>
      </c>
      <c r="E697">
        <v>3</v>
      </c>
      <c r="F697">
        <v>179</v>
      </c>
      <c r="G697">
        <v>22</v>
      </c>
      <c r="H697">
        <v>17</v>
      </c>
      <c r="I697">
        <v>40</v>
      </c>
      <c r="J697">
        <v>237656</v>
      </c>
      <c r="K697">
        <v>99</v>
      </c>
      <c r="L697">
        <v>0</v>
      </c>
      <c r="M697">
        <v>2</v>
      </c>
      <c r="N697">
        <v>2</v>
      </c>
      <c r="O697">
        <v>0</v>
      </c>
      <c r="P697">
        <v>1</v>
      </c>
      <c r="Q697">
        <v>0</v>
      </c>
      <c r="R697">
        <v>63</v>
      </c>
      <c r="S697">
        <v>170</v>
      </c>
      <c r="T697">
        <v>22</v>
      </c>
      <c r="U697">
        <v>8</v>
      </c>
    </row>
    <row r="698" spans="1:21" x14ac:dyDescent="0.3">
      <c r="A698">
        <v>28</v>
      </c>
      <c r="B698">
        <v>6</v>
      </c>
      <c r="C698">
        <v>5</v>
      </c>
      <c r="D698">
        <v>4</v>
      </c>
      <c r="E698">
        <v>3</v>
      </c>
      <c r="F698">
        <v>225</v>
      </c>
      <c r="G698">
        <v>26</v>
      </c>
      <c r="H698">
        <v>9</v>
      </c>
      <c r="I698">
        <v>28</v>
      </c>
      <c r="J698">
        <v>237656</v>
      </c>
      <c r="K698">
        <v>99</v>
      </c>
      <c r="L698">
        <v>0</v>
      </c>
      <c r="M698">
        <v>1</v>
      </c>
      <c r="N698">
        <v>1</v>
      </c>
      <c r="O698">
        <v>0</v>
      </c>
      <c r="P698">
        <v>0</v>
      </c>
      <c r="Q698">
        <v>2</v>
      </c>
      <c r="R698">
        <v>69</v>
      </c>
      <c r="S698">
        <v>169</v>
      </c>
      <c r="T698">
        <v>24</v>
      </c>
      <c r="U698">
        <v>3</v>
      </c>
    </row>
    <row r="699" spans="1:21" x14ac:dyDescent="0.3">
      <c r="A699">
        <v>18</v>
      </c>
      <c r="B699">
        <v>10</v>
      </c>
      <c r="C699">
        <v>5</v>
      </c>
      <c r="D699">
        <v>5</v>
      </c>
      <c r="E699">
        <v>3</v>
      </c>
      <c r="F699">
        <v>330</v>
      </c>
      <c r="G699">
        <v>16</v>
      </c>
      <c r="H699">
        <v>4</v>
      </c>
      <c r="I699">
        <v>28</v>
      </c>
      <c r="J699">
        <v>237656</v>
      </c>
      <c r="K699">
        <v>99</v>
      </c>
      <c r="L699">
        <v>0</v>
      </c>
      <c r="M699">
        <v>2</v>
      </c>
      <c r="N699">
        <v>0</v>
      </c>
      <c r="O699">
        <v>0</v>
      </c>
      <c r="P699">
        <v>0</v>
      </c>
      <c r="Q699">
        <v>0</v>
      </c>
      <c r="R699">
        <v>84</v>
      </c>
      <c r="S699">
        <v>182</v>
      </c>
      <c r="T699">
        <v>25</v>
      </c>
      <c r="U699">
        <v>8</v>
      </c>
    </row>
    <row r="700" spans="1:21" x14ac:dyDescent="0.3">
      <c r="A700">
        <v>25</v>
      </c>
      <c r="B700">
        <v>23</v>
      </c>
      <c r="C700">
        <v>5</v>
      </c>
      <c r="D700">
        <v>5</v>
      </c>
      <c r="E700">
        <v>3</v>
      </c>
      <c r="F700">
        <v>235</v>
      </c>
      <c r="G700">
        <v>16</v>
      </c>
      <c r="H700">
        <v>8</v>
      </c>
      <c r="I700">
        <v>32</v>
      </c>
      <c r="J700">
        <v>237656</v>
      </c>
      <c r="K700">
        <v>99</v>
      </c>
      <c r="L700">
        <v>0</v>
      </c>
      <c r="M700">
        <v>3</v>
      </c>
      <c r="N700">
        <v>0</v>
      </c>
      <c r="O700">
        <v>0</v>
      </c>
      <c r="P700">
        <v>0</v>
      </c>
      <c r="Q700">
        <v>0</v>
      </c>
      <c r="R700">
        <v>75</v>
      </c>
      <c r="S700">
        <v>178</v>
      </c>
      <c r="T700">
        <v>25</v>
      </c>
      <c r="U700">
        <v>2</v>
      </c>
    </row>
    <row r="701" spans="1:21" x14ac:dyDescent="0.3">
      <c r="A701">
        <v>15</v>
      </c>
      <c r="B701">
        <v>28</v>
      </c>
      <c r="C701">
        <v>5</v>
      </c>
      <c r="D701">
        <v>5</v>
      </c>
      <c r="E701">
        <v>3</v>
      </c>
      <c r="F701">
        <v>291</v>
      </c>
      <c r="G701">
        <v>31</v>
      </c>
      <c r="H701">
        <v>12</v>
      </c>
      <c r="I701">
        <v>40</v>
      </c>
      <c r="J701">
        <v>237656</v>
      </c>
      <c r="K701">
        <v>99</v>
      </c>
      <c r="L701">
        <v>0</v>
      </c>
      <c r="M701">
        <v>1</v>
      </c>
      <c r="N701">
        <v>1</v>
      </c>
      <c r="O701">
        <v>1</v>
      </c>
      <c r="P701">
        <v>0</v>
      </c>
      <c r="Q701">
        <v>1</v>
      </c>
      <c r="R701">
        <v>73</v>
      </c>
      <c r="S701">
        <v>171</v>
      </c>
      <c r="T701">
        <v>25</v>
      </c>
      <c r="U701">
        <v>2</v>
      </c>
    </row>
    <row r="702" spans="1:21" x14ac:dyDescent="0.3">
      <c r="A702">
        <v>22</v>
      </c>
      <c r="B702">
        <v>27</v>
      </c>
      <c r="C702">
        <v>5</v>
      </c>
      <c r="D702">
        <v>6</v>
      </c>
      <c r="E702">
        <v>3</v>
      </c>
      <c r="F702">
        <v>179</v>
      </c>
      <c r="G702">
        <v>26</v>
      </c>
      <c r="H702">
        <v>9</v>
      </c>
      <c r="I702">
        <v>30</v>
      </c>
      <c r="J702">
        <v>237656</v>
      </c>
      <c r="K702">
        <v>99</v>
      </c>
      <c r="L702">
        <v>0</v>
      </c>
      <c r="M702">
        <v>3</v>
      </c>
      <c r="N702">
        <v>0</v>
      </c>
      <c r="O702">
        <v>0</v>
      </c>
      <c r="P702">
        <v>0</v>
      </c>
      <c r="Q702">
        <v>0</v>
      </c>
      <c r="R702">
        <v>56</v>
      </c>
      <c r="S702">
        <v>171</v>
      </c>
      <c r="T702">
        <v>19</v>
      </c>
      <c r="U702">
        <v>2</v>
      </c>
    </row>
    <row r="703" spans="1:21" x14ac:dyDescent="0.3">
      <c r="A703">
        <v>10</v>
      </c>
      <c r="B703">
        <v>7</v>
      </c>
      <c r="C703">
        <v>5</v>
      </c>
      <c r="D703">
        <v>2</v>
      </c>
      <c r="E703">
        <v>3</v>
      </c>
      <c r="F703">
        <v>361</v>
      </c>
      <c r="G703">
        <v>52</v>
      </c>
      <c r="H703">
        <v>3</v>
      </c>
      <c r="I703">
        <v>28</v>
      </c>
      <c r="J703">
        <v>237656</v>
      </c>
      <c r="K703">
        <v>99</v>
      </c>
      <c r="L703">
        <v>0</v>
      </c>
      <c r="M703">
        <v>1</v>
      </c>
      <c r="N703">
        <v>1</v>
      </c>
      <c r="O703">
        <v>1</v>
      </c>
      <c r="P703">
        <v>0</v>
      </c>
      <c r="Q703">
        <v>4</v>
      </c>
      <c r="R703">
        <v>80</v>
      </c>
      <c r="S703">
        <v>172</v>
      </c>
      <c r="T703">
        <v>27</v>
      </c>
      <c r="U703">
        <v>8</v>
      </c>
    </row>
    <row r="704" spans="1:21" x14ac:dyDescent="0.3">
      <c r="A704">
        <v>14</v>
      </c>
      <c r="B704">
        <v>23</v>
      </c>
      <c r="C704">
        <v>5</v>
      </c>
      <c r="D704">
        <v>4</v>
      </c>
      <c r="E704">
        <v>3</v>
      </c>
      <c r="F704">
        <v>155</v>
      </c>
      <c r="G704">
        <v>12</v>
      </c>
      <c r="H704">
        <v>14</v>
      </c>
      <c r="I704">
        <v>34</v>
      </c>
      <c r="J704">
        <v>237656</v>
      </c>
      <c r="K704">
        <v>99</v>
      </c>
      <c r="L704">
        <v>0</v>
      </c>
      <c r="M704">
        <v>1</v>
      </c>
      <c r="N704">
        <v>2</v>
      </c>
      <c r="O704">
        <v>1</v>
      </c>
      <c r="P704">
        <v>0</v>
      </c>
      <c r="Q704">
        <v>0</v>
      </c>
      <c r="R704">
        <v>95</v>
      </c>
      <c r="S704">
        <v>196</v>
      </c>
      <c r="T704">
        <v>25</v>
      </c>
      <c r="U704">
        <v>2</v>
      </c>
    </row>
    <row r="705" spans="1:21" x14ac:dyDescent="0.3">
      <c r="A705">
        <v>17</v>
      </c>
      <c r="B705">
        <v>25</v>
      </c>
      <c r="C705">
        <v>5</v>
      </c>
      <c r="D705">
        <v>6</v>
      </c>
      <c r="E705">
        <v>3</v>
      </c>
      <c r="F705">
        <v>179</v>
      </c>
      <c r="G705">
        <v>22</v>
      </c>
      <c r="H705">
        <v>17</v>
      </c>
      <c r="I705">
        <v>40</v>
      </c>
      <c r="J705">
        <v>237656</v>
      </c>
      <c r="K705">
        <v>99</v>
      </c>
      <c r="L705">
        <v>0</v>
      </c>
      <c r="M705">
        <v>2</v>
      </c>
      <c r="N705">
        <v>2</v>
      </c>
      <c r="O705">
        <v>0</v>
      </c>
      <c r="P705">
        <v>1</v>
      </c>
      <c r="Q705">
        <v>0</v>
      </c>
      <c r="R705">
        <v>63</v>
      </c>
      <c r="S705">
        <v>170</v>
      </c>
      <c r="T705">
        <v>22</v>
      </c>
      <c r="U705">
        <v>8</v>
      </c>
    </row>
    <row r="706" spans="1:21" x14ac:dyDescent="0.3">
      <c r="A706">
        <v>14</v>
      </c>
      <c r="B706">
        <v>10</v>
      </c>
      <c r="C706">
        <v>5</v>
      </c>
      <c r="D706">
        <v>6</v>
      </c>
      <c r="E706">
        <v>3</v>
      </c>
      <c r="F706">
        <v>155</v>
      </c>
      <c r="G706">
        <v>12</v>
      </c>
      <c r="H706">
        <v>14</v>
      </c>
      <c r="I706">
        <v>34</v>
      </c>
      <c r="J706">
        <v>237656</v>
      </c>
      <c r="K706">
        <v>99</v>
      </c>
      <c r="L706">
        <v>0</v>
      </c>
      <c r="M706">
        <v>1</v>
      </c>
      <c r="N706">
        <v>2</v>
      </c>
      <c r="O706">
        <v>1</v>
      </c>
      <c r="P706">
        <v>0</v>
      </c>
      <c r="Q706">
        <v>0</v>
      </c>
      <c r="R706">
        <v>95</v>
      </c>
      <c r="S706">
        <v>196</v>
      </c>
      <c r="T706">
        <v>25</v>
      </c>
      <c r="U706">
        <v>8</v>
      </c>
    </row>
    <row r="707" spans="1:21" x14ac:dyDescent="0.3">
      <c r="A707">
        <v>28</v>
      </c>
      <c r="B707">
        <v>11</v>
      </c>
      <c r="C707">
        <v>5</v>
      </c>
      <c r="D707">
        <v>2</v>
      </c>
      <c r="E707">
        <v>3</v>
      </c>
      <c r="F707">
        <v>225</v>
      </c>
      <c r="G707">
        <v>26</v>
      </c>
      <c r="H707">
        <v>9</v>
      </c>
      <c r="I707">
        <v>28</v>
      </c>
      <c r="J707">
        <v>237656</v>
      </c>
      <c r="K707">
        <v>99</v>
      </c>
      <c r="L707">
        <v>0</v>
      </c>
      <c r="M707">
        <v>1</v>
      </c>
      <c r="N707">
        <v>1</v>
      </c>
      <c r="O707">
        <v>0</v>
      </c>
      <c r="P707">
        <v>0</v>
      </c>
      <c r="Q707">
        <v>2</v>
      </c>
      <c r="R707">
        <v>69</v>
      </c>
      <c r="S707">
        <v>169</v>
      </c>
      <c r="T707">
        <v>24</v>
      </c>
      <c r="U707">
        <v>1</v>
      </c>
    </row>
    <row r="708" spans="1:21" x14ac:dyDescent="0.3">
      <c r="A708">
        <v>16</v>
      </c>
      <c r="B708">
        <v>7</v>
      </c>
      <c r="C708">
        <v>6</v>
      </c>
      <c r="D708">
        <v>4</v>
      </c>
      <c r="E708">
        <v>3</v>
      </c>
      <c r="F708">
        <v>118</v>
      </c>
      <c r="G708">
        <v>15</v>
      </c>
      <c r="H708">
        <v>24</v>
      </c>
      <c r="I708">
        <v>46</v>
      </c>
      <c r="J708">
        <v>275089</v>
      </c>
      <c r="K708">
        <v>96</v>
      </c>
      <c r="L708">
        <v>0</v>
      </c>
      <c r="M708">
        <v>1</v>
      </c>
      <c r="N708">
        <v>2</v>
      </c>
      <c r="O708">
        <v>1</v>
      </c>
      <c r="P708">
        <v>1</v>
      </c>
      <c r="Q708">
        <v>0</v>
      </c>
      <c r="R708">
        <v>75</v>
      </c>
      <c r="S708">
        <v>175</v>
      </c>
      <c r="T708">
        <v>25</v>
      </c>
      <c r="U708">
        <v>8</v>
      </c>
    </row>
    <row r="709" spans="1:21" x14ac:dyDescent="0.3">
      <c r="A709">
        <v>22</v>
      </c>
      <c r="B709">
        <v>27</v>
      </c>
      <c r="C709">
        <v>6</v>
      </c>
      <c r="D709">
        <v>4</v>
      </c>
      <c r="E709">
        <v>3</v>
      </c>
      <c r="F709">
        <v>179</v>
      </c>
      <c r="G709">
        <v>26</v>
      </c>
      <c r="H709">
        <v>9</v>
      </c>
      <c r="I709">
        <v>30</v>
      </c>
      <c r="J709">
        <v>275089</v>
      </c>
      <c r="K709">
        <v>96</v>
      </c>
      <c r="L709">
        <v>0</v>
      </c>
      <c r="M709">
        <v>3</v>
      </c>
      <c r="N709">
        <v>0</v>
      </c>
      <c r="O709">
        <v>0</v>
      </c>
      <c r="P709">
        <v>0</v>
      </c>
      <c r="Q709">
        <v>0</v>
      </c>
      <c r="R709">
        <v>56</v>
      </c>
      <c r="S709">
        <v>171</v>
      </c>
      <c r="T709">
        <v>19</v>
      </c>
      <c r="U709">
        <v>3</v>
      </c>
    </row>
    <row r="710" spans="1:21" x14ac:dyDescent="0.3">
      <c r="A710">
        <v>34</v>
      </c>
      <c r="B710">
        <v>26</v>
      </c>
      <c r="C710">
        <v>6</v>
      </c>
      <c r="D710">
        <v>6</v>
      </c>
      <c r="E710">
        <v>3</v>
      </c>
      <c r="F710">
        <v>118</v>
      </c>
      <c r="G710">
        <v>10</v>
      </c>
      <c r="H710">
        <v>10</v>
      </c>
      <c r="I710">
        <v>37</v>
      </c>
      <c r="J710">
        <v>275089</v>
      </c>
      <c r="K710">
        <v>96</v>
      </c>
      <c r="L710">
        <v>0</v>
      </c>
      <c r="M710">
        <v>1</v>
      </c>
      <c r="N710">
        <v>0</v>
      </c>
      <c r="O710">
        <v>0</v>
      </c>
      <c r="P710">
        <v>0</v>
      </c>
      <c r="Q710">
        <v>0</v>
      </c>
      <c r="R710">
        <v>83</v>
      </c>
      <c r="S710">
        <v>172</v>
      </c>
      <c r="T710">
        <v>28</v>
      </c>
      <c r="U710">
        <v>8</v>
      </c>
    </row>
    <row r="711" spans="1:21" x14ac:dyDescent="0.3">
      <c r="A711">
        <v>34</v>
      </c>
      <c r="B711">
        <v>10</v>
      </c>
      <c r="C711">
        <v>6</v>
      </c>
      <c r="D711">
        <v>4</v>
      </c>
      <c r="E711">
        <v>3</v>
      </c>
      <c r="F711">
        <v>118</v>
      </c>
      <c r="G711">
        <v>10</v>
      </c>
      <c r="H711">
        <v>10</v>
      </c>
      <c r="I711">
        <v>37</v>
      </c>
      <c r="J711">
        <v>275089</v>
      </c>
      <c r="K711">
        <v>96</v>
      </c>
      <c r="L711">
        <v>0</v>
      </c>
      <c r="M711">
        <v>1</v>
      </c>
      <c r="N711">
        <v>0</v>
      </c>
      <c r="O711">
        <v>0</v>
      </c>
      <c r="P711">
        <v>0</v>
      </c>
      <c r="Q711">
        <v>0</v>
      </c>
      <c r="R711">
        <v>83</v>
      </c>
      <c r="S711">
        <v>172</v>
      </c>
      <c r="T711">
        <v>28</v>
      </c>
      <c r="U711">
        <v>8</v>
      </c>
    </row>
    <row r="712" spans="1:21" x14ac:dyDescent="0.3">
      <c r="A712">
        <v>23</v>
      </c>
      <c r="B712">
        <v>22</v>
      </c>
      <c r="C712">
        <v>6</v>
      </c>
      <c r="D712">
        <v>5</v>
      </c>
      <c r="E712">
        <v>3</v>
      </c>
      <c r="F712">
        <v>378</v>
      </c>
      <c r="G712">
        <v>49</v>
      </c>
      <c r="H712">
        <v>11</v>
      </c>
      <c r="I712">
        <v>36</v>
      </c>
      <c r="J712">
        <v>275089</v>
      </c>
      <c r="K712">
        <v>96</v>
      </c>
      <c r="L712">
        <v>0</v>
      </c>
      <c r="M712">
        <v>1</v>
      </c>
      <c r="N712">
        <v>2</v>
      </c>
      <c r="O712">
        <v>0</v>
      </c>
      <c r="P712">
        <v>1</v>
      </c>
      <c r="Q712">
        <v>4</v>
      </c>
      <c r="R712">
        <v>65</v>
      </c>
      <c r="S712">
        <v>174</v>
      </c>
      <c r="T712">
        <v>21</v>
      </c>
      <c r="U712">
        <v>8</v>
      </c>
    </row>
    <row r="713" spans="1:21" x14ac:dyDescent="0.3">
      <c r="A713">
        <v>36</v>
      </c>
      <c r="B713">
        <v>19</v>
      </c>
      <c r="C713">
        <v>6</v>
      </c>
      <c r="D713">
        <v>5</v>
      </c>
      <c r="E713">
        <v>3</v>
      </c>
      <c r="F713">
        <v>118</v>
      </c>
      <c r="G713">
        <v>13</v>
      </c>
      <c r="H713">
        <v>18</v>
      </c>
      <c r="I713">
        <v>50</v>
      </c>
      <c r="J713">
        <v>275089</v>
      </c>
      <c r="K713">
        <v>96</v>
      </c>
      <c r="L713">
        <v>0</v>
      </c>
      <c r="M713">
        <v>1</v>
      </c>
      <c r="N713">
        <v>1</v>
      </c>
      <c r="O713">
        <v>1</v>
      </c>
      <c r="P713">
        <v>0</v>
      </c>
      <c r="Q713">
        <v>0</v>
      </c>
      <c r="R713">
        <v>98</v>
      </c>
      <c r="S713">
        <v>178</v>
      </c>
      <c r="T713">
        <v>31</v>
      </c>
      <c r="U713">
        <v>24</v>
      </c>
    </row>
    <row r="714" spans="1:21" x14ac:dyDescent="0.3">
      <c r="A714">
        <v>12</v>
      </c>
      <c r="B714">
        <v>19</v>
      </c>
      <c r="C714">
        <v>6</v>
      </c>
      <c r="D714">
        <v>6</v>
      </c>
      <c r="E714">
        <v>3</v>
      </c>
      <c r="F714">
        <v>233</v>
      </c>
      <c r="G714">
        <v>51</v>
      </c>
      <c r="H714">
        <v>1</v>
      </c>
      <c r="I714">
        <v>31</v>
      </c>
      <c r="J714">
        <v>275089</v>
      </c>
      <c r="K714">
        <v>96</v>
      </c>
      <c r="L714">
        <v>0</v>
      </c>
      <c r="M714">
        <v>2</v>
      </c>
      <c r="N714">
        <v>1</v>
      </c>
      <c r="O714">
        <v>1</v>
      </c>
      <c r="P714">
        <v>0</v>
      </c>
      <c r="Q714">
        <v>8</v>
      </c>
      <c r="R714">
        <v>68</v>
      </c>
      <c r="S714">
        <v>178</v>
      </c>
      <c r="T714">
        <v>21</v>
      </c>
      <c r="U714">
        <v>8</v>
      </c>
    </row>
    <row r="715" spans="1:21" x14ac:dyDescent="0.3">
      <c r="A715">
        <v>22</v>
      </c>
      <c r="B715">
        <v>27</v>
      </c>
      <c r="C715">
        <v>6</v>
      </c>
      <c r="D715">
        <v>6</v>
      </c>
      <c r="E715">
        <v>3</v>
      </c>
      <c r="F715">
        <v>179</v>
      </c>
      <c r="G715">
        <v>26</v>
      </c>
      <c r="H715">
        <v>9</v>
      </c>
      <c r="I715">
        <v>30</v>
      </c>
      <c r="J715">
        <v>275089</v>
      </c>
      <c r="K715">
        <v>96</v>
      </c>
      <c r="L715">
        <v>0</v>
      </c>
      <c r="M715">
        <v>3</v>
      </c>
      <c r="N715">
        <v>0</v>
      </c>
      <c r="O715">
        <v>0</v>
      </c>
      <c r="P715">
        <v>0</v>
      </c>
      <c r="Q715">
        <v>0</v>
      </c>
      <c r="R715">
        <v>56</v>
      </c>
      <c r="S715">
        <v>171</v>
      </c>
      <c r="T715">
        <v>19</v>
      </c>
      <c r="U715">
        <v>2</v>
      </c>
    </row>
    <row r="716" spans="1:21" x14ac:dyDescent="0.3">
      <c r="A716">
        <v>2</v>
      </c>
      <c r="B716">
        <v>0</v>
      </c>
      <c r="C716">
        <v>6</v>
      </c>
      <c r="D716">
        <v>2</v>
      </c>
      <c r="E716">
        <v>3</v>
      </c>
      <c r="F716">
        <v>235</v>
      </c>
      <c r="G716">
        <v>29</v>
      </c>
      <c r="H716">
        <v>12</v>
      </c>
      <c r="I716">
        <v>48</v>
      </c>
      <c r="J716">
        <v>275089</v>
      </c>
      <c r="K716">
        <v>96</v>
      </c>
      <c r="L716">
        <v>1</v>
      </c>
      <c r="M716">
        <v>1</v>
      </c>
      <c r="N716">
        <v>1</v>
      </c>
      <c r="O716">
        <v>0</v>
      </c>
      <c r="P716">
        <v>1</v>
      </c>
      <c r="Q716">
        <v>5</v>
      </c>
      <c r="R716">
        <v>88</v>
      </c>
      <c r="S716">
        <v>163</v>
      </c>
      <c r="T716">
        <v>33</v>
      </c>
      <c r="U716">
        <v>0</v>
      </c>
    </row>
    <row r="717" spans="1:21" x14ac:dyDescent="0.3">
      <c r="A717">
        <v>21</v>
      </c>
      <c r="B717">
        <v>0</v>
      </c>
      <c r="C717">
        <v>6</v>
      </c>
      <c r="D717">
        <v>2</v>
      </c>
      <c r="E717">
        <v>3</v>
      </c>
      <c r="F717">
        <v>268</v>
      </c>
      <c r="G717">
        <v>11</v>
      </c>
      <c r="H717">
        <v>8</v>
      </c>
      <c r="I717">
        <v>33</v>
      </c>
      <c r="J717">
        <v>275089</v>
      </c>
      <c r="K717">
        <v>96</v>
      </c>
      <c r="L717">
        <v>1</v>
      </c>
      <c r="M717">
        <v>2</v>
      </c>
      <c r="N717">
        <v>0</v>
      </c>
      <c r="O717">
        <v>0</v>
      </c>
      <c r="P717">
        <v>0</v>
      </c>
      <c r="Q717">
        <v>0</v>
      </c>
      <c r="R717">
        <v>79</v>
      </c>
      <c r="S717">
        <v>178</v>
      </c>
      <c r="T717">
        <v>25</v>
      </c>
      <c r="U717">
        <v>0</v>
      </c>
    </row>
    <row r="718" spans="1:21" x14ac:dyDescent="0.3">
      <c r="A718">
        <v>36</v>
      </c>
      <c r="B718">
        <v>19</v>
      </c>
      <c r="C718">
        <v>6</v>
      </c>
      <c r="D718">
        <v>5</v>
      </c>
      <c r="E718">
        <v>3</v>
      </c>
      <c r="F718">
        <v>118</v>
      </c>
      <c r="G718">
        <v>13</v>
      </c>
      <c r="H718">
        <v>18</v>
      </c>
      <c r="I718">
        <v>50</v>
      </c>
      <c r="J718">
        <v>275089</v>
      </c>
      <c r="K718">
        <v>96</v>
      </c>
      <c r="L718">
        <v>0</v>
      </c>
      <c r="M718">
        <v>1</v>
      </c>
      <c r="N718">
        <v>1</v>
      </c>
      <c r="O718">
        <v>1</v>
      </c>
      <c r="P718">
        <v>0</v>
      </c>
      <c r="Q718">
        <v>0</v>
      </c>
      <c r="R718">
        <v>98</v>
      </c>
      <c r="S718">
        <v>178</v>
      </c>
      <c r="T718">
        <v>31</v>
      </c>
      <c r="U718">
        <v>3</v>
      </c>
    </row>
    <row r="719" spans="1:21" x14ac:dyDescent="0.3">
      <c r="A719">
        <v>22</v>
      </c>
      <c r="B719">
        <v>13</v>
      </c>
      <c r="C719">
        <v>6</v>
      </c>
      <c r="D719">
        <v>5</v>
      </c>
      <c r="E719">
        <v>3</v>
      </c>
      <c r="F719">
        <v>179</v>
      </c>
      <c r="G719">
        <v>26</v>
      </c>
      <c r="H719">
        <v>9</v>
      </c>
      <c r="I719">
        <v>30</v>
      </c>
      <c r="J719">
        <v>275089</v>
      </c>
      <c r="K719">
        <v>96</v>
      </c>
      <c r="L719">
        <v>0</v>
      </c>
      <c r="M719">
        <v>3</v>
      </c>
      <c r="N719">
        <v>0</v>
      </c>
      <c r="O719">
        <v>0</v>
      </c>
      <c r="P719">
        <v>0</v>
      </c>
      <c r="Q719">
        <v>0</v>
      </c>
      <c r="R719">
        <v>56</v>
      </c>
      <c r="S719">
        <v>171</v>
      </c>
      <c r="T719">
        <v>19</v>
      </c>
      <c r="U719">
        <v>2</v>
      </c>
    </row>
    <row r="720" spans="1:21" x14ac:dyDescent="0.3">
      <c r="A720">
        <v>15</v>
      </c>
      <c r="B720">
        <v>28</v>
      </c>
      <c r="C720">
        <v>6</v>
      </c>
      <c r="D720">
        <v>5</v>
      </c>
      <c r="E720">
        <v>3</v>
      </c>
      <c r="F720">
        <v>291</v>
      </c>
      <c r="G720">
        <v>31</v>
      </c>
      <c r="H720">
        <v>12</v>
      </c>
      <c r="I720">
        <v>40</v>
      </c>
      <c r="J720">
        <v>275089</v>
      </c>
      <c r="K720">
        <v>96</v>
      </c>
      <c r="L720">
        <v>0</v>
      </c>
      <c r="M720">
        <v>1</v>
      </c>
      <c r="N720">
        <v>1</v>
      </c>
      <c r="O720">
        <v>1</v>
      </c>
      <c r="P720">
        <v>0</v>
      </c>
      <c r="Q720">
        <v>1</v>
      </c>
      <c r="R720">
        <v>73</v>
      </c>
      <c r="S720">
        <v>171</v>
      </c>
      <c r="T720">
        <v>25</v>
      </c>
      <c r="U720">
        <v>2</v>
      </c>
    </row>
    <row r="721" spans="1:21" x14ac:dyDescent="0.3">
      <c r="A721">
        <v>22</v>
      </c>
      <c r="B721">
        <v>13</v>
      </c>
      <c r="C721">
        <v>6</v>
      </c>
      <c r="D721">
        <v>2</v>
      </c>
      <c r="E721">
        <v>1</v>
      </c>
      <c r="F721">
        <v>179</v>
      </c>
      <c r="G721">
        <v>26</v>
      </c>
      <c r="H721">
        <v>9</v>
      </c>
      <c r="I721">
        <v>30</v>
      </c>
      <c r="J721">
        <v>275089</v>
      </c>
      <c r="K721">
        <v>96</v>
      </c>
      <c r="L721">
        <v>0</v>
      </c>
      <c r="M721">
        <v>3</v>
      </c>
      <c r="N721">
        <v>0</v>
      </c>
      <c r="O721">
        <v>0</v>
      </c>
      <c r="P721">
        <v>0</v>
      </c>
      <c r="Q721">
        <v>0</v>
      </c>
      <c r="R721">
        <v>56</v>
      </c>
      <c r="S721">
        <v>171</v>
      </c>
      <c r="T721">
        <v>19</v>
      </c>
      <c r="U721">
        <v>3</v>
      </c>
    </row>
    <row r="722" spans="1:21" x14ac:dyDescent="0.3">
      <c r="A722">
        <v>34</v>
      </c>
      <c r="B722">
        <v>25</v>
      </c>
      <c r="C722">
        <v>6</v>
      </c>
      <c r="D722">
        <v>2</v>
      </c>
      <c r="E722">
        <v>1</v>
      </c>
      <c r="F722">
        <v>118</v>
      </c>
      <c r="G722">
        <v>10</v>
      </c>
      <c r="H722">
        <v>10</v>
      </c>
      <c r="I722">
        <v>37</v>
      </c>
      <c r="J722">
        <v>275089</v>
      </c>
      <c r="K722">
        <v>96</v>
      </c>
      <c r="L722">
        <v>0</v>
      </c>
      <c r="M722">
        <v>1</v>
      </c>
      <c r="N722">
        <v>0</v>
      </c>
      <c r="O722">
        <v>0</v>
      </c>
      <c r="P722">
        <v>0</v>
      </c>
      <c r="Q722">
        <v>0</v>
      </c>
      <c r="R722">
        <v>83</v>
      </c>
      <c r="S722">
        <v>172</v>
      </c>
      <c r="T722">
        <v>28</v>
      </c>
      <c r="U722">
        <v>3</v>
      </c>
    </row>
    <row r="723" spans="1:21" x14ac:dyDescent="0.3">
      <c r="A723">
        <v>12</v>
      </c>
      <c r="B723">
        <v>22</v>
      </c>
      <c r="C723">
        <v>6</v>
      </c>
      <c r="D723">
        <v>5</v>
      </c>
      <c r="E723">
        <v>1</v>
      </c>
      <c r="F723">
        <v>233</v>
      </c>
      <c r="G723">
        <v>51</v>
      </c>
      <c r="H723">
        <v>1</v>
      </c>
      <c r="I723">
        <v>31</v>
      </c>
      <c r="J723">
        <v>275089</v>
      </c>
      <c r="K723">
        <v>96</v>
      </c>
      <c r="L723">
        <v>0</v>
      </c>
      <c r="M723">
        <v>2</v>
      </c>
      <c r="N723">
        <v>1</v>
      </c>
      <c r="O723">
        <v>1</v>
      </c>
      <c r="P723">
        <v>0</v>
      </c>
      <c r="Q723">
        <v>8</v>
      </c>
      <c r="R723">
        <v>68</v>
      </c>
      <c r="S723">
        <v>178</v>
      </c>
      <c r="T723">
        <v>21</v>
      </c>
      <c r="U723">
        <v>8</v>
      </c>
    </row>
    <row r="724" spans="1:21" x14ac:dyDescent="0.3">
      <c r="A724">
        <v>34</v>
      </c>
      <c r="B724">
        <v>8</v>
      </c>
      <c r="C724">
        <v>6</v>
      </c>
      <c r="D724">
        <v>6</v>
      </c>
      <c r="E724">
        <v>1</v>
      </c>
      <c r="F724">
        <v>118</v>
      </c>
      <c r="G724">
        <v>10</v>
      </c>
      <c r="H724">
        <v>10</v>
      </c>
      <c r="I724">
        <v>37</v>
      </c>
      <c r="J724">
        <v>275089</v>
      </c>
      <c r="K724">
        <v>96</v>
      </c>
      <c r="L724">
        <v>0</v>
      </c>
      <c r="M724">
        <v>1</v>
      </c>
      <c r="N724">
        <v>0</v>
      </c>
      <c r="O724">
        <v>0</v>
      </c>
      <c r="P724">
        <v>0</v>
      </c>
      <c r="Q724">
        <v>0</v>
      </c>
      <c r="R724">
        <v>83</v>
      </c>
      <c r="S724">
        <v>172</v>
      </c>
      <c r="T724">
        <v>28</v>
      </c>
      <c r="U724">
        <v>2</v>
      </c>
    </row>
    <row r="725" spans="1:21" x14ac:dyDescent="0.3">
      <c r="A725">
        <v>34</v>
      </c>
      <c r="B725">
        <v>10</v>
      </c>
      <c r="C725">
        <v>6</v>
      </c>
      <c r="D725">
        <v>4</v>
      </c>
      <c r="E725">
        <v>1</v>
      </c>
      <c r="F725">
        <v>118</v>
      </c>
      <c r="G725">
        <v>10</v>
      </c>
      <c r="H725">
        <v>10</v>
      </c>
      <c r="I725">
        <v>37</v>
      </c>
      <c r="J725">
        <v>275089</v>
      </c>
      <c r="K725">
        <v>96</v>
      </c>
      <c r="L725">
        <v>0</v>
      </c>
      <c r="M725">
        <v>1</v>
      </c>
      <c r="N725">
        <v>0</v>
      </c>
      <c r="O725">
        <v>0</v>
      </c>
      <c r="P725">
        <v>0</v>
      </c>
      <c r="Q725">
        <v>0</v>
      </c>
      <c r="R725">
        <v>83</v>
      </c>
      <c r="S725">
        <v>172</v>
      </c>
      <c r="T725">
        <v>28</v>
      </c>
      <c r="U725">
        <v>3</v>
      </c>
    </row>
    <row r="726" spans="1:21" x14ac:dyDescent="0.3">
      <c r="A726">
        <v>12</v>
      </c>
      <c r="B726">
        <v>22</v>
      </c>
      <c r="C726">
        <v>6</v>
      </c>
      <c r="D726">
        <v>4</v>
      </c>
      <c r="E726">
        <v>1</v>
      </c>
      <c r="F726">
        <v>233</v>
      </c>
      <c r="G726">
        <v>51</v>
      </c>
      <c r="H726">
        <v>1</v>
      </c>
      <c r="I726">
        <v>31</v>
      </c>
      <c r="J726">
        <v>275089</v>
      </c>
      <c r="K726">
        <v>96</v>
      </c>
      <c r="L726">
        <v>0</v>
      </c>
      <c r="M726">
        <v>2</v>
      </c>
      <c r="N726">
        <v>1</v>
      </c>
      <c r="O726">
        <v>1</v>
      </c>
      <c r="P726">
        <v>0</v>
      </c>
      <c r="Q726">
        <v>8</v>
      </c>
      <c r="R726">
        <v>68</v>
      </c>
      <c r="S726">
        <v>178</v>
      </c>
      <c r="T726">
        <v>21</v>
      </c>
      <c r="U726">
        <v>3</v>
      </c>
    </row>
    <row r="727" spans="1:21" x14ac:dyDescent="0.3">
      <c r="A727">
        <v>5</v>
      </c>
      <c r="B727">
        <v>26</v>
      </c>
      <c r="C727">
        <v>7</v>
      </c>
      <c r="D727">
        <v>4</v>
      </c>
      <c r="E727">
        <v>1</v>
      </c>
      <c r="F727">
        <v>235</v>
      </c>
      <c r="G727">
        <v>20</v>
      </c>
      <c r="H727">
        <v>13</v>
      </c>
      <c r="I727">
        <v>43</v>
      </c>
      <c r="J727">
        <v>264604</v>
      </c>
      <c r="K727">
        <v>93</v>
      </c>
      <c r="L727">
        <v>0</v>
      </c>
      <c r="M727">
        <v>1</v>
      </c>
      <c r="N727">
        <v>1</v>
      </c>
      <c r="O727">
        <v>1</v>
      </c>
      <c r="P727">
        <v>0</v>
      </c>
      <c r="Q727">
        <v>0</v>
      </c>
      <c r="R727">
        <v>106</v>
      </c>
      <c r="S727">
        <v>167</v>
      </c>
      <c r="T727">
        <v>38</v>
      </c>
      <c r="U727">
        <v>4</v>
      </c>
    </row>
    <row r="728" spans="1:21" x14ac:dyDescent="0.3">
      <c r="A728">
        <v>12</v>
      </c>
      <c r="B728">
        <v>19</v>
      </c>
      <c r="C728">
        <v>7</v>
      </c>
      <c r="D728">
        <v>6</v>
      </c>
      <c r="E728">
        <v>1</v>
      </c>
      <c r="F728">
        <v>233</v>
      </c>
      <c r="G728">
        <v>51</v>
      </c>
      <c r="H728">
        <v>1</v>
      </c>
      <c r="I728">
        <v>31</v>
      </c>
      <c r="J728">
        <v>264604</v>
      </c>
      <c r="K728">
        <v>93</v>
      </c>
      <c r="L728">
        <v>0</v>
      </c>
      <c r="M728">
        <v>2</v>
      </c>
      <c r="N728">
        <v>1</v>
      </c>
      <c r="O728">
        <v>1</v>
      </c>
      <c r="P728">
        <v>0</v>
      </c>
      <c r="Q728">
        <v>8</v>
      </c>
      <c r="R728">
        <v>68</v>
      </c>
      <c r="S728">
        <v>178</v>
      </c>
      <c r="T728">
        <v>21</v>
      </c>
      <c r="U728">
        <v>2</v>
      </c>
    </row>
    <row r="729" spans="1:21" x14ac:dyDescent="0.3">
      <c r="A729">
        <v>9</v>
      </c>
      <c r="B729">
        <v>6</v>
      </c>
      <c r="C729">
        <v>7</v>
      </c>
      <c r="D729">
        <v>2</v>
      </c>
      <c r="E729">
        <v>1</v>
      </c>
      <c r="F729">
        <v>228</v>
      </c>
      <c r="G729">
        <v>14</v>
      </c>
      <c r="H729">
        <v>16</v>
      </c>
      <c r="I729">
        <v>58</v>
      </c>
      <c r="J729">
        <v>264604</v>
      </c>
      <c r="K729">
        <v>93</v>
      </c>
      <c r="L729">
        <v>0</v>
      </c>
      <c r="M729">
        <v>1</v>
      </c>
      <c r="N729">
        <v>2</v>
      </c>
      <c r="O729">
        <v>0</v>
      </c>
      <c r="P729">
        <v>0</v>
      </c>
      <c r="Q729">
        <v>1</v>
      </c>
      <c r="R729">
        <v>65</v>
      </c>
      <c r="S729">
        <v>172</v>
      </c>
      <c r="T729">
        <v>22</v>
      </c>
      <c r="U729">
        <v>8</v>
      </c>
    </row>
    <row r="730" spans="1:21" x14ac:dyDescent="0.3">
      <c r="A730">
        <v>34</v>
      </c>
      <c r="B730">
        <v>28</v>
      </c>
      <c r="C730">
        <v>7</v>
      </c>
      <c r="D730">
        <v>2</v>
      </c>
      <c r="E730">
        <v>1</v>
      </c>
      <c r="F730">
        <v>118</v>
      </c>
      <c r="G730">
        <v>10</v>
      </c>
      <c r="H730">
        <v>10</v>
      </c>
      <c r="I730">
        <v>37</v>
      </c>
      <c r="J730">
        <v>264604</v>
      </c>
      <c r="K730">
        <v>93</v>
      </c>
      <c r="L730">
        <v>0</v>
      </c>
      <c r="M730">
        <v>1</v>
      </c>
      <c r="N730">
        <v>0</v>
      </c>
      <c r="O730">
        <v>0</v>
      </c>
      <c r="P730">
        <v>0</v>
      </c>
      <c r="Q730">
        <v>0</v>
      </c>
      <c r="R730">
        <v>83</v>
      </c>
      <c r="S730">
        <v>172</v>
      </c>
      <c r="T730">
        <v>28</v>
      </c>
      <c r="U730">
        <v>4</v>
      </c>
    </row>
    <row r="731" spans="1:21" x14ac:dyDescent="0.3">
      <c r="A731">
        <v>9</v>
      </c>
      <c r="B731">
        <v>6</v>
      </c>
      <c r="C731">
        <v>7</v>
      </c>
      <c r="D731">
        <v>3</v>
      </c>
      <c r="E731">
        <v>1</v>
      </c>
      <c r="F731">
        <v>228</v>
      </c>
      <c r="G731">
        <v>14</v>
      </c>
      <c r="H731">
        <v>16</v>
      </c>
      <c r="I731">
        <v>58</v>
      </c>
      <c r="J731">
        <v>264604</v>
      </c>
      <c r="K731">
        <v>93</v>
      </c>
      <c r="L731">
        <v>0</v>
      </c>
      <c r="M731">
        <v>1</v>
      </c>
      <c r="N731">
        <v>2</v>
      </c>
      <c r="O731">
        <v>0</v>
      </c>
      <c r="P731">
        <v>0</v>
      </c>
      <c r="Q731">
        <v>1</v>
      </c>
      <c r="R731">
        <v>65</v>
      </c>
      <c r="S731">
        <v>172</v>
      </c>
      <c r="T731">
        <v>22</v>
      </c>
      <c r="U731">
        <v>120</v>
      </c>
    </row>
    <row r="732" spans="1:21" x14ac:dyDescent="0.3">
      <c r="A732">
        <v>6</v>
      </c>
      <c r="B732">
        <v>22</v>
      </c>
      <c r="C732">
        <v>7</v>
      </c>
      <c r="D732">
        <v>3</v>
      </c>
      <c r="E732">
        <v>1</v>
      </c>
      <c r="F732">
        <v>189</v>
      </c>
      <c r="G732">
        <v>29</v>
      </c>
      <c r="H732">
        <v>13</v>
      </c>
      <c r="I732">
        <v>33</v>
      </c>
      <c r="J732">
        <v>264604</v>
      </c>
      <c r="K732">
        <v>93</v>
      </c>
      <c r="L732">
        <v>0</v>
      </c>
      <c r="M732">
        <v>1</v>
      </c>
      <c r="N732">
        <v>2</v>
      </c>
      <c r="O732">
        <v>0</v>
      </c>
      <c r="P732">
        <v>0</v>
      </c>
      <c r="Q732">
        <v>2</v>
      </c>
      <c r="R732">
        <v>69</v>
      </c>
      <c r="S732">
        <v>167</v>
      </c>
      <c r="T732">
        <v>25</v>
      </c>
      <c r="U732">
        <v>16</v>
      </c>
    </row>
    <row r="733" spans="1:21" x14ac:dyDescent="0.3">
      <c r="A733">
        <v>34</v>
      </c>
      <c r="B733">
        <v>23</v>
      </c>
      <c r="C733">
        <v>7</v>
      </c>
      <c r="D733">
        <v>4</v>
      </c>
      <c r="E733">
        <v>1</v>
      </c>
      <c r="F733">
        <v>118</v>
      </c>
      <c r="G733">
        <v>10</v>
      </c>
      <c r="H733">
        <v>10</v>
      </c>
      <c r="I733">
        <v>37</v>
      </c>
      <c r="J733">
        <v>264604</v>
      </c>
      <c r="K733">
        <v>93</v>
      </c>
      <c r="L733">
        <v>0</v>
      </c>
      <c r="M733">
        <v>1</v>
      </c>
      <c r="N733">
        <v>0</v>
      </c>
      <c r="O733">
        <v>0</v>
      </c>
      <c r="P733">
        <v>0</v>
      </c>
      <c r="Q733">
        <v>0</v>
      </c>
      <c r="R733">
        <v>83</v>
      </c>
      <c r="S733">
        <v>172</v>
      </c>
      <c r="T733">
        <v>28</v>
      </c>
      <c r="U733">
        <v>2</v>
      </c>
    </row>
    <row r="734" spans="1:21" x14ac:dyDescent="0.3">
      <c r="A734">
        <v>10</v>
      </c>
      <c r="B734">
        <v>22</v>
      </c>
      <c r="C734">
        <v>7</v>
      </c>
      <c r="D734">
        <v>4</v>
      </c>
      <c r="E734">
        <v>1</v>
      </c>
      <c r="F734">
        <v>361</v>
      </c>
      <c r="G734">
        <v>52</v>
      </c>
      <c r="H734">
        <v>3</v>
      </c>
      <c r="I734">
        <v>28</v>
      </c>
      <c r="J734">
        <v>264604</v>
      </c>
      <c r="K734">
        <v>93</v>
      </c>
      <c r="L734">
        <v>0</v>
      </c>
      <c r="M734">
        <v>1</v>
      </c>
      <c r="N734">
        <v>1</v>
      </c>
      <c r="O734">
        <v>1</v>
      </c>
      <c r="P734">
        <v>0</v>
      </c>
      <c r="Q734">
        <v>4</v>
      </c>
      <c r="R734">
        <v>80</v>
      </c>
      <c r="S734">
        <v>172</v>
      </c>
      <c r="T734">
        <v>27</v>
      </c>
      <c r="U734">
        <v>8</v>
      </c>
    </row>
    <row r="735" spans="1:21" x14ac:dyDescent="0.3">
      <c r="A735">
        <v>28</v>
      </c>
      <c r="B735">
        <v>22</v>
      </c>
      <c r="C735">
        <v>7</v>
      </c>
      <c r="D735">
        <v>4</v>
      </c>
      <c r="E735">
        <v>1</v>
      </c>
      <c r="F735">
        <v>225</v>
      </c>
      <c r="G735">
        <v>26</v>
      </c>
      <c r="H735">
        <v>9</v>
      </c>
      <c r="I735">
        <v>28</v>
      </c>
      <c r="J735">
        <v>264604</v>
      </c>
      <c r="K735">
        <v>93</v>
      </c>
      <c r="L735">
        <v>0</v>
      </c>
      <c r="M735">
        <v>1</v>
      </c>
      <c r="N735">
        <v>1</v>
      </c>
      <c r="O735">
        <v>0</v>
      </c>
      <c r="P735">
        <v>0</v>
      </c>
      <c r="Q735">
        <v>2</v>
      </c>
      <c r="R735">
        <v>69</v>
      </c>
      <c r="S735">
        <v>169</v>
      </c>
      <c r="T735">
        <v>24</v>
      </c>
      <c r="U735">
        <v>8</v>
      </c>
    </row>
    <row r="736" spans="1:21" x14ac:dyDescent="0.3">
      <c r="A736">
        <v>13</v>
      </c>
      <c r="B736">
        <v>13</v>
      </c>
      <c r="C736">
        <v>7</v>
      </c>
      <c r="D736">
        <v>2</v>
      </c>
      <c r="E736">
        <v>1</v>
      </c>
      <c r="F736">
        <v>369</v>
      </c>
      <c r="G736">
        <v>17</v>
      </c>
      <c r="H736">
        <v>12</v>
      </c>
      <c r="I736">
        <v>31</v>
      </c>
      <c r="J736">
        <v>264604</v>
      </c>
      <c r="K736">
        <v>93</v>
      </c>
      <c r="L736">
        <v>0</v>
      </c>
      <c r="M736">
        <v>1</v>
      </c>
      <c r="N736">
        <v>3</v>
      </c>
      <c r="O736">
        <v>1</v>
      </c>
      <c r="P736">
        <v>0</v>
      </c>
      <c r="Q736">
        <v>0</v>
      </c>
      <c r="R736">
        <v>70</v>
      </c>
      <c r="S736">
        <v>169</v>
      </c>
      <c r="T736">
        <v>25</v>
      </c>
      <c r="U736">
        <v>80</v>
      </c>
    </row>
    <row r="737" spans="1:21" x14ac:dyDescent="0.3">
      <c r="A737">
        <v>11</v>
      </c>
      <c r="B737">
        <v>14</v>
      </c>
      <c r="C737">
        <v>7</v>
      </c>
      <c r="D737">
        <v>3</v>
      </c>
      <c r="E737">
        <v>1</v>
      </c>
      <c r="F737">
        <v>289</v>
      </c>
      <c r="G737">
        <v>36</v>
      </c>
      <c r="H737">
        <v>13</v>
      </c>
      <c r="I737">
        <v>33</v>
      </c>
      <c r="J737">
        <v>264604</v>
      </c>
      <c r="K737">
        <v>93</v>
      </c>
      <c r="L737">
        <v>0</v>
      </c>
      <c r="M737">
        <v>1</v>
      </c>
      <c r="N737">
        <v>2</v>
      </c>
      <c r="O737">
        <v>1</v>
      </c>
      <c r="P737">
        <v>0</v>
      </c>
      <c r="Q737">
        <v>1</v>
      </c>
      <c r="R737">
        <v>90</v>
      </c>
      <c r="S737">
        <v>172</v>
      </c>
      <c r="T737">
        <v>30</v>
      </c>
      <c r="U737">
        <v>8</v>
      </c>
    </row>
    <row r="738" spans="1:21" x14ac:dyDescent="0.3">
      <c r="A738">
        <v>1</v>
      </c>
      <c r="B738">
        <v>11</v>
      </c>
      <c r="C738">
        <v>7</v>
      </c>
      <c r="D738">
        <v>3</v>
      </c>
      <c r="E738">
        <v>1</v>
      </c>
      <c r="F738">
        <v>235</v>
      </c>
      <c r="G738">
        <v>11</v>
      </c>
      <c r="H738">
        <v>14</v>
      </c>
      <c r="I738">
        <v>37</v>
      </c>
      <c r="J738">
        <v>264604</v>
      </c>
      <c r="K738">
        <v>93</v>
      </c>
      <c r="L738">
        <v>0</v>
      </c>
      <c r="M738">
        <v>3</v>
      </c>
      <c r="N738">
        <v>1</v>
      </c>
      <c r="O738">
        <v>0</v>
      </c>
      <c r="P738">
        <v>0</v>
      </c>
      <c r="Q738">
        <v>1</v>
      </c>
      <c r="R738">
        <v>88</v>
      </c>
      <c r="S738">
        <v>172</v>
      </c>
      <c r="T738">
        <v>29</v>
      </c>
      <c r="U738">
        <v>4</v>
      </c>
    </row>
    <row r="739" spans="1:21" x14ac:dyDescent="0.3">
      <c r="A739">
        <v>4</v>
      </c>
      <c r="B739">
        <v>0</v>
      </c>
      <c r="C739">
        <v>0</v>
      </c>
      <c r="D739">
        <v>3</v>
      </c>
      <c r="E739">
        <v>1</v>
      </c>
      <c r="F739">
        <v>118</v>
      </c>
      <c r="G739">
        <v>14</v>
      </c>
      <c r="H739">
        <v>13</v>
      </c>
      <c r="I739">
        <v>40</v>
      </c>
      <c r="J739">
        <v>271219</v>
      </c>
      <c r="K739">
        <v>95</v>
      </c>
      <c r="L739">
        <v>0</v>
      </c>
      <c r="M739">
        <v>1</v>
      </c>
      <c r="N739">
        <v>1</v>
      </c>
      <c r="O739">
        <v>1</v>
      </c>
      <c r="P739">
        <v>0</v>
      </c>
      <c r="Q739">
        <v>8</v>
      </c>
      <c r="R739">
        <v>98</v>
      </c>
      <c r="S739">
        <v>170</v>
      </c>
      <c r="T739">
        <v>34</v>
      </c>
      <c r="U739">
        <v>0</v>
      </c>
    </row>
    <row r="740" spans="1:21" x14ac:dyDescent="0.3">
      <c r="A740">
        <v>8</v>
      </c>
      <c r="B740">
        <v>0</v>
      </c>
      <c r="C740">
        <v>0</v>
      </c>
      <c r="D740">
        <v>4</v>
      </c>
      <c r="E740">
        <v>2</v>
      </c>
      <c r="F740">
        <v>231</v>
      </c>
      <c r="G740">
        <v>35</v>
      </c>
      <c r="H740">
        <v>14</v>
      </c>
      <c r="I740">
        <v>39</v>
      </c>
      <c r="J740">
        <v>271219</v>
      </c>
      <c r="K740">
        <v>95</v>
      </c>
      <c r="L740">
        <v>0</v>
      </c>
      <c r="M740">
        <v>1</v>
      </c>
      <c r="N740">
        <v>2</v>
      </c>
      <c r="O740">
        <v>1</v>
      </c>
      <c r="P740">
        <v>0</v>
      </c>
      <c r="Q740">
        <v>2</v>
      </c>
      <c r="R740">
        <v>100</v>
      </c>
      <c r="S740">
        <v>170</v>
      </c>
      <c r="T740">
        <v>35</v>
      </c>
      <c r="U740">
        <v>0</v>
      </c>
    </row>
    <row r="741" spans="1:21" x14ac:dyDescent="0.3">
      <c r="A741">
        <v>35</v>
      </c>
      <c r="B741">
        <v>0</v>
      </c>
      <c r="C741">
        <v>0</v>
      </c>
      <c r="D741">
        <v>6</v>
      </c>
      <c r="E741">
        <v>3</v>
      </c>
      <c r="F741">
        <v>179</v>
      </c>
      <c r="G741">
        <v>45</v>
      </c>
      <c r="H741">
        <v>14</v>
      </c>
      <c r="I741">
        <v>53</v>
      </c>
      <c r="J741">
        <v>271219</v>
      </c>
      <c r="K741">
        <v>95</v>
      </c>
      <c r="L741">
        <v>0</v>
      </c>
      <c r="M741">
        <v>1</v>
      </c>
      <c r="N741">
        <v>1</v>
      </c>
      <c r="O741">
        <v>0</v>
      </c>
      <c r="P741">
        <v>0</v>
      </c>
      <c r="Q741">
        <v>1</v>
      </c>
      <c r="R741">
        <v>77</v>
      </c>
      <c r="S741">
        <v>175</v>
      </c>
      <c r="T741">
        <v>25</v>
      </c>
      <c r="U74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9A07-ACE4-4D54-A877-0D6F35901E96}">
  <dimension ref="A1:AB741"/>
  <sheetViews>
    <sheetView zoomScale="70" zoomScaleNormal="70" workbookViewId="0">
      <selection activeCell="AC13" sqref="AC13"/>
    </sheetView>
  </sheetViews>
  <sheetFormatPr defaultRowHeight="14.4" x14ac:dyDescent="0.3"/>
  <cols>
    <col min="1" max="1" width="5.109375" bestFit="1" customWidth="1"/>
    <col min="2" max="2" width="20.6640625" bestFit="1" customWidth="1"/>
    <col min="3" max="3" width="19.5546875" style="1" bestFit="1" customWidth="1"/>
    <col min="4" max="4" width="17.6640625" bestFit="1" customWidth="1"/>
    <col min="5" max="5" width="10.44140625" bestFit="1" customWidth="1"/>
    <col min="6" max="6" width="24.6640625" bestFit="1" customWidth="1"/>
    <col min="7" max="7" width="33.44140625" style="1" bestFit="1" customWidth="1"/>
    <col min="8" max="8" width="14.33203125" bestFit="1" customWidth="1"/>
    <col min="9" max="9" width="6.6640625" style="1" bestFit="1" customWidth="1"/>
    <col min="10" max="10" width="25" bestFit="1" customWidth="1"/>
    <col min="11" max="11" width="11.5546875" bestFit="1" customWidth="1"/>
    <col min="12" max="12" width="20.109375" bestFit="1" customWidth="1"/>
    <col min="13" max="13" width="12" bestFit="1" customWidth="1"/>
    <col min="14" max="14" width="6.5546875" bestFit="1" customWidth="1"/>
    <col min="15" max="15" width="15.44140625" bestFit="1" customWidth="1"/>
    <col min="16" max="16" width="15.5546875" bestFit="1" customWidth="1"/>
    <col min="17" max="17" width="6.33203125" bestFit="1" customWidth="1"/>
    <col min="18" max="18" width="9.88671875" bestFit="1" customWidth="1"/>
    <col min="19" max="19" width="9.109375" bestFit="1" customWidth="1"/>
    <col min="20" max="20" width="18.109375" bestFit="1" customWidth="1"/>
    <col min="21" max="21" width="27.5546875" bestFit="1" customWidth="1"/>
    <col min="22" max="26" width="27.5546875" style="53" customWidth="1"/>
    <col min="27" max="27" width="12.5546875" bestFit="1" customWidth="1"/>
    <col min="28" max="28" width="12.109375" bestFit="1" customWidth="1"/>
    <col min="29" max="29" width="13.88671875" bestFit="1" customWidth="1"/>
  </cols>
  <sheetData>
    <row r="1" spans="1:28" s="46" customFormat="1" ht="30" customHeight="1" x14ac:dyDescent="0.3">
      <c r="A1" s="46" t="s">
        <v>0</v>
      </c>
      <c r="B1" s="46" t="s">
        <v>1</v>
      </c>
      <c r="C1" s="54" t="s">
        <v>2</v>
      </c>
      <c r="D1" s="46" t="s">
        <v>3</v>
      </c>
      <c r="E1" s="47" t="s">
        <v>4</v>
      </c>
      <c r="F1" s="46" t="s">
        <v>5</v>
      </c>
      <c r="G1" s="54" t="s">
        <v>6</v>
      </c>
      <c r="H1" s="46" t="s">
        <v>7</v>
      </c>
      <c r="I1" s="55" t="s">
        <v>8</v>
      </c>
      <c r="J1" s="46" t="s">
        <v>9</v>
      </c>
      <c r="K1" s="47" t="s">
        <v>10</v>
      </c>
      <c r="L1" s="46" t="s">
        <v>11</v>
      </c>
      <c r="M1" s="46" t="s">
        <v>12</v>
      </c>
      <c r="N1" s="47" t="s">
        <v>13</v>
      </c>
      <c r="O1" s="46" t="s">
        <v>14</v>
      </c>
      <c r="P1" s="46" t="s">
        <v>15</v>
      </c>
      <c r="Q1" s="46" t="s">
        <v>16</v>
      </c>
      <c r="R1" s="46" t="s">
        <v>17</v>
      </c>
      <c r="S1" s="46" t="s">
        <v>18</v>
      </c>
      <c r="T1" s="51" t="s">
        <v>94</v>
      </c>
      <c r="U1" s="46" t="s">
        <v>20</v>
      </c>
      <c r="V1" s="51" t="s">
        <v>93</v>
      </c>
      <c r="W1" s="51" t="s">
        <v>89</v>
      </c>
      <c r="X1" s="51" t="s">
        <v>90</v>
      </c>
      <c r="Y1" s="51" t="s">
        <v>91</v>
      </c>
      <c r="Z1" s="51" t="s">
        <v>92</v>
      </c>
      <c r="AA1" s="58" t="s">
        <v>108</v>
      </c>
      <c r="AB1" s="51"/>
    </row>
    <row r="2" spans="1:28" ht="15" customHeight="1" x14ac:dyDescent="0.3">
      <c r="A2">
        <v>4</v>
      </c>
      <c r="B2">
        <v>0</v>
      </c>
      <c r="C2" s="1">
        <v>0</v>
      </c>
      <c r="D2">
        <v>3</v>
      </c>
      <c r="E2">
        <v>1</v>
      </c>
      <c r="F2">
        <v>118</v>
      </c>
      <c r="G2" s="1">
        <v>14</v>
      </c>
      <c r="H2">
        <v>13</v>
      </c>
      <c r="I2" s="1">
        <v>40</v>
      </c>
      <c r="J2" s="2">
        <v>271219</v>
      </c>
      <c r="K2">
        <v>95</v>
      </c>
      <c r="L2">
        <v>0</v>
      </c>
      <c r="M2">
        <v>1</v>
      </c>
      <c r="N2">
        <v>1</v>
      </c>
      <c r="O2">
        <v>1</v>
      </c>
      <c r="P2">
        <v>0</v>
      </c>
      <c r="Q2">
        <v>8</v>
      </c>
      <c r="R2">
        <v>98</v>
      </c>
      <c r="S2">
        <v>170</v>
      </c>
      <c r="T2">
        <v>34</v>
      </c>
      <c r="U2">
        <v>0</v>
      </c>
      <c r="V2" s="53" t="str">
        <f>IFERROR(
IF(tbl_abs[[#This Row],[Month of absence]]=0,"Unknown",
CHOOSE(tbl_abs[[#This Row],[Month of absence]],
"Jan","Feb","Mar","Apr","May","Jun","Jul","Aug","Sep","Oct","Nov","Dec")),"")</f>
        <v>Unknown</v>
      </c>
      <c r="W2" s="53" t="str">
        <f>IFERROR(
IF(tbl_abs[[#This Row],[Age]]&lt;30,"&lt;30",
IF(tbl_abs[[#This Row],[Age]]&lt;40,"30–39",
IF(tbl_abs[[#This Row],[Age]]&lt;50,"40–49",
IF(tbl_abs[[#This Row],[Age]]&lt;60,"50–59",
"60+")))),"")</f>
        <v>40–49</v>
      </c>
      <c r="X2" s="53" t="str">
        <f>IFERROR(
IF(tbl_abs[[#This Row],[Distance from Residence to Work]]&lt;=5,"0–5",
IF(tbl_abs[[#This Row],[Distance from Residence to Work]]&lt;=10,"6–10",
IF(tbl_abs[[#This Row],[Distance from Residence to Work]]&lt;=20,"11–20",
"21+"))),"")</f>
        <v>11–20</v>
      </c>
      <c r="Y2" s="53" t="str">
        <f>IFERROR(
IF(tbl_abs[[#This Row],[Body Mass Index]]&lt;18.5,"Underweight",
IF(tbl_abs[[#This Row],[Body Mass Index]]&lt;25,"Normal",
IF(tbl_abs[[#This Row],[Body Mass Index]]&lt;30,"Overweight",
"Obese"))),"")</f>
        <v>Obese</v>
      </c>
      <c r="Z2" s="53" t="str">
        <f>IFERROR(
IF(tbl_abs[[#This Row],[Absenteeism time in hours]]&lt;=2,"0–2",
IF(tbl_abs[[#This Row],[Absenteeism time in hours]]&lt;=8,"3–8",
IF(tbl_abs[[#This Row],[Absenteeism time in hours]]&lt;=16,"9–16",
"17+"))),"")</f>
        <v>0–2</v>
      </c>
      <c r="AA2" s="49">
        <v>11</v>
      </c>
    </row>
    <row r="3" spans="1:28" ht="15" customHeight="1" x14ac:dyDescent="0.3">
      <c r="A3">
        <v>8</v>
      </c>
      <c r="B3">
        <v>0</v>
      </c>
      <c r="C3" s="1">
        <v>0</v>
      </c>
      <c r="D3">
        <v>4</v>
      </c>
      <c r="E3">
        <v>2</v>
      </c>
      <c r="F3">
        <v>231</v>
      </c>
      <c r="G3" s="1">
        <v>35</v>
      </c>
      <c r="H3">
        <v>14</v>
      </c>
      <c r="I3" s="1">
        <v>39</v>
      </c>
      <c r="J3" s="2">
        <v>271219</v>
      </c>
      <c r="K3">
        <v>95</v>
      </c>
      <c r="L3">
        <v>0</v>
      </c>
      <c r="M3">
        <v>1</v>
      </c>
      <c r="N3">
        <v>2</v>
      </c>
      <c r="O3">
        <v>1</v>
      </c>
      <c r="P3">
        <v>0</v>
      </c>
      <c r="Q3">
        <v>2</v>
      </c>
      <c r="R3">
        <v>100</v>
      </c>
      <c r="S3">
        <v>170</v>
      </c>
      <c r="T3">
        <v>35</v>
      </c>
      <c r="U3">
        <v>0</v>
      </c>
      <c r="V3" s="53" t="str">
        <f>IFERROR(
IF(tbl_abs[[#This Row],[Month of absence]]=0,"Unknown",
CHOOSE(tbl_abs[[#This Row],[Month of absence]],
"Jan","Feb","Mar","Apr","May","Jun","Jul","Aug","Sep","Oct","Nov","Dec")),"")</f>
        <v>Unknown</v>
      </c>
      <c r="W3" s="53" t="str">
        <f>IFERROR(
IF(tbl_abs[[#This Row],[Age]]&lt;30,"&lt;30",
IF(tbl_abs[[#This Row],[Age]]&lt;40,"30–39",
IF(tbl_abs[[#This Row],[Age]]&lt;50,"40–49",
IF(tbl_abs[[#This Row],[Age]]&lt;60,"50–59",
"60+")))),"")</f>
        <v>30–39</v>
      </c>
      <c r="X3" s="53" t="str">
        <f>IFERROR(
IF(tbl_abs[[#This Row],[Distance from Residence to Work]]&lt;=5,"0–5",
IF(tbl_abs[[#This Row],[Distance from Residence to Work]]&lt;=10,"6–10",
IF(tbl_abs[[#This Row],[Distance from Residence to Work]]&lt;=20,"11–20",
"21+"))),"")</f>
        <v>21+</v>
      </c>
      <c r="Y3" s="53" t="str">
        <f>IFERROR(
IF(tbl_abs[[#This Row],[Body Mass Index]]&lt;18.5,"Underweight",
IF(tbl_abs[[#This Row],[Body Mass Index]]&lt;25,"Normal",
IF(tbl_abs[[#This Row],[Body Mass Index]]&lt;30,"Overweight",
"Obese"))),"")</f>
        <v>Obese</v>
      </c>
      <c r="Z3" s="53" t="str">
        <f>IFERROR(
IF(tbl_abs[[#This Row],[Absenteeism time in hours]]&lt;=2,"0–2",
IF(tbl_abs[[#This Row],[Absenteeism time in hours]]&lt;=8,"3–8",
IF(tbl_abs[[#This Row],[Absenteeism time in hours]]&lt;=16,"9–16",
"17+"))),"")</f>
        <v>0–2</v>
      </c>
      <c r="AA3" s="50">
        <v>36</v>
      </c>
    </row>
    <row r="4" spans="1:28" ht="15" customHeight="1" x14ac:dyDescent="0.3">
      <c r="A4">
        <v>35</v>
      </c>
      <c r="B4">
        <v>0</v>
      </c>
      <c r="C4" s="1">
        <v>0</v>
      </c>
      <c r="D4">
        <v>6</v>
      </c>
      <c r="E4">
        <v>3</v>
      </c>
      <c r="F4">
        <v>179</v>
      </c>
      <c r="G4" s="1">
        <v>45</v>
      </c>
      <c r="H4">
        <v>14</v>
      </c>
      <c r="I4" s="1">
        <v>53</v>
      </c>
      <c r="J4" s="2">
        <v>271219</v>
      </c>
      <c r="K4">
        <v>95</v>
      </c>
      <c r="L4">
        <v>0</v>
      </c>
      <c r="M4">
        <v>1</v>
      </c>
      <c r="N4">
        <v>1</v>
      </c>
      <c r="O4">
        <v>0</v>
      </c>
      <c r="P4">
        <v>0</v>
      </c>
      <c r="Q4">
        <v>1</v>
      </c>
      <c r="R4">
        <v>77</v>
      </c>
      <c r="S4">
        <v>175</v>
      </c>
      <c r="T4">
        <v>25</v>
      </c>
      <c r="U4">
        <v>0</v>
      </c>
      <c r="V4" s="53" t="str">
        <f>IFERROR(
IF(tbl_abs[[#This Row],[Month of absence]]=0,"Unknown",
CHOOSE(tbl_abs[[#This Row],[Month of absence]],
"Jan","Feb","Mar","Apr","May","Jun","Jul","Aug","Sep","Oct","Nov","Dec")),"")</f>
        <v>Unknown</v>
      </c>
      <c r="W4" s="53" t="str">
        <f>IFERROR(
IF(tbl_abs[[#This Row],[Age]]&lt;30,"&lt;30",
IF(tbl_abs[[#This Row],[Age]]&lt;40,"30–39",
IF(tbl_abs[[#This Row],[Age]]&lt;50,"40–49",
IF(tbl_abs[[#This Row],[Age]]&lt;60,"50–59",
"60+")))),"")</f>
        <v>50–59</v>
      </c>
      <c r="X4" s="53" t="str">
        <f>IFERROR(
IF(tbl_abs[[#This Row],[Distance from Residence to Work]]&lt;=5,"0–5",
IF(tbl_abs[[#This Row],[Distance from Residence to Work]]&lt;=10,"6–10",
IF(tbl_abs[[#This Row],[Distance from Residence to Work]]&lt;=20,"11–20",
"21+"))),"")</f>
        <v>21+</v>
      </c>
      <c r="Y4" s="53" t="str">
        <f>IFERROR(
IF(tbl_abs[[#This Row],[Body Mass Index]]&lt;18.5,"Underweight",
IF(tbl_abs[[#This Row],[Body Mass Index]]&lt;25,"Normal",
IF(tbl_abs[[#This Row],[Body Mass Index]]&lt;30,"Overweight",
"Obese"))),"")</f>
        <v>Overweight</v>
      </c>
      <c r="Z4" s="53" t="str">
        <f>IFERROR(
IF(tbl_abs[[#This Row],[Absenteeism time in hours]]&lt;=2,"0–2",
IF(tbl_abs[[#This Row],[Absenteeism time in hours]]&lt;=8,"3–8",
IF(tbl_abs[[#This Row],[Absenteeism time in hours]]&lt;=16,"9–16",
"17+"))),"")</f>
        <v>0–2</v>
      </c>
      <c r="AA4" s="49">
        <v>3</v>
      </c>
    </row>
    <row r="5" spans="1:28" ht="15" customHeight="1" x14ac:dyDescent="0.3">
      <c r="A5">
        <v>28</v>
      </c>
      <c r="B5">
        <v>23</v>
      </c>
      <c r="C5" s="1">
        <v>1</v>
      </c>
      <c r="D5">
        <v>4</v>
      </c>
      <c r="E5">
        <v>2</v>
      </c>
      <c r="F5">
        <v>225</v>
      </c>
      <c r="G5" s="1">
        <v>26</v>
      </c>
      <c r="H5">
        <v>9</v>
      </c>
      <c r="I5" s="1">
        <v>28</v>
      </c>
      <c r="J5" s="2"/>
      <c r="K5">
        <v>95</v>
      </c>
      <c r="L5">
        <v>0</v>
      </c>
      <c r="M5">
        <v>1</v>
      </c>
      <c r="N5">
        <v>1</v>
      </c>
      <c r="O5">
        <v>0</v>
      </c>
      <c r="P5">
        <v>0</v>
      </c>
      <c r="Q5">
        <v>2</v>
      </c>
      <c r="R5">
        <v>69</v>
      </c>
      <c r="T5">
        <v>24</v>
      </c>
      <c r="U5">
        <v>1</v>
      </c>
      <c r="V5" s="53" t="str">
        <f>IFERROR(
IF(tbl_abs[[#This Row],[Month of absence]]=0,"Unknown",
CHOOSE(tbl_abs[[#This Row],[Month of absence]],
"Jan","Feb","Mar","Apr","May","Jun","Jul","Aug","Sep","Oct","Nov","Dec")),"")</f>
        <v>Jan</v>
      </c>
      <c r="W5" s="53" t="str">
        <f>IFERROR(
IF(tbl_abs[[#This Row],[Age]]&lt;30,"&lt;30",
IF(tbl_abs[[#This Row],[Age]]&lt;40,"30–39",
IF(tbl_abs[[#This Row],[Age]]&lt;50,"40–49",
IF(tbl_abs[[#This Row],[Age]]&lt;60,"50–59",
"60+")))),"")</f>
        <v>&lt;30</v>
      </c>
      <c r="X5" s="53" t="str">
        <f>IFERROR(
IF(tbl_abs[[#This Row],[Distance from Residence to Work]]&lt;=5,"0–5",
IF(tbl_abs[[#This Row],[Distance from Residence to Work]]&lt;=10,"6–10",
IF(tbl_abs[[#This Row],[Distance from Residence to Work]]&lt;=20,"11–20",
"21+"))),"")</f>
        <v>21+</v>
      </c>
      <c r="Y5" s="53" t="str">
        <f>IFERROR(
IF(tbl_abs[[#This Row],[Body Mass Index]]&lt;18.5,"Underweight",
IF(tbl_abs[[#This Row],[Body Mass Index]]&lt;25,"Normal",
IF(tbl_abs[[#This Row],[Body Mass Index]]&lt;30,"Overweight",
"Obese"))),"")</f>
        <v>Normal</v>
      </c>
      <c r="Z5" s="53" t="str">
        <f>IFERROR(
IF(tbl_abs[[#This Row],[Absenteeism time in hours]]&lt;=2,"0–2",
IF(tbl_abs[[#This Row],[Absenteeism time in hours]]&lt;=8,"3–8",
IF(tbl_abs[[#This Row],[Absenteeism time in hours]]&lt;=16,"9–16",
"17+"))),"")</f>
        <v>0–2</v>
      </c>
      <c r="AA5" s="50">
        <v>7</v>
      </c>
    </row>
    <row r="6" spans="1:28" ht="15" customHeight="1" x14ac:dyDescent="0.3">
      <c r="A6">
        <v>34</v>
      </c>
      <c r="B6">
        <v>19</v>
      </c>
      <c r="C6" s="1">
        <v>1</v>
      </c>
      <c r="D6">
        <v>2</v>
      </c>
      <c r="E6">
        <v>2</v>
      </c>
      <c r="F6">
        <v>118</v>
      </c>
      <c r="G6" s="1">
        <v>10</v>
      </c>
      <c r="H6">
        <v>10</v>
      </c>
      <c r="I6" s="1">
        <v>37</v>
      </c>
      <c r="J6" s="2"/>
      <c r="K6">
        <v>95</v>
      </c>
      <c r="L6">
        <v>0</v>
      </c>
      <c r="M6">
        <v>1</v>
      </c>
      <c r="N6">
        <v>0</v>
      </c>
      <c r="O6">
        <v>0</v>
      </c>
      <c r="Q6">
        <v>0</v>
      </c>
      <c r="R6">
        <v>83</v>
      </c>
      <c r="T6">
        <v>28</v>
      </c>
      <c r="U6">
        <v>1</v>
      </c>
      <c r="V6" s="53" t="str">
        <f>IFERROR(
IF(tbl_abs[[#This Row],[Month of absence]]=0,"Unknown",
CHOOSE(tbl_abs[[#This Row],[Month of absence]],
"Jan","Feb","Mar","Apr","May","Jun","Jul","Aug","Sep","Oct","Nov","Dec")),"")</f>
        <v>Jan</v>
      </c>
      <c r="W6" s="53" t="str">
        <f>IFERROR(
IF(tbl_abs[[#This Row],[Age]]&lt;30,"&lt;30",
IF(tbl_abs[[#This Row],[Age]]&lt;40,"30–39",
IF(tbl_abs[[#This Row],[Age]]&lt;50,"40–49",
IF(tbl_abs[[#This Row],[Age]]&lt;60,"50–59",
"60+")))),"")</f>
        <v>30–39</v>
      </c>
      <c r="X6" s="53" t="str">
        <f>IFERROR(
IF(tbl_abs[[#This Row],[Distance from Residence to Work]]&lt;=5,"0–5",
IF(tbl_abs[[#This Row],[Distance from Residence to Work]]&lt;=10,"6–10",
IF(tbl_abs[[#This Row],[Distance from Residence to Work]]&lt;=20,"11–20",
"21+"))),"")</f>
        <v>6–10</v>
      </c>
      <c r="Y6" s="53" t="str">
        <f>IFERROR(
IF(tbl_abs[[#This Row],[Body Mass Index]]&lt;18.5,"Underweight",
IF(tbl_abs[[#This Row],[Body Mass Index]]&lt;25,"Normal",
IF(tbl_abs[[#This Row],[Body Mass Index]]&lt;30,"Overweight",
"Obese"))),"")</f>
        <v>Overweight</v>
      </c>
      <c r="Z6" s="53" t="str">
        <f>IFERROR(
IF(tbl_abs[[#This Row],[Absenteeism time in hours]]&lt;=2,"0–2",
IF(tbl_abs[[#This Row],[Absenteeism time in hours]]&lt;=8,"3–8",
IF(tbl_abs[[#This Row],[Absenteeism time in hours]]&lt;=16,"9–16",
"17+"))),"")</f>
        <v>0–2</v>
      </c>
      <c r="AA6" s="49">
        <v>10</v>
      </c>
    </row>
    <row r="7" spans="1:28" ht="15" customHeight="1" x14ac:dyDescent="0.3">
      <c r="A7">
        <v>34</v>
      </c>
      <c r="B7">
        <v>27</v>
      </c>
      <c r="C7" s="1">
        <v>1</v>
      </c>
      <c r="D7">
        <v>3</v>
      </c>
      <c r="E7">
        <v>2</v>
      </c>
      <c r="F7">
        <v>118</v>
      </c>
      <c r="G7" s="1">
        <v>10</v>
      </c>
      <c r="I7" s="1">
        <v>37</v>
      </c>
      <c r="J7" s="2">
        <v>308593</v>
      </c>
      <c r="K7">
        <v>95</v>
      </c>
      <c r="L7">
        <v>0</v>
      </c>
      <c r="N7">
        <v>0</v>
      </c>
      <c r="O7">
        <v>0</v>
      </c>
      <c r="P7">
        <v>0</v>
      </c>
      <c r="Q7">
        <v>0</v>
      </c>
      <c r="R7">
        <v>83</v>
      </c>
      <c r="S7">
        <v>172</v>
      </c>
      <c r="T7">
        <v>28</v>
      </c>
      <c r="U7">
        <v>1</v>
      </c>
      <c r="V7" s="53" t="str">
        <f>IFERROR(
IF(tbl_abs[[#This Row],[Month of absence]]=0,"Unknown",
CHOOSE(tbl_abs[[#This Row],[Month of absence]],
"Jan","Feb","Mar","Apr","May","Jun","Jul","Aug","Sep","Oct","Nov","Dec")),"")</f>
        <v>Jan</v>
      </c>
      <c r="W7" s="53" t="str">
        <f>IFERROR(
IF(tbl_abs[[#This Row],[Age]]&lt;30,"&lt;30",
IF(tbl_abs[[#This Row],[Age]]&lt;40,"30–39",
IF(tbl_abs[[#This Row],[Age]]&lt;50,"40–49",
IF(tbl_abs[[#This Row],[Age]]&lt;60,"50–59",
"60+")))),"")</f>
        <v>30–39</v>
      </c>
      <c r="X7" s="53" t="str">
        <f>IFERROR(
IF(tbl_abs[[#This Row],[Distance from Residence to Work]]&lt;=5,"0–5",
IF(tbl_abs[[#This Row],[Distance from Residence to Work]]&lt;=10,"6–10",
IF(tbl_abs[[#This Row],[Distance from Residence to Work]]&lt;=20,"11–20",
"21+"))),"")</f>
        <v>6–10</v>
      </c>
      <c r="Y7" s="53" t="str">
        <f>IFERROR(
IF(tbl_abs[[#This Row],[Body Mass Index]]&lt;18.5,"Underweight",
IF(tbl_abs[[#This Row],[Body Mass Index]]&lt;25,"Normal",
IF(tbl_abs[[#This Row],[Body Mass Index]]&lt;30,"Overweight",
"Obese"))),"")</f>
        <v>Overweight</v>
      </c>
      <c r="Z7" s="53" t="str">
        <f>IFERROR(
IF(tbl_abs[[#This Row],[Absenteeism time in hours]]&lt;=2,"0–2",
IF(tbl_abs[[#This Row],[Absenteeism time in hours]]&lt;=8,"3–8",
IF(tbl_abs[[#This Row],[Absenteeism time in hours]]&lt;=16,"9–16",
"17+"))),"")</f>
        <v>0–2</v>
      </c>
      <c r="AA7" s="50">
        <v>20</v>
      </c>
    </row>
    <row r="8" spans="1:28" ht="15" customHeight="1" x14ac:dyDescent="0.3">
      <c r="A8">
        <v>14</v>
      </c>
      <c r="B8">
        <v>18</v>
      </c>
      <c r="C8" s="1">
        <v>1</v>
      </c>
      <c r="D8">
        <v>3</v>
      </c>
      <c r="E8">
        <v>2</v>
      </c>
      <c r="F8">
        <v>155</v>
      </c>
      <c r="G8" s="1">
        <v>12</v>
      </c>
      <c r="H8">
        <v>14</v>
      </c>
      <c r="I8" s="1">
        <v>34</v>
      </c>
      <c r="J8" s="2">
        <v>308593</v>
      </c>
      <c r="L8">
        <v>0</v>
      </c>
      <c r="N8">
        <v>2</v>
      </c>
      <c r="O8">
        <v>1</v>
      </c>
      <c r="P8">
        <v>0</v>
      </c>
      <c r="Q8">
        <v>0</v>
      </c>
      <c r="R8">
        <v>95</v>
      </c>
      <c r="S8">
        <v>196</v>
      </c>
      <c r="T8">
        <v>25</v>
      </c>
      <c r="U8">
        <v>8</v>
      </c>
      <c r="V8" s="53" t="str">
        <f>IFERROR(
IF(tbl_abs[[#This Row],[Month of absence]]=0,"Unknown",
CHOOSE(tbl_abs[[#This Row],[Month of absence]],
"Jan","Feb","Mar","Apr","May","Jun","Jul","Aug","Sep","Oct","Nov","Dec")),"")</f>
        <v>Jan</v>
      </c>
      <c r="W8" s="53" t="str">
        <f>IFERROR(
IF(tbl_abs[[#This Row],[Age]]&lt;30,"&lt;30",
IF(tbl_abs[[#This Row],[Age]]&lt;40,"30–39",
IF(tbl_abs[[#This Row],[Age]]&lt;50,"40–49",
IF(tbl_abs[[#This Row],[Age]]&lt;60,"50–59",
"60+")))),"")</f>
        <v>30–39</v>
      </c>
      <c r="X8" s="53" t="str">
        <f>IFERROR(
IF(tbl_abs[[#This Row],[Distance from Residence to Work]]&lt;=5,"0–5",
IF(tbl_abs[[#This Row],[Distance from Residence to Work]]&lt;=10,"6–10",
IF(tbl_abs[[#This Row],[Distance from Residence to Work]]&lt;=20,"11–20",
"21+"))),"")</f>
        <v>11–20</v>
      </c>
      <c r="Y8" s="53" t="str">
        <f>IFERROR(
IF(tbl_abs[[#This Row],[Body Mass Index]]&lt;18.5,"Underweight",
IF(tbl_abs[[#This Row],[Body Mass Index]]&lt;25,"Normal",
IF(tbl_abs[[#This Row],[Body Mass Index]]&lt;30,"Overweight",
"Obese"))),"")</f>
        <v>Overweight</v>
      </c>
      <c r="Z8" s="53" t="str">
        <f>IFERROR(
IF(tbl_abs[[#This Row],[Absenteeism time in hours]]&lt;=2,"0–2",
IF(tbl_abs[[#This Row],[Absenteeism time in hours]]&lt;=8,"3–8",
IF(tbl_abs[[#This Row],[Absenteeism time in hours]]&lt;=16,"9–16",
"17+"))),"")</f>
        <v>3–8</v>
      </c>
      <c r="AA8" s="49">
        <v>14</v>
      </c>
    </row>
    <row r="9" spans="1:28" ht="15" customHeight="1" x14ac:dyDescent="0.3">
      <c r="A9">
        <v>28</v>
      </c>
      <c r="B9">
        <v>27</v>
      </c>
      <c r="C9" s="1">
        <v>1</v>
      </c>
      <c r="D9">
        <v>4</v>
      </c>
      <c r="E9">
        <v>2</v>
      </c>
      <c r="F9">
        <v>225</v>
      </c>
      <c r="G9" s="1">
        <v>26</v>
      </c>
      <c r="H9">
        <v>9</v>
      </c>
      <c r="I9" s="1">
        <v>28</v>
      </c>
      <c r="J9" s="2">
        <v>308593</v>
      </c>
      <c r="K9">
        <v>95</v>
      </c>
      <c r="L9">
        <v>0</v>
      </c>
      <c r="M9">
        <v>1</v>
      </c>
      <c r="N9">
        <v>1</v>
      </c>
      <c r="O9">
        <v>0</v>
      </c>
      <c r="P9">
        <v>0</v>
      </c>
      <c r="Q9">
        <v>2</v>
      </c>
      <c r="R9">
        <v>69</v>
      </c>
      <c r="S9">
        <v>169</v>
      </c>
      <c r="T9">
        <v>24</v>
      </c>
      <c r="U9">
        <v>2</v>
      </c>
      <c r="V9" s="53" t="str">
        <f>IFERROR(
IF(tbl_abs[[#This Row],[Month of absence]]=0,"Unknown",
CHOOSE(tbl_abs[[#This Row],[Month of absence]],
"Jan","Feb","Mar","Apr","May","Jun","Jul","Aug","Sep","Oct","Nov","Dec")),"")</f>
        <v>Jan</v>
      </c>
      <c r="W9" s="53" t="str">
        <f>IFERROR(
IF(tbl_abs[[#This Row],[Age]]&lt;30,"&lt;30",
IF(tbl_abs[[#This Row],[Age]]&lt;40,"30–39",
IF(tbl_abs[[#This Row],[Age]]&lt;50,"40–49",
IF(tbl_abs[[#This Row],[Age]]&lt;60,"50–59",
"60+")))),"")</f>
        <v>&lt;30</v>
      </c>
      <c r="X9" s="53" t="str">
        <f>IFERROR(
IF(tbl_abs[[#This Row],[Distance from Residence to Work]]&lt;=5,"0–5",
IF(tbl_abs[[#This Row],[Distance from Residence to Work]]&lt;=10,"6–10",
IF(tbl_abs[[#This Row],[Distance from Residence to Work]]&lt;=20,"11–20",
"21+"))),"")</f>
        <v>21+</v>
      </c>
      <c r="Y9" s="53" t="str">
        <f>IFERROR(
IF(tbl_abs[[#This Row],[Body Mass Index]]&lt;18.5,"Underweight",
IF(tbl_abs[[#This Row],[Body Mass Index]]&lt;25,"Normal",
IF(tbl_abs[[#This Row],[Body Mass Index]]&lt;30,"Overweight",
"Obese"))),"")</f>
        <v>Normal</v>
      </c>
      <c r="Z9" s="53" t="str">
        <f>IFERROR(
IF(tbl_abs[[#This Row],[Absenteeism time in hours]]&lt;=2,"0–2",
IF(tbl_abs[[#This Row],[Absenteeism time in hours]]&lt;=8,"3–8",
IF(tbl_abs[[#This Row],[Absenteeism time in hours]]&lt;=16,"9–16",
"17+"))),"")</f>
        <v>0–2</v>
      </c>
      <c r="AA9" s="50">
        <v>1</v>
      </c>
    </row>
    <row r="10" spans="1:28" ht="15" customHeight="1" x14ac:dyDescent="0.3">
      <c r="A10">
        <v>27</v>
      </c>
      <c r="B10">
        <v>23</v>
      </c>
      <c r="C10" s="1">
        <v>1</v>
      </c>
      <c r="D10">
        <v>5</v>
      </c>
      <c r="E10">
        <v>2</v>
      </c>
      <c r="F10">
        <v>184</v>
      </c>
      <c r="G10" s="1">
        <v>42</v>
      </c>
      <c r="H10">
        <v>7</v>
      </c>
      <c r="I10" s="1">
        <v>27</v>
      </c>
      <c r="J10" s="2">
        <v>308593</v>
      </c>
      <c r="K10">
        <v>95</v>
      </c>
      <c r="L10">
        <v>0</v>
      </c>
      <c r="M10">
        <v>1</v>
      </c>
      <c r="N10">
        <v>0</v>
      </c>
      <c r="O10">
        <v>0</v>
      </c>
      <c r="P10">
        <v>0</v>
      </c>
      <c r="Q10">
        <v>0</v>
      </c>
      <c r="S10">
        <v>167</v>
      </c>
      <c r="T10">
        <v>21</v>
      </c>
      <c r="U10">
        <v>2</v>
      </c>
      <c r="V10" s="53" t="str">
        <f>IFERROR(
IF(tbl_abs[[#This Row],[Month of absence]]=0,"Unknown",
CHOOSE(tbl_abs[[#This Row],[Month of absence]],
"Jan","Feb","Mar","Apr","May","Jun","Jul","Aug","Sep","Oct","Nov","Dec")),"")</f>
        <v>Jan</v>
      </c>
      <c r="W10" s="53" t="str">
        <f>IFERROR(
IF(tbl_abs[[#This Row],[Age]]&lt;30,"&lt;30",
IF(tbl_abs[[#This Row],[Age]]&lt;40,"30–39",
IF(tbl_abs[[#This Row],[Age]]&lt;50,"40–49",
IF(tbl_abs[[#This Row],[Age]]&lt;60,"50–59",
"60+")))),"")</f>
        <v>&lt;30</v>
      </c>
      <c r="X10" s="53" t="str">
        <f>IFERROR(
IF(tbl_abs[[#This Row],[Distance from Residence to Work]]&lt;=5,"0–5",
IF(tbl_abs[[#This Row],[Distance from Residence to Work]]&lt;=10,"6–10",
IF(tbl_abs[[#This Row],[Distance from Residence to Work]]&lt;=20,"11–20",
"21+"))),"")</f>
        <v>21+</v>
      </c>
      <c r="Y10" s="53" t="str">
        <f>IFERROR(
IF(tbl_abs[[#This Row],[Body Mass Index]]&lt;18.5,"Underweight",
IF(tbl_abs[[#This Row],[Body Mass Index]]&lt;25,"Normal",
IF(tbl_abs[[#This Row],[Body Mass Index]]&lt;30,"Overweight",
"Obese"))),"")</f>
        <v>Normal</v>
      </c>
      <c r="Z10" s="53" t="str">
        <f>IFERROR(
IF(tbl_abs[[#This Row],[Absenteeism time in hours]]&lt;=2,"0–2",
IF(tbl_abs[[#This Row],[Absenteeism time in hours]]&lt;=8,"3–8",
IF(tbl_abs[[#This Row],[Absenteeism time in hours]]&lt;=16,"9–16",
"17+"))),"")</f>
        <v>0–2</v>
      </c>
      <c r="AA10" s="50">
        <v>24</v>
      </c>
    </row>
    <row r="11" spans="1:28" ht="15" customHeight="1" x14ac:dyDescent="0.3">
      <c r="A11">
        <v>28</v>
      </c>
      <c r="B11">
        <v>28</v>
      </c>
      <c r="C11" s="1">
        <v>1</v>
      </c>
      <c r="D11">
        <v>5</v>
      </c>
      <c r="E11">
        <v>2</v>
      </c>
      <c r="F11">
        <v>225</v>
      </c>
      <c r="G11" s="1">
        <v>26</v>
      </c>
      <c r="H11">
        <v>9</v>
      </c>
      <c r="I11" s="1">
        <v>28</v>
      </c>
      <c r="J11" s="2">
        <v>308593</v>
      </c>
      <c r="K11">
        <v>95</v>
      </c>
      <c r="L11">
        <v>0</v>
      </c>
      <c r="M11">
        <v>1</v>
      </c>
      <c r="N11">
        <v>1</v>
      </c>
      <c r="O11">
        <v>0</v>
      </c>
      <c r="P11">
        <v>0</v>
      </c>
      <c r="Q11">
        <v>2</v>
      </c>
      <c r="R11">
        <v>69</v>
      </c>
      <c r="S11">
        <v>169</v>
      </c>
      <c r="T11">
        <v>24</v>
      </c>
      <c r="U11">
        <v>2</v>
      </c>
      <c r="V11" s="53" t="str">
        <f>IFERROR(
IF(tbl_abs[[#This Row],[Month of absence]]=0,"Unknown",
CHOOSE(tbl_abs[[#This Row],[Month of absence]],
"Jan","Feb","Mar","Apr","May","Jun","Jul","Aug","Sep","Oct","Nov","Dec")),"")</f>
        <v>Jan</v>
      </c>
      <c r="W11" s="53" t="str">
        <f>IFERROR(
IF(tbl_abs[[#This Row],[Age]]&lt;30,"&lt;30",
IF(tbl_abs[[#This Row],[Age]]&lt;40,"30–39",
IF(tbl_abs[[#This Row],[Age]]&lt;50,"40–49",
IF(tbl_abs[[#This Row],[Age]]&lt;60,"50–59",
"60+")))),"")</f>
        <v>&lt;30</v>
      </c>
      <c r="X11" s="53" t="str">
        <f>IFERROR(
IF(tbl_abs[[#This Row],[Distance from Residence to Work]]&lt;=5,"0–5",
IF(tbl_abs[[#This Row],[Distance from Residence to Work]]&lt;=10,"6–10",
IF(tbl_abs[[#This Row],[Distance from Residence to Work]]&lt;=20,"11–20",
"21+"))),"")</f>
        <v>21+</v>
      </c>
      <c r="Y11" s="53" t="str">
        <f>IFERROR(
IF(tbl_abs[[#This Row],[Body Mass Index]]&lt;18.5,"Underweight",
IF(tbl_abs[[#This Row],[Body Mass Index]]&lt;25,"Normal",
IF(tbl_abs[[#This Row],[Body Mass Index]]&lt;30,"Overweight",
"Obese"))),"")</f>
        <v>Normal</v>
      </c>
      <c r="Z11" s="53" t="str">
        <f>IFERROR(
IF(tbl_abs[[#This Row],[Absenteeism time in hours]]&lt;=2,"0–2",
IF(tbl_abs[[#This Row],[Absenteeism time in hours]]&lt;=8,"3–8",
IF(tbl_abs[[#This Row],[Absenteeism time in hours]]&lt;=16,"9–16",
"17+"))),"")</f>
        <v>0–2</v>
      </c>
      <c r="AA11" s="49">
        <v>6</v>
      </c>
    </row>
    <row r="12" spans="1:28" ht="15" customHeight="1" x14ac:dyDescent="0.3">
      <c r="A12">
        <v>28</v>
      </c>
      <c r="B12">
        <v>27</v>
      </c>
      <c r="C12" s="1">
        <v>1</v>
      </c>
      <c r="D12">
        <v>6</v>
      </c>
      <c r="E12">
        <v>2</v>
      </c>
      <c r="F12">
        <v>225</v>
      </c>
      <c r="G12" s="1">
        <v>26</v>
      </c>
      <c r="H12">
        <v>9</v>
      </c>
      <c r="I12" s="1">
        <v>28</v>
      </c>
      <c r="J12" s="2">
        <v>308593</v>
      </c>
      <c r="K12">
        <v>95</v>
      </c>
      <c r="L12">
        <v>0</v>
      </c>
      <c r="M12">
        <v>1</v>
      </c>
      <c r="N12">
        <v>1</v>
      </c>
      <c r="O12">
        <v>0</v>
      </c>
      <c r="P12">
        <v>0</v>
      </c>
      <c r="Q12">
        <v>2</v>
      </c>
      <c r="R12">
        <v>69</v>
      </c>
      <c r="S12">
        <v>169</v>
      </c>
      <c r="T12">
        <v>24</v>
      </c>
      <c r="U12">
        <v>1</v>
      </c>
      <c r="V12" s="53" t="str">
        <f>IFERROR(
IF(tbl_abs[[#This Row],[Month of absence]]=0,"Unknown",
CHOOSE(tbl_abs[[#This Row],[Month of absence]],
"Jan","Feb","Mar","Apr","May","Jun","Jul","Aug","Sep","Oct","Nov","Dec")),"")</f>
        <v>Jan</v>
      </c>
      <c r="W12" s="53" t="str">
        <f>IFERROR(
IF(tbl_abs[[#This Row],[Age]]&lt;30,"&lt;30",
IF(tbl_abs[[#This Row],[Age]]&lt;40,"30–39",
IF(tbl_abs[[#This Row],[Age]]&lt;50,"40–49",
IF(tbl_abs[[#This Row],[Age]]&lt;60,"50–59",
"60+")))),"")</f>
        <v>&lt;30</v>
      </c>
      <c r="X12" s="53" t="str">
        <f>IFERROR(
IF(tbl_abs[[#This Row],[Distance from Residence to Work]]&lt;=5,"0–5",
IF(tbl_abs[[#This Row],[Distance from Residence to Work]]&lt;=10,"6–10",
IF(tbl_abs[[#This Row],[Distance from Residence to Work]]&lt;=20,"11–20",
"21+"))),"")</f>
        <v>21+</v>
      </c>
      <c r="Y12" s="53" t="str">
        <f>IFERROR(
IF(tbl_abs[[#This Row],[Body Mass Index]]&lt;18.5,"Underweight",
IF(tbl_abs[[#This Row],[Body Mass Index]]&lt;25,"Normal",
IF(tbl_abs[[#This Row],[Body Mass Index]]&lt;30,"Overweight",
"Obese"))),"")</f>
        <v>Normal</v>
      </c>
      <c r="Z12" s="53" t="str">
        <f>IFERROR(
IF(tbl_abs[[#This Row],[Absenteeism time in hours]]&lt;=2,"0–2",
IF(tbl_abs[[#This Row],[Absenteeism time in hours]]&lt;=8,"3–8",
IF(tbl_abs[[#This Row],[Absenteeism time in hours]]&lt;=16,"9–16",
"17+"))),"")</f>
        <v>0–2</v>
      </c>
      <c r="AA12" s="50">
        <v>33</v>
      </c>
    </row>
    <row r="13" spans="1:28" ht="15" customHeight="1" x14ac:dyDescent="0.3">
      <c r="A13">
        <v>34</v>
      </c>
      <c r="B13">
        <v>27</v>
      </c>
      <c r="C13" s="1">
        <v>1</v>
      </c>
      <c r="D13">
        <v>2</v>
      </c>
      <c r="E13">
        <v>2</v>
      </c>
      <c r="F13">
        <v>118</v>
      </c>
      <c r="G13" s="1">
        <v>10</v>
      </c>
      <c r="H13">
        <v>10</v>
      </c>
      <c r="I13" s="1">
        <v>37</v>
      </c>
      <c r="J13" s="2">
        <v>308593</v>
      </c>
      <c r="K13">
        <v>95</v>
      </c>
      <c r="L13">
        <v>0</v>
      </c>
      <c r="M13">
        <v>1</v>
      </c>
      <c r="N13">
        <v>0</v>
      </c>
      <c r="O13">
        <v>0</v>
      </c>
      <c r="P13">
        <v>0</v>
      </c>
      <c r="Q13">
        <v>0</v>
      </c>
      <c r="R13">
        <v>83</v>
      </c>
      <c r="S13">
        <v>172</v>
      </c>
      <c r="T13">
        <v>28</v>
      </c>
      <c r="U13">
        <v>2</v>
      </c>
      <c r="V13" s="53" t="str">
        <f>IFERROR(
IF(tbl_abs[[#This Row],[Month of absence]]=0,"Unknown",
CHOOSE(tbl_abs[[#This Row],[Month of absence]],
"Jan","Feb","Mar","Apr","May","Jun","Jul","Aug","Sep","Oct","Nov","Dec")),"")</f>
        <v>Jan</v>
      </c>
      <c r="W13" s="53" t="str">
        <f>IFERROR(
IF(tbl_abs[[#This Row],[Age]]&lt;30,"&lt;30",
IF(tbl_abs[[#This Row],[Age]]&lt;40,"30–39",
IF(tbl_abs[[#This Row],[Age]]&lt;50,"40–49",
IF(tbl_abs[[#This Row],[Age]]&lt;60,"50–59",
"60+")))),"")</f>
        <v>30–39</v>
      </c>
      <c r="X13" s="53" t="str">
        <f>IFERROR(
IF(tbl_abs[[#This Row],[Distance from Residence to Work]]&lt;=5,"0–5",
IF(tbl_abs[[#This Row],[Distance from Residence to Work]]&lt;=10,"6–10",
IF(tbl_abs[[#This Row],[Distance from Residence to Work]]&lt;=20,"11–20",
"21+"))),"")</f>
        <v>6–10</v>
      </c>
      <c r="Y13" s="53" t="str">
        <f>IFERROR(
IF(tbl_abs[[#This Row],[Body Mass Index]]&lt;18.5,"Underweight",
IF(tbl_abs[[#This Row],[Body Mass Index]]&lt;25,"Normal",
IF(tbl_abs[[#This Row],[Body Mass Index]]&lt;30,"Overweight",
"Obese"))),"")</f>
        <v>Overweight</v>
      </c>
      <c r="Z13" s="53" t="str">
        <f>IFERROR(
IF(tbl_abs[[#This Row],[Absenteeism time in hours]]&lt;=2,"0–2",
IF(tbl_abs[[#This Row],[Absenteeism time in hours]]&lt;=8,"3–8",
IF(tbl_abs[[#This Row],[Absenteeism time in hours]]&lt;=16,"9–16",
"17+"))),"")</f>
        <v>0–2</v>
      </c>
      <c r="AA13" s="49">
        <v>18</v>
      </c>
    </row>
    <row r="14" spans="1:28" ht="15" customHeight="1" x14ac:dyDescent="0.3">
      <c r="A14">
        <v>28</v>
      </c>
      <c r="B14">
        <v>27</v>
      </c>
      <c r="C14" s="1">
        <v>1</v>
      </c>
      <c r="D14">
        <v>3</v>
      </c>
      <c r="E14">
        <v>2</v>
      </c>
      <c r="F14">
        <v>225</v>
      </c>
      <c r="G14" s="1">
        <v>26</v>
      </c>
      <c r="H14">
        <v>9</v>
      </c>
      <c r="I14" s="1">
        <v>28</v>
      </c>
      <c r="J14" s="2">
        <v>308593</v>
      </c>
      <c r="K14">
        <v>95</v>
      </c>
      <c r="L14">
        <v>0</v>
      </c>
      <c r="M14">
        <v>1</v>
      </c>
      <c r="N14">
        <v>1</v>
      </c>
      <c r="O14">
        <v>0</v>
      </c>
      <c r="P14">
        <v>0</v>
      </c>
      <c r="Q14">
        <v>2</v>
      </c>
      <c r="R14">
        <v>69</v>
      </c>
      <c r="S14">
        <v>169</v>
      </c>
      <c r="T14">
        <v>24</v>
      </c>
      <c r="U14">
        <v>2</v>
      </c>
      <c r="V14" s="53" t="str">
        <f>IFERROR(
IF(tbl_abs[[#This Row],[Month of absence]]=0,"Unknown",
CHOOSE(tbl_abs[[#This Row],[Month of absence]],
"Jan","Feb","Mar","Apr","May","Jun","Jul","Aug","Sep","Oct","Nov","Dec")),"")</f>
        <v>Jan</v>
      </c>
      <c r="W14" s="53" t="str">
        <f>IFERROR(
IF(tbl_abs[[#This Row],[Age]]&lt;30,"&lt;30",
IF(tbl_abs[[#This Row],[Age]]&lt;40,"30–39",
IF(tbl_abs[[#This Row],[Age]]&lt;50,"40–49",
IF(tbl_abs[[#This Row],[Age]]&lt;60,"50–59",
"60+")))),"")</f>
        <v>&lt;30</v>
      </c>
      <c r="X14" s="53" t="str">
        <f>IFERROR(
IF(tbl_abs[[#This Row],[Distance from Residence to Work]]&lt;=5,"0–5",
IF(tbl_abs[[#This Row],[Distance from Residence to Work]]&lt;=10,"6–10",
IF(tbl_abs[[#This Row],[Distance from Residence to Work]]&lt;=20,"11–20",
"21+"))),"")</f>
        <v>21+</v>
      </c>
      <c r="Y14" s="53" t="str">
        <f>IFERROR(
IF(tbl_abs[[#This Row],[Body Mass Index]]&lt;18.5,"Underweight",
IF(tbl_abs[[#This Row],[Body Mass Index]]&lt;25,"Normal",
IF(tbl_abs[[#This Row],[Body Mass Index]]&lt;30,"Overweight",
"Obese"))),"")</f>
        <v>Normal</v>
      </c>
      <c r="Z14" s="53" t="str">
        <f>IFERROR(
IF(tbl_abs[[#This Row],[Absenteeism time in hours]]&lt;=2,"0–2",
IF(tbl_abs[[#This Row],[Absenteeism time in hours]]&lt;=8,"3–8",
IF(tbl_abs[[#This Row],[Absenteeism time in hours]]&lt;=16,"9–16",
"17+"))),"")</f>
        <v>0–2</v>
      </c>
      <c r="AA14" s="50">
        <v>30</v>
      </c>
    </row>
    <row r="15" spans="1:28" ht="15" customHeight="1" x14ac:dyDescent="0.3">
      <c r="A15">
        <v>34</v>
      </c>
      <c r="B15">
        <v>27</v>
      </c>
      <c r="C15" s="1">
        <v>1</v>
      </c>
      <c r="D15">
        <v>3</v>
      </c>
      <c r="E15">
        <v>2</v>
      </c>
      <c r="F15">
        <v>118</v>
      </c>
      <c r="G15" s="1">
        <v>10</v>
      </c>
      <c r="H15">
        <v>10</v>
      </c>
      <c r="I15" s="1">
        <v>37</v>
      </c>
      <c r="J15" s="2">
        <v>308593</v>
      </c>
      <c r="L15">
        <v>0</v>
      </c>
      <c r="M15">
        <v>1</v>
      </c>
      <c r="N15">
        <v>0</v>
      </c>
      <c r="O15">
        <v>0</v>
      </c>
      <c r="P15">
        <v>0</v>
      </c>
      <c r="Q15">
        <v>0</v>
      </c>
      <c r="R15">
        <v>83</v>
      </c>
      <c r="S15">
        <v>172</v>
      </c>
      <c r="T15">
        <v>28</v>
      </c>
      <c r="U15">
        <v>2</v>
      </c>
      <c r="V15" s="53" t="str">
        <f>IFERROR(
IF(tbl_abs[[#This Row],[Month of absence]]=0,"Unknown",
CHOOSE(tbl_abs[[#This Row],[Month of absence]],
"Jan","Feb","Mar","Apr","May","Jun","Jul","Aug","Sep","Oct","Nov","Dec")),"")</f>
        <v>Jan</v>
      </c>
      <c r="W15" s="53" t="str">
        <f>IFERROR(
IF(tbl_abs[[#This Row],[Age]]&lt;30,"&lt;30",
IF(tbl_abs[[#This Row],[Age]]&lt;40,"30–39",
IF(tbl_abs[[#This Row],[Age]]&lt;50,"40–49",
IF(tbl_abs[[#This Row],[Age]]&lt;60,"50–59",
"60+")))),"")</f>
        <v>30–39</v>
      </c>
      <c r="X15" s="53" t="str">
        <f>IFERROR(
IF(tbl_abs[[#This Row],[Distance from Residence to Work]]&lt;=5,"0–5",
IF(tbl_abs[[#This Row],[Distance from Residence to Work]]&lt;=10,"6–10",
IF(tbl_abs[[#This Row],[Distance from Residence to Work]]&lt;=20,"11–20",
"21+"))),"")</f>
        <v>6–10</v>
      </c>
      <c r="Y15" s="53" t="str">
        <f>IFERROR(
IF(tbl_abs[[#This Row],[Body Mass Index]]&lt;18.5,"Underweight",
IF(tbl_abs[[#This Row],[Body Mass Index]]&lt;25,"Normal",
IF(tbl_abs[[#This Row],[Body Mass Index]]&lt;30,"Overweight",
"Obese"))),"")</f>
        <v>Overweight</v>
      </c>
      <c r="Z15" s="53" t="str">
        <f>IFERROR(
IF(tbl_abs[[#This Row],[Absenteeism time in hours]]&lt;=2,"0–2",
IF(tbl_abs[[#This Row],[Absenteeism time in hours]]&lt;=8,"3–8",
IF(tbl_abs[[#This Row],[Absenteeism time in hours]]&lt;=16,"9–16",
"17+"))),"")</f>
        <v>0–2</v>
      </c>
      <c r="AA15" s="50">
        <v>2</v>
      </c>
    </row>
    <row r="16" spans="1:28" ht="15" customHeight="1" x14ac:dyDescent="0.3">
      <c r="A16">
        <v>34</v>
      </c>
      <c r="B16">
        <v>27</v>
      </c>
      <c r="C16" s="1">
        <v>1</v>
      </c>
      <c r="D16">
        <v>4</v>
      </c>
      <c r="E16">
        <v>2</v>
      </c>
      <c r="F16">
        <v>118</v>
      </c>
      <c r="G16" s="1">
        <v>10</v>
      </c>
      <c r="H16">
        <v>10</v>
      </c>
      <c r="I16" s="1">
        <v>37</v>
      </c>
      <c r="J16" s="2">
        <v>308593</v>
      </c>
      <c r="L16">
        <v>0</v>
      </c>
      <c r="M16">
        <v>1</v>
      </c>
      <c r="N16">
        <v>0</v>
      </c>
      <c r="O16">
        <v>0</v>
      </c>
      <c r="P16">
        <v>0</v>
      </c>
      <c r="Q16">
        <v>0</v>
      </c>
      <c r="R16">
        <v>83</v>
      </c>
      <c r="S16">
        <v>172</v>
      </c>
      <c r="T16">
        <v>28</v>
      </c>
      <c r="U16">
        <v>2</v>
      </c>
      <c r="V16" s="53" t="str">
        <f>IFERROR(
IF(tbl_abs[[#This Row],[Month of absence]]=0,"Unknown",
CHOOSE(tbl_abs[[#This Row],[Month of absence]],
"Jan","Feb","Mar","Apr","May","Jun","Jul","Aug","Sep","Oct","Nov","Dec")),"")</f>
        <v>Jan</v>
      </c>
      <c r="W16" s="53" t="str">
        <f>IFERROR(
IF(tbl_abs[[#This Row],[Age]]&lt;30,"&lt;30",
IF(tbl_abs[[#This Row],[Age]]&lt;40,"30–39",
IF(tbl_abs[[#This Row],[Age]]&lt;50,"40–49",
IF(tbl_abs[[#This Row],[Age]]&lt;60,"50–59",
"60+")))),"")</f>
        <v>30–39</v>
      </c>
      <c r="X16" s="53" t="str">
        <f>IFERROR(
IF(tbl_abs[[#This Row],[Distance from Residence to Work]]&lt;=5,"0–5",
IF(tbl_abs[[#This Row],[Distance from Residence to Work]]&lt;=10,"6–10",
IF(tbl_abs[[#This Row],[Distance from Residence to Work]]&lt;=20,"11–20",
"21+"))),"")</f>
        <v>6–10</v>
      </c>
      <c r="Y16" s="53" t="str">
        <f>IFERROR(
IF(tbl_abs[[#This Row],[Body Mass Index]]&lt;18.5,"Underweight",
IF(tbl_abs[[#This Row],[Body Mass Index]]&lt;25,"Normal",
IF(tbl_abs[[#This Row],[Body Mass Index]]&lt;30,"Overweight",
"Obese"))),"")</f>
        <v>Overweight</v>
      </c>
      <c r="Z16" s="53" t="str">
        <f>IFERROR(
IF(tbl_abs[[#This Row],[Absenteeism time in hours]]&lt;=2,"0–2",
IF(tbl_abs[[#This Row],[Absenteeism time in hours]]&lt;=8,"3–8",
IF(tbl_abs[[#This Row],[Absenteeism time in hours]]&lt;=16,"9–16",
"17+"))),"")</f>
        <v>0–2</v>
      </c>
      <c r="AA16" s="50">
        <v>19</v>
      </c>
    </row>
    <row r="17" spans="1:27" ht="15" customHeight="1" x14ac:dyDescent="0.3">
      <c r="A17">
        <v>34</v>
      </c>
      <c r="B17">
        <v>27</v>
      </c>
      <c r="C17" s="1">
        <v>1</v>
      </c>
      <c r="D17">
        <v>5</v>
      </c>
      <c r="E17">
        <v>2</v>
      </c>
      <c r="F17">
        <v>118</v>
      </c>
      <c r="G17" s="1">
        <v>10</v>
      </c>
      <c r="H17">
        <v>10</v>
      </c>
      <c r="I17" s="1">
        <v>37</v>
      </c>
      <c r="J17" s="2">
        <v>308593</v>
      </c>
      <c r="K17">
        <v>95</v>
      </c>
      <c r="L17">
        <v>0</v>
      </c>
      <c r="M17">
        <v>1</v>
      </c>
      <c r="O17">
        <v>0</v>
      </c>
      <c r="P17">
        <v>0</v>
      </c>
      <c r="Q17">
        <v>0</v>
      </c>
      <c r="R17">
        <v>83</v>
      </c>
      <c r="S17">
        <v>172</v>
      </c>
      <c r="T17">
        <v>28</v>
      </c>
      <c r="U17">
        <v>2</v>
      </c>
      <c r="V17" s="53" t="str">
        <f>IFERROR(
IF(tbl_abs[[#This Row],[Month of absence]]=0,"Unknown",
CHOOSE(tbl_abs[[#This Row],[Month of absence]],
"Jan","Feb","Mar","Apr","May","Jun","Jul","Aug","Sep","Oct","Nov","Dec")),"")</f>
        <v>Jan</v>
      </c>
      <c r="W17" s="53" t="str">
        <f>IFERROR(
IF(tbl_abs[[#This Row],[Age]]&lt;30,"&lt;30",
IF(tbl_abs[[#This Row],[Age]]&lt;40,"30–39",
IF(tbl_abs[[#This Row],[Age]]&lt;50,"40–49",
IF(tbl_abs[[#This Row],[Age]]&lt;60,"50–59",
"60+")))),"")</f>
        <v>30–39</v>
      </c>
      <c r="X17" s="53" t="str">
        <f>IFERROR(
IF(tbl_abs[[#This Row],[Distance from Residence to Work]]&lt;=5,"0–5",
IF(tbl_abs[[#This Row],[Distance from Residence to Work]]&lt;=10,"6–10",
IF(tbl_abs[[#This Row],[Distance from Residence to Work]]&lt;=20,"11–20",
"21+"))),"")</f>
        <v>6–10</v>
      </c>
      <c r="Y17" s="53" t="str">
        <f>IFERROR(
IF(tbl_abs[[#This Row],[Body Mass Index]]&lt;18.5,"Underweight",
IF(tbl_abs[[#This Row],[Body Mass Index]]&lt;25,"Normal",
IF(tbl_abs[[#This Row],[Body Mass Index]]&lt;30,"Overweight",
"Obese"))),"")</f>
        <v>Overweight</v>
      </c>
      <c r="Z17" s="53" t="str">
        <f>IFERROR(
IF(tbl_abs[[#This Row],[Absenteeism time in hours]]&lt;=2,"0–2",
IF(tbl_abs[[#This Row],[Absenteeism time in hours]]&lt;=8,"3–8",
IF(tbl_abs[[#This Row],[Absenteeism time in hours]]&lt;=16,"9–16",
"17+"))),"")</f>
        <v>0–2</v>
      </c>
      <c r="AA17" s="49">
        <v>27</v>
      </c>
    </row>
    <row r="18" spans="1:27" ht="15" customHeight="1" x14ac:dyDescent="0.3">
      <c r="A18">
        <v>34</v>
      </c>
      <c r="B18">
        <v>27</v>
      </c>
      <c r="C18" s="1">
        <v>1</v>
      </c>
      <c r="D18">
        <v>6</v>
      </c>
      <c r="E18">
        <v>2</v>
      </c>
      <c r="F18">
        <v>118</v>
      </c>
      <c r="G18" s="1">
        <v>10</v>
      </c>
      <c r="H18">
        <v>10</v>
      </c>
      <c r="I18" s="1">
        <v>37</v>
      </c>
      <c r="J18" s="2">
        <v>308593</v>
      </c>
      <c r="K18">
        <v>95</v>
      </c>
      <c r="L18">
        <v>0</v>
      </c>
      <c r="M18">
        <v>1</v>
      </c>
      <c r="N18">
        <v>0</v>
      </c>
      <c r="O18">
        <v>0</v>
      </c>
      <c r="P18">
        <v>0</v>
      </c>
      <c r="Q18">
        <v>0</v>
      </c>
      <c r="R18">
        <v>83</v>
      </c>
      <c r="S18">
        <v>172</v>
      </c>
      <c r="T18">
        <v>28</v>
      </c>
      <c r="U18">
        <v>2</v>
      </c>
      <c r="V18" s="53" t="str">
        <f>IFERROR(
IF(tbl_abs[[#This Row],[Month of absence]]=0,"Unknown",
CHOOSE(tbl_abs[[#This Row],[Month of absence]],
"Jan","Feb","Mar","Apr","May","Jun","Jul","Aug","Sep","Oct","Nov","Dec")),"")</f>
        <v>Jan</v>
      </c>
      <c r="W18" s="53" t="str">
        <f>IFERROR(
IF(tbl_abs[[#This Row],[Age]]&lt;30,"&lt;30",
IF(tbl_abs[[#This Row],[Age]]&lt;40,"30–39",
IF(tbl_abs[[#This Row],[Age]]&lt;50,"40–49",
IF(tbl_abs[[#This Row],[Age]]&lt;60,"50–59",
"60+")))),"")</f>
        <v>30–39</v>
      </c>
      <c r="X18" s="53" t="str">
        <f>IFERROR(
IF(tbl_abs[[#This Row],[Distance from Residence to Work]]&lt;=5,"0–5",
IF(tbl_abs[[#This Row],[Distance from Residence to Work]]&lt;=10,"6–10",
IF(tbl_abs[[#This Row],[Distance from Residence to Work]]&lt;=20,"11–20",
"21+"))),"")</f>
        <v>6–10</v>
      </c>
      <c r="Y18" s="53" t="str">
        <f>IFERROR(
IF(tbl_abs[[#This Row],[Body Mass Index]]&lt;18.5,"Underweight",
IF(tbl_abs[[#This Row],[Body Mass Index]]&lt;25,"Normal",
IF(tbl_abs[[#This Row],[Body Mass Index]]&lt;30,"Overweight",
"Obese"))),"")</f>
        <v>Overweight</v>
      </c>
      <c r="Z18" s="53" t="str">
        <f>IFERROR(
IF(tbl_abs[[#This Row],[Absenteeism time in hours]]&lt;=2,"0–2",
IF(tbl_abs[[#This Row],[Absenteeism time in hours]]&lt;=8,"3–8",
IF(tbl_abs[[#This Row],[Absenteeism time in hours]]&lt;=16,"9–16",
"17+"))),"")</f>
        <v>0–2</v>
      </c>
      <c r="AA18" s="50">
        <v>34</v>
      </c>
    </row>
    <row r="19" spans="1:27" ht="15" customHeight="1" x14ac:dyDescent="0.3">
      <c r="A19">
        <v>34</v>
      </c>
      <c r="B19">
        <v>27</v>
      </c>
      <c r="C19" s="1">
        <v>1</v>
      </c>
      <c r="D19">
        <v>2</v>
      </c>
      <c r="E19">
        <v>2</v>
      </c>
      <c r="F19">
        <v>118</v>
      </c>
      <c r="G19" s="1">
        <v>10</v>
      </c>
      <c r="H19">
        <v>10</v>
      </c>
      <c r="I19" s="1">
        <v>37</v>
      </c>
      <c r="J19" s="2">
        <v>308593</v>
      </c>
      <c r="K19">
        <v>95</v>
      </c>
      <c r="L19">
        <v>0</v>
      </c>
      <c r="N19">
        <v>0</v>
      </c>
      <c r="O19">
        <v>0</v>
      </c>
      <c r="P19">
        <v>0</v>
      </c>
      <c r="Q19">
        <v>0</v>
      </c>
      <c r="R19">
        <v>83</v>
      </c>
      <c r="S19">
        <v>172</v>
      </c>
      <c r="T19">
        <v>28</v>
      </c>
      <c r="U19">
        <v>2</v>
      </c>
      <c r="V19" s="53" t="str">
        <f>IFERROR(
IF(tbl_abs[[#This Row],[Month of absence]]=0,"Unknown",
CHOOSE(tbl_abs[[#This Row],[Month of absence]],
"Jan","Feb","Mar","Apr","May","Jun","Jul","Aug","Sep","Oct","Nov","Dec")),"")</f>
        <v>Jan</v>
      </c>
      <c r="W19" s="53" t="str">
        <f>IFERROR(
IF(tbl_abs[[#This Row],[Age]]&lt;30,"&lt;30",
IF(tbl_abs[[#This Row],[Age]]&lt;40,"30–39",
IF(tbl_abs[[#This Row],[Age]]&lt;50,"40–49",
IF(tbl_abs[[#This Row],[Age]]&lt;60,"50–59",
"60+")))),"")</f>
        <v>30–39</v>
      </c>
      <c r="X19" s="53" t="str">
        <f>IFERROR(
IF(tbl_abs[[#This Row],[Distance from Residence to Work]]&lt;=5,"0–5",
IF(tbl_abs[[#This Row],[Distance from Residence to Work]]&lt;=10,"6–10",
IF(tbl_abs[[#This Row],[Distance from Residence to Work]]&lt;=20,"11–20",
"21+"))),"")</f>
        <v>6–10</v>
      </c>
      <c r="Y19" s="53" t="str">
        <f>IFERROR(
IF(tbl_abs[[#This Row],[Body Mass Index]]&lt;18.5,"Underweight",
IF(tbl_abs[[#This Row],[Body Mass Index]]&lt;25,"Normal",
IF(tbl_abs[[#This Row],[Body Mass Index]]&lt;30,"Overweight",
"Obese"))),"")</f>
        <v>Overweight</v>
      </c>
      <c r="Z19" s="53" t="str">
        <f>IFERROR(
IF(tbl_abs[[#This Row],[Absenteeism time in hours]]&lt;=2,"0–2",
IF(tbl_abs[[#This Row],[Absenteeism time in hours]]&lt;=8,"3–8",
IF(tbl_abs[[#This Row],[Absenteeism time in hours]]&lt;=16,"9–16",
"17+"))),"")</f>
        <v>0–2</v>
      </c>
      <c r="AA19" s="50">
        <v>5</v>
      </c>
    </row>
    <row r="20" spans="1:27" ht="15" customHeight="1" x14ac:dyDescent="0.3">
      <c r="A20">
        <v>34</v>
      </c>
      <c r="B20">
        <v>27</v>
      </c>
      <c r="C20" s="1">
        <v>1</v>
      </c>
      <c r="D20">
        <v>3</v>
      </c>
      <c r="E20">
        <v>2</v>
      </c>
      <c r="F20">
        <v>118</v>
      </c>
      <c r="G20" s="1">
        <v>10</v>
      </c>
      <c r="H20">
        <v>10</v>
      </c>
      <c r="I20" s="1">
        <v>37</v>
      </c>
      <c r="J20" s="2">
        <v>308593</v>
      </c>
      <c r="K20">
        <v>95</v>
      </c>
      <c r="L20">
        <v>0</v>
      </c>
      <c r="N20">
        <v>0</v>
      </c>
      <c r="O20">
        <v>0</v>
      </c>
      <c r="P20">
        <v>0</v>
      </c>
      <c r="Q20">
        <v>0</v>
      </c>
      <c r="R20">
        <v>83</v>
      </c>
      <c r="S20">
        <v>172</v>
      </c>
      <c r="T20">
        <v>28</v>
      </c>
      <c r="U20">
        <v>2</v>
      </c>
      <c r="V20" s="53" t="str">
        <f>IFERROR(
IF(tbl_abs[[#This Row],[Month of absence]]=0,"Unknown",
CHOOSE(tbl_abs[[#This Row],[Month of absence]],
"Jan","Feb","Mar","Apr","May","Jun","Jul","Aug","Sep","Oct","Nov","Dec")),"")</f>
        <v>Jan</v>
      </c>
      <c r="W20" s="53" t="str">
        <f>IFERROR(
IF(tbl_abs[[#This Row],[Age]]&lt;30,"&lt;30",
IF(tbl_abs[[#This Row],[Age]]&lt;40,"30–39",
IF(tbl_abs[[#This Row],[Age]]&lt;50,"40–49",
IF(tbl_abs[[#This Row],[Age]]&lt;60,"50–59",
"60+")))),"")</f>
        <v>30–39</v>
      </c>
      <c r="X20" s="53" t="str">
        <f>IFERROR(
IF(tbl_abs[[#This Row],[Distance from Residence to Work]]&lt;=5,"0–5",
IF(tbl_abs[[#This Row],[Distance from Residence to Work]]&lt;=10,"6–10",
IF(tbl_abs[[#This Row],[Distance from Residence to Work]]&lt;=20,"11–20",
"21+"))),"")</f>
        <v>6–10</v>
      </c>
      <c r="Y20" s="53" t="str">
        <f>IFERROR(
IF(tbl_abs[[#This Row],[Body Mass Index]]&lt;18.5,"Underweight",
IF(tbl_abs[[#This Row],[Body Mass Index]]&lt;25,"Normal",
IF(tbl_abs[[#This Row],[Body Mass Index]]&lt;30,"Overweight",
"Obese"))),"")</f>
        <v>Overweight</v>
      </c>
      <c r="Z20" s="53" t="str">
        <f>IFERROR(
IF(tbl_abs[[#This Row],[Absenteeism time in hours]]&lt;=2,"0–2",
IF(tbl_abs[[#This Row],[Absenteeism time in hours]]&lt;=8,"3–8",
IF(tbl_abs[[#This Row],[Absenteeism time in hours]]&lt;=16,"9–16",
"17+"))),"")</f>
        <v>0–2</v>
      </c>
      <c r="AA20" s="50">
        <v>15</v>
      </c>
    </row>
    <row r="21" spans="1:27" ht="15" customHeight="1" x14ac:dyDescent="0.3">
      <c r="A21">
        <v>22</v>
      </c>
      <c r="B21">
        <v>18</v>
      </c>
      <c r="C21" s="1">
        <v>1</v>
      </c>
      <c r="D21">
        <v>3</v>
      </c>
      <c r="E21">
        <v>2</v>
      </c>
      <c r="F21">
        <v>179</v>
      </c>
      <c r="G21" s="1">
        <v>26</v>
      </c>
      <c r="H21">
        <v>9</v>
      </c>
      <c r="I21" s="1">
        <v>30</v>
      </c>
      <c r="J21" s="2">
        <v>308593</v>
      </c>
      <c r="K21">
        <v>95</v>
      </c>
      <c r="M21">
        <v>3</v>
      </c>
      <c r="N21">
        <v>0</v>
      </c>
      <c r="O21">
        <v>0</v>
      </c>
      <c r="P21">
        <v>0</v>
      </c>
      <c r="Q21">
        <v>0</v>
      </c>
      <c r="R21">
        <v>56</v>
      </c>
      <c r="S21">
        <v>171</v>
      </c>
      <c r="T21">
        <v>19</v>
      </c>
      <c r="U21">
        <v>8</v>
      </c>
      <c r="V21" s="53" t="str">
        <f>IFERROR(
IF(tbl_abs[[#This Row],[Month of absence]]=0,"Unknown",
CHOOSE(tbl_abs[[#This Row],[Month of absence]],
"Jan","Feb","Mar","Apr","May","Jun","Jul","Aug","Sep","Oct","Nov","Dec")),"")</f>
        <v>Jan</v>
      </c>
      <c r="W21" s="53" t="str">
        <f>IFERROR(
IF(tbl_abs[[#This Row],[Age]]&lt;30,"&lt;30",
IF(tbl_abs[[#This Row],[Age]]&lt;40,"30–39",
IF(tbl_abs[[#This Row],[Age]]&lt;50,"40–49",
IF(tbl_abs[[#This Row],[Age]]&lt;60,"50–59",
"60+")))),"")</f>
        <v>30–39</v>
      </c>
      <c r="X21" s="53" t="str">
        <f>IFERROR(
IF(tbl_abs[[#This Row],[Distance from Residence to Work]]&lt;=5,"0–5",
IF(tbl_abs[[#This Row],[Distance from Residence to Work]]&lt;=10,"6–10",
IF(tbl_abs[[#This Row],[Distance from Residence to Work]]&lt;=20,"11–20",
"21+"))),"")</f>
        <v>21+</v>
      </c>
      <c r="Y21" s="53" t="str">
        <f>IFERROR(
IF(tbl_abs[[#This Row],[Body Mass Index]]&lt;18.5,"Underweight",
IF(tbl_abs[[#This Row],[Body Mass Index]]&lt;25,"Normal",
IF(tbl_abs[[#This Row],[Body Mass Index]]&lt;30,"Overweight",
"Obese"))),"")</f>
        <v>Normal</v>
      </c>
      <c r="Z21" s="53" t="str">
        <f>IFERROR(
IF(tbl_abs[[#This Row],[Absenteeism time in hours]]&lt;=2,"0–2",
IF(tbl_abs[[#This Row],[Absenteeism time in hours]]&lt;=8,"3–8",
IF(tbl_abs[[#This Row],[Absenteeism time in hours]]&lt;=16,"9–16",
"17+"))),"")</f>
        <v>3–8</v>
      </c>
      <c r="AA21" s="50">
        <v>29</v>
      </c>
    </row>
    <row r="22" spans="1:27" ht="15" customHeight="1" x14ac:dyDescent="0.3">
      <c r="A22">
        <v>11</v>
      </c>
      <c r="B22">
        <v>18</v>
      </c>
      <c r="C22" s="1">
        <v>1</v>
      </c>
      <c r="D22">
        <v>3</v>
      </c>
      <c r="E22">
        <v>2</v>
      </c>
      <c r="F22">
        <v>289</v>
      </c>
      <c r="G22" s="1">
        <v>36</v>
      </c>
      <c r="H22">
        <v>13</v>
      </c>
      <c r="I22" s="1">
        <v>33</v>
      </c>
      <c r="J22" s="2">
        <v>308593</v>
      </c>
      <c r="K22">
        <v>95</v>
      </c>
      <c r="L22">
        <v>0</v>
      </c>
      <c r="M22">
        <v>1</v>
      </c>
      <c r="N22">
        <v>2</v>
      </c>
      <c r="O22">
        <v>1</v>
      </c>
      <c r="P22">
        <v>0</v>
      </c>
      <c r="Q22">
        <v>1</v>
      </c>
      <c r="R22">
        <v>90</v>
      </c>
      <c r="S22">
        <v>172</v>
      </c>
      <c r="T22">
        <v>30</v>
      </c>
      <c r="U22">
        <v>8</v>
      </c>
      <c r="V22" s="53" t="str">
        <f>IFERROR(
IF(tbl_abs[[#This Row],[Month of absence]]=0,"Unknown",
CHOOSE(tbl_abs[[#This Row],[Month of absence]],
"Jan","Feb","Mar","Apr","May","Jun","Jul","Aug","Sep","Oct","Nov","Dec")),"")</f>
        <v>Jan</v>
      </c>
      <c r="W22" s="53" t="str">
        <f>IFERROR(
IF(tbl_abs[[#This Row],[Age]]&lt;30,"&lt;30",
IF(tbl_abs[[#This Row],[Age]]&lt;40,"30–39",
IF(tbl_abs[[#This Row],[Age]]&lt;50,"40–49",
IF(tbl_abs[[#This Row],[Age]]&lt;60,"50–59",
"60+")))),"")</f>
        <v>30–39</v>
      </c>
      <c r="X22" s="53" t="str">
        <f>IFERROR(
IF(tbl_abs[[#This Row],[Distance from Residence to Work]]&lt;=5,"0–5",
IF(tbl_abs[[#This Row],[Distance from Residence to Work]]&lt;=10,"6–10",
IF(tbl_abs[[#This Row],[Distance from Residence to Work]]&lt;=20,"11–20",
"21+"))),"")</f>
        <v>21+</v>
      </c>
      <c r="Y22" s="53" t="str">
        <f>IFERROR(
IF(tbl_abs[[#This Row],[Body Mass Index]]&lt;18.5,"Underweight",
IF(tbl_abs[[#This Row],[Body Mass Index]]&lt;25,"Normal",
IF(tbl_abs[[#This Row],[Body Mass Index]]&lt;30,"Overweight",
"Obese"))),"")</f>
        <v>Obese</v>
      </c>
      <c r="Z22" s="53" t="str">
        <f>IFERROR(
IF(tbl_abs[[#This Row],[Absenteeism time in hours]]&lt;=2,"0–2",
IF(tbl_abs[[#This Row],[Absenteeism time in hours]]&lt;=8,"3–8",
IF(tbl_abs[[#This Row],[Absenteeism time in hours]]&lt;=16,"9–16",
"17+"))),"")</f>
        <v>3–8</v>
      </c>
      <c r="AA22" s="49">
        <v>28</v>
      </c>
    </row>
    <row r="23" spans="1:27" ht="15" customHeight="1" x14ac:dyDescent="0.3">
      <c r="A23">
        <v>34</v>
      </c>
      <c r="B23">
        <v>27</v>
      </c>
      <c r="C23" s="1">
        <v>1</v>
      </c>
      <c r="D23">
        <v>4</v>
      </c>
      <c r="E23">
        <v>2</v>
      </c>
      <c r="F23">
        <v>118</v>
      </c>
      <c r="G23" s="1">
        <v>10</v>
      </c>
      <c r="I23" s="1">
        <v>37</v>
      </c>
      <c r="J23" s="2">
        <v>308593</v>
      </c>
      <c r="K23">
        <v>95</v>
      </c>
      <c r="L23">
        <v>0</v>
      </c>
      <c r="O23">
        <v>0</v>
      </c>
      <c r="P23">
        <v>0</v>
      </c>
      <c r="Q23">
        <v>0</v>
      </c>
      <c r="R23">
        <v>83</v>
      </c>
      <c r="T23">
        <v>28</v>
      </c>
      <c r="U23">
        <v>2</v>
      </c>
      <c r="V23" s="53" t="str">
        <f>IFERROR(
IF(tbl_abs[[#This Row],[Month of absence]]=0,"Unknown",
CHOOSE(tbl_abs[[#This Row],[Month of absence]],
"Jan","Feb","Mar","Apr","May","Jun","Jul","Aug","Sep","Oct","Nov","Dec")),"")</f>
        <v>Jan</v>
      </c>
      <c r="W23" s="53" t="str">
        <f>IFERROR(
IF(tbl_abs[[#This Row],[Age]]&lt;30,"&lt;30",
IF(tbl_abs[[#This Row],[Age]]&lt;40,"30–39",
IF(tbl_abs[[#This Row],[Age]]&lt;50,"40–49",
IF(tbl_abs[[#This Row],[Age]]&lt;60,"50–59",
"60+")))),"")</f>
        <v>30–39</v>
      </c>
      <c r="X23" s="53" t="str">
        <f>IFERROR(
IF(tbl_abs[[#This Row],[Distance from Residence to Work]]&lt;=5,"0–5",
IF(tbl_abs[[#This Row],[Distance from Residence to Work]]&lt;=10,"6–10",
IF(tbl_abs[[#This Row],[Distance from Residence to Work]]&lt;=20,"11–20",
"21+"))),"")</f>
        <v>6–10</v>
      </c>
      <c r="Y23" s="53" t="str">
        <f>IFERROR(
IF(tbl_abs[[#This Row],[Body Mass Index]]&lt;18.5,"Underweight",
IF(tbl_abs[[#This Row],[Body Mass Index]]&lt;25,"Normal",
IF(tbl_abs[[#This Row],[Body Mass Index]]&lt;30,"Overweight",
"Obese"))),"")</f>
        <v>Overweight</v>
      </c>
      <c r="Z23" s="53" t="str">
        <f>IFERROR(
IF(tbl_abs[[#This Row],[Absenteeism time in hours]]&lt;=2,"0–2",
IF(tbl_abs[[#This Row],[Absenteeism time in hours]]&lt;=8,"3–8",
IF(tbl_abs[[#This Row],[Absenteeism time in hours]]&lt;=16,"9–16",
"17+"))),"")</f>
        <v>0–2</v>
      </c>
      <c r="AA23" s="49">
        <v>13</v>
      </c>
    </row>
    <row r="24" spans="1:27" ht="15" customHeight="1" x14ac:dyDescent="0.3">
      <c r="A24">
        <v>27</v>
      </c>
      <c r="B24">
        <v>23</v>
      </c>
      <c r="C24" s="1">
        <v>1</v>
      </c>
      <c r="D24">
        <v>5</v>
      </c>
      <c r="E24">
        <v>2</v>
      </c>
      <c r="F24">
        <v>184</v>
      </c>
      <c r="G24" s="1">
        <v>42</v>
      </c>
      <c r="H24">
        <v>7</v>
      </c>
      <c r="I24" s="1">
        <v>27</v>
      </c>
      <c r="J24" s="2"/>
      <c r="K24">
        <v>95</v>
      </c>
      <c r="L24">
        <v>0</v>
      </c>
      <c r="M24">
        <v>1</v>
      </c>
      <c r="N24">
        <v>0</v>
      </c>
      <c r="O24">
        <v>0</v>
      </c>
      <c r="P24">
        <v>0</v>
      </c>
      <c r="Q24">
        <v>0</v>
      </c>
      <c r="R24">
        <v>58</v>
      </c>
      <c r="T24">
        <v>21</v>
      </c>
      <c r="U24">
        <v>2</v>
      </c>
      <c r="V24" s="53" t="str">
        <f>IFERROR(
IF(tbl_abs[[#This Row],[Month of absence]]=0,"Unknown",
CHOOSE(tbl_abs[[#This Row],[Month of absence]],
"Jan","Feb","Mar","Apr","May","Jun","Jul","Aug","Sep","Oct","Nov","Dec")),"")</f>
        <v>Jan</v>
      </c>
      <c r="W24" s="53" t="str">
        <f>IFERROR(
IF(tbl_abs[[#This Row],[Age]]&lt;30,"&lt;30",
IF(tbl_abs[[#This Row],[Age]]&lt;40,"30–39",
IF(tbl_abs[[#This Row],[Age]]&lt;50,"40–49",
IF(tbl_abs[[#This Row],[Age]]&lt;60,"50–59",
"60+")))),"")</f>
        <v>&lt;30</v>
      </c>
      <c r="X24" s="53" t="str">
        <f>IFERROR(
IF(tbl_abs[[#This Row],[Distance from Residence to Work]]&lt;=5,"0–5",
IF(tbl_abs[[#This Row],[Distance from Residence to Work]]&lt;=10,"6–10",
IF(tbl_abs[[#This Row],[Distance from Residence to Work]]&lt;=20,"11–20",
"21+"))),"")</f>
        <v>21+</v>
      </c>
      <c r="Y24" s="53" t="str">
        <f>IFERROR(
IF(tbl_abs[[#This Row],[Body Mass Index]]&lt;18.5,"Underweight",
IF(tbl_abs[[#This Row],[Body Mass Index]]&lt;25,"Normal",
IF(tbl_abs[[#This Row],[Body Mass Index]]&lt;30,"Overweight",
"Obese"))),"")</f>
        <v>Normal</v>
      </c>
      <c r="Z24" s="53" t="str">
        <f>IFERROR(
IF(tbl_abs[[#This Row],[Absenteeism time in hours]]&lt;=2,"0–2",
IF(tbl_abs[[#This Row],[Absenteeism time in hours]]&lt;=8,"3–8",
IF(tbl_abs[[#This Row],[Absenteeism time in hours]]&lt;=16,"9–16",
"17+"))),"")</f>
        <v>0–2</v>
      </c>
      <c r="AA24" s="50">
        <v>22</v>
      </c>
    </row>
    <row r="25" spans="1:27" ht="15" customHeight="1" x14ac:dyDescent="0.3">
      <c r="A25">
        <v>34</v>
      </c>
      <c r="B25">
        <v>27</v>
      </c>
      <c r="C25" s="1">
        <v>1</v>
      </c>
      <c r="D25">
        <v>5</v>
      </c>
      <c r="E25">
        <v>2</v>
      </c>
      <c r="F25">
        <v>118</v>
      </c>
      <c r="G25" s="1">
        <v>10</v>
      </c>
      <c r="H25">
        <v>10</v>
      </c>
      <c r="I25" s="1">
        <v>37</v>
      </c>
      <c r="J25" s="2">
        <v>308593</v>
      </c>
      <c r="K25">
        <v>95</v>
      </c>
      <c r="M25">
        <v>1</v>
      </c>
      <c r="N25">
        <v>0</v>
      </c>
      <c r="O25">
        <v>0</v>
      </c>
      <c r="P25">
        <v>0</v>
      </c>
      <c r="Q25">
        <v>0</v>
      </c>
      <c r="R25">
        <v>83</v>
      </c>
      <c r="S25">
        <v>172</v>
      </c>
      <c r="T25">
        <v>28</v>
      </c>
      <c r="U25">
        <v>2</v>
      </c>
      <c r="V25" s="53" t="str">
        <f>IFERROR(
IF(tbl_abs[[#This Row],[Month of absence]]=0,"Unknown",
CHOOSE(tbl_abs[[#This Row],[Month of absence]],
"Jan","Feb","Mar","Apr","May","Jun","Jul","Aug","Sep","Oct","Nov","Dec")),"")</f>
        <v>Jan</v>
      </c>
      <c r="W25" s="53" t="str">
        <f>IFERROR(
IF(tbl_abs[[#This Row],[Age]]&lt;30,"&lt;30",
IF(tbl_abs[[#This Row],[Age]]&lt;40,"30–39",
IF(tbl_abs[[#This Row],[Age]]&lt;50,"40–49",
IF(tbl_abs[[#This Row],[Age]]&lt;60,"50–59",
"60+")))),"")</f>
        <v>30–39</v>
      </c>
      <c r="X25" s="53" t="str">
        <f>IFERROR(
IF(tbl_abs[[#This Row],[Distance from Residence to Work]]&lt;=5,"0–5",
IF(tbl_abs[[#This Row],[Distance from Residence to Work]]&lt;=10,"6–10",
IF(tbl_abs[[#This Row],[Distance from Residence to Work]]&lt;=20,"11–20",
"21+"))),"")</f>
        <v>6–10</v>
      </c>
      <c r="Y25" s="53" t="str">
        <f>IFERROR(
IF(tbl_abs[[#This Row],[Body Mass Index]]&lt;18.5,"Underweight",
IF(tbl_abs[[#This Row],[Body Mass Index]]&lt;25,"Normal",
IF(tbl_abs[[#This Row],[Body Mass Index]]&lt;30,"Overweight",
"Obese"))),"")</f>
        <v>Overweight</v>
      </c>
      <c r="Z25" s="53" t="str">
        <f>IFERROR(
IF(tbl_abs[[#This Row],[Absenteeism time in hours]]&lt;=2,"0–2",
IF(tbl_abs[[#This Row],[Absenteeism time in hours]]&lt;=8,"3–8",
IF(tbl_abs[[#This Row],[Absenteeism time in hours]]&lt;=16,"9–16",
"17+"))),"")</f>
        <v>0–2</v>
      </c>
      <c r="AA25" s="50">
        <v>17</v>
      </c>
    </row>
    <row r="26" spans="1:27" ht="15" customHeight="1" x14ac:dyDescent="0.3">
      <c r="A26">
        <v>34</v>
      </c>
      <c r="B26">
        <v>27</v>
      </c>
      <c r="C26" s="1">
        <v>1</v>
      </c>
      <c r="D26">
        <v>2</v>
      </c>
      <c r="E26">
        <v>2</v>
      </c>
      <c r="F26">
        <v>118</v>
      </c>
      <c r="G26" s="1">
        <v>10</v>
      </c>
      <c r="H26">
        <v>10</v>
      </c>
      <c r="I26" s="1">
        <v>37</v>
      </c>
      <c r="J26" s="2">
        <v>308593</v>
      </c>
      <c r="K26">
        <v>95</v>
      </c>
      <c r="L26">
        <v>0</v>
      </c>
      <c r="M26">
        <v>1</v>
      </c>
      <c r="N26">
        <v>0</v>
      </c>
      <c r="O26">
        <v>0</v>
      </c>
      <c r="P26">
        <v>0</v>
      </c>
      <c r="Q26">
        <v>0</v>
      </c>
      <c r="R26">
        <v>83</v>
      </c>
      <c r="S26">
        <v>172</v>
      </c>
      <c r="T26">
        <v>28</v>
      </c>
      <c r="U26">
        <v>0</v>
      </c>
      <c r="V26" s="53" t="str">
        <f>IFERROR(
IF(tbl_abs[[#This Row],[Month of absence]]=0,"Unknown",
CHOOSE(tbl_abs[[#This Row],[Month of absence]],
"Jan","Feb","Mar","Apr","May","Jun","Jul","Aug","Sep","Oct","Nov","Dec")),"")</f>
        <v>Jan</v>
      </c>
      <c r="W26" s="53" t="str">
        <f>IFERROR(
IF(tbl_abs[[#This Row],[Age]]&lt;30,"&lt;30",
IF(tbl_abs[[#This Row],[Age]]&lt;40,"30–39",
IF(tbl_abs[[#This Row],[Age]]&lt;50,"40–49",
IF(tbl_abs[[#This Row],[Age]]&lt;60,"50–59",
"60+")))),"")</f>
        <v>30–39</v>
      </c>
      <c r="X26" s="53" t="str">
        <f>IFERROR(
IF(tbl_abs[[#This Row],[Distance from Residence to Work]]&lt;=5,"0–5",
IF(tbl_abs[[#This Row],[Distance from Residence to Work]]&lt;=10,"6–10",
IF(tbl_abs[[#This Row],[Distance from Residence to Work]]&lt;=20,"11–20",
"21+"))),"")</f>
        <v>6–10</v>
      </c>
      <c r="Y26" s="53" t="str">
        <f>IFERROR(
IF(tbl_abs[[#This Row],[Body Mass Index]]&lt;18.5,"Underweight",
IF(tbl_abs[[#This Row],[Body Mass Index]]&lt;25,"Normal",
IF(tbl_abs[[#This Row],[Body Mass Index]]&lt;30,"Overweight",
"Obese"))),"")</f>
        <v>Overweight</v>
      </c>
      <c r="Z26" s="53" t="str">
        <f>IFERROR(
IF(tbl_abs[[#This Row],[Absenteeism time in hours]]&lt;=2,"0–2",
IF(tbl_abs[[#This Row],[Absenteeism time in hours]]&lt;=8,"3–8",
IF(tbl_abs[[#This Row],[Absenteeism time in hours]]&lt;=16,"9–16",
"17+"))),"")</f>
        <v>0–2</v>
      </c>
      <c r="AA26" s="49">
        <v>31</v>
      </c>
    </row>
    <row r="27" spans="1:27" ht="15" customHeight="1" x14ac:dyDescent="0.3">
      <c r="A27">
        <v>28</v>
      </c>
      <c r="B27">
        <v>23</v>
      </c>
      <c r="C27" s="1">
        <v>1</v>
      </c>
      <c r="D27">
        <v>3</v>
      </c>
      <c r="E27">
        <v>2</v>
      </c>
      <c r="F27">
        <v>225</v>
      </c>
      <c r="G27" s="1">
        <v>26</v>
      </c>
      <c r="H27">
        <v>9</v>
      </c>
      <c r="I27" s="1">
        <v>28</v>
      </c>
      <c r="J27" s="2">
        <v>308593</v>
      </c>
      <c r="K27">
        <v>95</v>
      </c>
      <c r="L27">
        <v>0</v>
      </c>
      <c r="M27">
        <v>1</v>
      </c>
      <c r="N27">
        <v>1</v>
      </c>
      <c r="O27">
        <v>0</v>
      </c>
      <c r="P27">
        <v>0</v>
      </c>
      <c r="Q27">
        <v>2</v>
      </c>
      <c r="R27">
        <v>69</v>
      </c>
      <c r="S27">
        <v>169</v>
      </c>
      <c r="T27">
        <v>24</v>
      </c>
      <c r="U27">
        <v>1</v>
      </c>
      <c r="V27" s="53" t="str">
        <f>IFERROR(
IF(tbl_abs[[#This Row],[Month of absence]]=0,"Unknown",
CHOOSE(tbl_abs[[#This Row],[Month of absence]],
"Jan","Feb","Mar","Apr","May","Jun","Jul","Aug","Sep","Oct","Nov","Dec")),"")</f>
        <v>Jan</v>
      </c>
      <c r="W27" s="53" t="str">
        <f>IFERROR(
IF(tbl_abs[[#This Row],[Age]]&lt;30,"&lt;30",
IF(tbl_abs[[#This Row],[Age]]&lt;40,"30–39",
IF(tbl_abs[[#This Row],[Age]]&lt;50,"40–49",
IF(tbl_abs[[#This Row],[Age]]&lt;60,"50–59",
"60+")))),"")</f>
        <v>&lt;30</v>
      </c>
      <c r="X27" s="53" t="str">
        <f>IFERROR(
IF(tbl_abs[[#This Row],[Distance from Residence to Work]]&lt;=5,"0–5",
IF(tbl_abs[[#This Row],[Distance from Residence to Work]]&lt;=10,"6–10",
IF(tbl_abs[[#This Row],[Distance from Residence to Work]]&lt;=20,"11–20",
"21+"))),"")</f>
        <v>21+</v>
      </c>
      <c r="Y27" s="53" t="str">
        <f>IFERROR(
IF(tbl_abs[[#This Row],[Body Mass Index]]&lt;18.5,"Underweight",
IF(tbl_abs[[#This Row],[Body Mass Index]]&lt;25,"Normal",
IF(tbl_abs[[#This Row],[Body Mass Index]]&lt;30,"Overweight",
"Obese"))),"")</f>
        <v>Normal</v>
      </c>
      <c r="Z27" s="53" t="str">
        <f>IFERROR(
IF(tbl_abs[[#This Row],[Absenteeism time in hours]]&lt;=2,"0–2",
IF(tbl_abs[[#This Row],[Absenteeism time in hours]]&lt;=8,"3–8",
IF(tbl_abs[[#This Row],[Absenteeism time in hours]]&lt;=16,"9–16",
"17+"))),"")</f>
        <v>0–2</v>
      </c>
      <c r="AA27" s="49">
        <v>23</v>
      </c>
    </row>
    <row r="28" spans="1:27" ht="15" customHeight="1" x14ac:dyDescent="0.3">
      <c r="A28">
        <v>11</v>
      </c>
      <c r="B28">
        <v>22</v>
      </c>
      <c r="C28" s="1">
        <v>1</v>
      </c>
      <c r="D28">
        <v>5</v>
      </c>
      <c r="E28">
        <v>2</v>
      </c>
      <c r="F28">
        <v>289</v>
      </c>
      <c r="G28" s="1">
        <v>36</v>
      </c>
      <c r="H28">
        <v>13</v>
      </c>
      <c r="I28" s="1">
        <v>33</v>
      </c>
      <c r="J28" s="2">
        <v>308593</v>
      </c>
      <c r="K28">
        <v>95</v>
      </c>
      <c r="L28">
        <v>0</v>
      </c>
      <c r="M28">
        <v>1</v>
      </c>
      <c r="N28">
        <v>2</v>
      </c>
      <c r="O28">
        <v>1</v>
      </c>
      <c r="P28">
        <v>0</v>
      </c>
      <c r="Q28">
        <v>1</v>
      </c>
      <c r="R28">
        <v>90</v>
      </c>
      <c r="S28">
        <v>172</v>
      </c>
      <c r="T28">
        <v>30</v>
      </c>
      <c r="U28">
        <v>3</v>
      </c>
      <c r="V28" s="53" t="str">
        <f>IFERROR(
IF(tbl_abs[[#This Row],[Month of absence]]=0,"Unknown",
CHOOSE(tbl_abs[[#This Row],[Month of absence]],
"Jan","Feb","Mar","Apr","May","Jun","Jul","Aug","Sep","Oct","Nov","Dec")),"")</f>
        <v>Jan</v>
      </c>
      <c r="W28" s="53" t="str">
        <f>IFERROR(
IF(tbl_abs[[#This Row],[Age]]&lt;30,"&lt;30",
IF(tbl_abs[[#This Row],[Age]]&lt;40,"30–39",
IF(tbl_abs[[#This Row],[Age]]&lt;50,"40–49",
IF(tbl_abs[[#This Row],[Age]]&lt;60,"50–59",
"60+")))),"")</f>
        <v>30–39</v>
      </c>
      <c r="X28" s="53" t="str">
        <f>IFERROR(
IF(tbl_abs[[#This Row],[Distance from Residence to Work]]&lt;=5,"0–5",
IF(tbl_abs[[#This Row],[Distance from Residence to Work]]&lt;=10,"6–10",
IF(tbl_abs[[#This Row],[Distance from Residence to Work]]&lt;=20,"11–20",
"21+"))),"")</f>
        <v>21+</v>
      </c>
      <c r="Y28" s="53" t="str">
        <f>IFERROR(
IF(tbl_abs[[#This Row],[Body Mass Index]]&lt;18.5,"Underweight",
IF(tbl_abs[[#This Row],[Body Mass Index]]&lt;25,"Normal",
IF(tbl_abs[[#This Row],[Body Mass Index]]&lt;30,"Overweight",
"Obese"))),"")</f>
        <v>Obese</v>
      </c>
      <c r="Z28" s="53" t="str">
        <f>IFERROR(
IF(tbl_abs[[#This Row],[Absenteeism time in hours]]&lt;=2,"0–2",
IF(tbl_abs[[#This Row],[Absenteeism time in hours]]&lt;=8,"3–8",
IF(tbl_abs[[#This Row],[Absenteeism time in hours]]&lt;=16,"9–16",
"17+"))),"")</f>
        <v>3–8</v>
      </c>
      <c r="AA28" s="49">
        <v>32</v>
      </c>
    </row>
    <row r="29" spans="1:27" ht="15" customHeight="1" x14ac:dyDescent="0.3">
      <c r="A29">
        <v>28</v>
      </c>
      <c r="B29">
        <v>23</v>
      </c>
      <c r="C29" s="1">
        <v>1</v>
      </c>
      <c r="D29">
        <v>4</v>
      </c>
      <c r="E29">
        <v>2</v>
      </c>
      <c r="F29">
        <v>225</v>
      </c>
      <c r="G29" s="1">
        <v>26</v>
      </c>
      <c r="H29">
        <v>9</v>
      </c>
      <c r="I29" s="1">
        <v>28</v>
      </c>
      <c r="J29" s="2">
        <v>330061</v>
      </c>
      <c r="K29">
        <v>100</v>
      </c>
      <c r="L29">
        <v>0</v>
      </c>
      <c r="M29">
        <v>1</v>
      </c>
      <c r="N29">
        <v>1</v>
      </c>
      <c r="O29">
        <v>0</v>
      </c>
      <c r="P29">
        <v>0</v>
      </c>
      <c r="Q29">
        <v>2</v>
      </c>
      <c r="R29">
        <v>69</v>
      </c>
      <c r="S29">
        <v>169</v>
      </c>
      <c r="T29">
        <v>24</v>
      </c>
      <c r="U29">
        <v>5</v>
      </c>
      <c r="V29" s="53" t="str">
        <f>IFERROR(
IF(tbl_abs[[#This Row],[Month of absence]]=0,"Unknown",
CHOOSE(tbl_abs[[#This Row],[Month of absence]],
"Jan","Feb","Mar","Apr","May","Jun","Jul","Aug","Sep","Oct","Nov","Dec")),"")</f>
        <v>Jan</v>
      </c>
      <c r="W29" s="53" t="str">
        <f>IFERROR(
IF(tbl_abs[[#This Row],[Age]]&lt;30,"&lt;30",
IF(tbl_abs[[#This Row],[Age]]&lt;40,"30–39",
IF(tbl_abs[[#This Row],[Age]]&lt;50,"40–49",
IF(tbl_abs[[#This Row],[Age]]&lt;60,"50–59",
"60+")))),"")</f>
        <v>&lt;30</v>
      </c>
      <c r="X29" s="53" t="str">
        <f>IFERROR(
IF(tbl_abs[[#This Row],[Distance from Residence to Work]]&lt;=5,"0–5",
IF(tbl_abs[[#This Row],[Distance from Residence to Work]]&lt;=10,"6–10",
IF(tbl_abs[[#This Row],[Distance from Residence to Work]]&lt;=20,"11–20",
"21+"))),"")</f>
        <v>21+</v>
      </c>
      <c r="Y29" s="53" t="str">
        <f>IFERROR(
IF(tbl_abs[[#This Row],[Body Mass Index]]&lt;18.5,"Underweight",
IF(tbl_abs[[#This Row],[Body Mass Index]]&lt;25,"Normal",
IF(tbl_abs[[#This Row],[Body Mass Index]]&lt;30,"Overweight",
"Obese"))),"")</f>
        <v>Normal</v>
      </c>
      <c r="Z29" s="53" t="str">
        <f>IFERROR(
IF(tbl_abs[[#This Row],[Absenteeism time in hours]]&lt;=2,"0–2",
IF(tbl_abs[[#This Row],[Absenteeism time in hours]]&lt;=8,"3–8",
IF(tbl_abs[[#This Row],[Absenteeism time in hours]]&lt;=16,"9–16",
"17+"))),"")</f>
        <v>3–8</v>
      </c>
      <c r="AA29" s="50">
        <v>9</v>
      </c>
    </row>
    <row r="30" spans="1:27" ht="15" customHeight="1" x14ac:dyDescent="0.3">
      <c r="A30">
        <v>34</v>
      </c>
      <c r="B30">
        <v>19</v>
      </c>
      <c r="C30" s="1">
        <v>1</v>
      </c>
      <c r="D30">
        <v>2</v>
      </c>
      <c r="E30">
        <v>2</v>
      </c>
      <c r="F30">
        <v>118</v>
      </c>
      <c r="G30" s="1">
        <v>10</v>
      </c>
      <c r="H30">
        <v>10</v>
      </c>
      <c r="I30" s="1">
        <v>37</v>
      </c>
      <c r="J30" s="2">
        <v>330061</v>
      </c>
      <c r="K30">
        <v>100</v>
      </c>
      <c r="L30">
        <v>0</v>
      </c>
      <c r="M30">
        <v>1</v>
      </c>
      <c r="N30">
        <v>0</v>
      </c>
      <c r="O30">
        <v>0</v>
      </c>
      <c r="P30">
        <v>0</v>
      </c>
      <c r="Q30">
        <v>0</v>
      </c>
      <c r="R30">
        <v>83</v>
      </c>
      <c r="S30">
        <v>172</v>
      </c>
      <c r="T30">
        <v>28</v>
      </c>
      <c r="U30">
        <v>32</v>
      </c>
      <c r="V30" s="53" t="str">
        <f>IFERROR(
IF(tbl_abs[[#This Row],[Month of absence]]=0,"Unknown",
CHOOSE(tbl_abs[[#This Row],[Month of absence]],
"Jan","Feb","Mar","Apr","May","Jun","Jul","Aug","Sep","Oct","Nov","Dec")),"")</f>
        <v>Jan</v>
      </c>
      <c r="W30" s="53" t="str">
        <f>IFERROR(
IF(tbl_abs[[#This Row],[Age]]&lt;30,"&lt;30",
IF(tbl_abs[[#This Row],[Age]]&lt;40,"30–39",
IF(tbl_abs[[#This Row],[Age]]&lt;50,"40–49",
IF(tbl_abs[[#This Row],[Age]]&lt;60,"50–59",
"60+")))),"")</f>
        <v>30–39</v>
      </c>
      <c r="X30" s="53" t="str">
        <f>IFERROR(
IF(tbl_abs[[#This Row],[Distance from Residence to Work]]&lt;=5,"0–5",
IF(tbl_abs[[#This Row],[Distance from Residence to Work]]&lt;=10,"6–10",
IF(tbl_abs[[#This Row],[Distance from Residence to Work]]&lt;=20,"11–20",
"21+"))),"")</f>
        <v>6–10</v>
      </c>
      <c r="Y30" s="53" t="str">
        <f>IFERROR(
IF(tbl_abs[[#This Row],[Body Mass Index]]&lt;18.5,"Underweight",
IF(tbl_abs[[#This Row],[Body Mass Index]]&lt;25,"Normal",
IF(tbl_abs[[#This Row],[Body Mass Index]]&lt;30,"Overweight",
"Obese"))),"")</f>
        <v>Overweight</v>
      </c>
      <c r="Z30" s="53" t="str">
        <f>IFERROR(
IF(tbl_abs[[#This Row],[Absenteeism time in hours]]&lt;=2,"0–2",
IF(tbl_abs[[#This Row],[Absenteeism time in hours]]&lt;=8,"3–8",
IF(tbl_abs[[#This Row],[Absenteeism time in hours]]&lt;=16,"9–16",
"17+"))),"")</f>
        <v>17+</v>
      </c>
      <c r="AA30" s="49">
        <v>26</v>
      </c>
    </row>
    <row r="31" spans="1:27" ht="15" customHeight="1" x14ac:dyDescent="0.3">
      <c r="A31">
        <v>14</v>
      </c>
      <c r="B31">
        <v>23</v>
      </c>
      <c r="C31" s="1">
        <v>1</v>
      </c>
      <c r="D31">
        <v>2</v>
      </c>
      <c r="E31">
        <v>2</v>
      </c>
      <c r="F31">
        <v>155</v>
      </c>
      <c r="G31" s="1">
        <v>12</v>
      </c>
      <c r="H31">
        <v>14</v>
      </c>
      <c r="I31" s="1">
        <v>34</v>
      </c>
      <c r="J31" s="2">
        <v>330061</v>
      </c>
      <c r="K31">
        <v>100</v>
      </c>
      <c r="L31">
        <v>0</v>
      </c>
      <c r="M31">
        <v>1</v>
      </c>
      <c r="N31">
        <v>2</v>
      </c>
      <c r="O31">
        <v>1</v>
      </c>
      <c r="P31">
        <v>0</v>
      </c>
      <c r="Q31">
        <v>0</v>
      </c>
      <c r="R31">
        <v>95</v>
      </c>
      <c r="S31">
        <v>196</v>
      </c>
      <c r="T31">
        <v>25</v>
      </c>
      <c r="U31">
        <v>2</v>
      </c>
      <c r="V31" s="53" t="str">
        <f>IFERROR(
IF(tbl_abs[[#This Row],[Month of absence]]=0,"Unknown",
CHOOSE(tbl_abs[[#This Row],[Month of absence]],
"Jan","Feb","Mar","Apr","May","Jun","Jul","Aug","Sep","Oct","Nov","Dec")),"")</f>
        <v>Jan</v>
      </c>
      <c r="W31" s="53" t="str">
        <f>IFERROR(
IF(tbl_abs[[#This Row],[Age]]&lt;30,"&lt;30",
IF(tbl_abs[[#This Row],[Age]]&lt;40,"30–39",
IF(tbl_abs[[#This Row],[Age]]&lt;50,"40–49",
IF(tbl_abs[[#This Row],[Age]]&lt;60,"50–59",
"60+")))),"")</f>
        <v>30–39</v>
      </c>
      <c r="X31" s="53" t="str">
        <f>IFERROR(
IF(tbl_abs[[#This Row],[Distance from Residence to Work]]&lt;=5,"0–5",
IF(tbl_abs[[#This Row],[Distance from Residence to Work]]&lt;=10,"6–10",
IF(tbl_abs[[#This Row],[Distance from Residence to Work]]&lt;=20,"11–20",
"21+"))),"")</f>
        <v>11–20</v>
      </c>
      <c r="Y31" s="53" t="str">
        <f>IFERROR(
IF(tbl_abs[[#This Row],[Body Mass Index]]&lt;18.5,"Underweight",
IF(tbl_abs[[#This Row],[Body Mass Index]]&lt;25,"Normal",
IF(tbl_abs[[#This Row],[Body Mass Index]]&lt;30,"Overweight",
"Obese"))),"")</f>
        <v>Overweight</v>
      </c>
      <c r="Z31" s="53" t="str">
        <f>IFERROR(
IF(tbl_abs[[#This Row],[Absenteeism time in hours]]&lt;=2,"0–2",
IF(tbl_abs[[#This Row],[Absenteeism time in hours]]&lt;=8,"3–8",
IF(tbl_abs[[#This Row],[Absenteeism time in hours]]&lt;=16,"9–16",
"17+"))),"")</f>
        <v>0–2</v>
      </c>
      <c r="AA31" s="50">
        <v>21</v>
      </c>
    </row>
    <row r="32" spans="1:27" ht="15" customHeight="1" x14ac:dyDescent="0.3">
      <c r="A32">
        <v>1</v>
      </c>
      <c r="B32">
        <v>13</v>
      </c>
      <c r="C32" s="1">
        <v>1</v>
      </c>
      <c r="D32">
        <v>3</v>
      </c>
      <c r="E32">
        <v>2</v>
      </c>
      <c r="F32">
        <v>235</v>
      </c>
      <c r="G32" s="1">
        <v>11</v>
      </c>
      <c r="H32">
        <v>14</v>
      </c>
      <c r="I32" s="1">
        <v>37</v>
      </c>
      <c r="J32" s="2">
        <v>330061</v>
      </c>
      <c r="K32">
        <v>100</v>
      </c>
      <c r="L32">
        <v>0</v>
      </c>
      <c r="M32">
        <v>3</v>
      </c>
      <c r="N32">
        <v>1</v>
      </c>
      <c r="O32">
        <v>0</v>
      </c>
      <c r="P32">
        <v>0</v>
      </c>
      <c r="Q32">
        <v>1</v>
      </c>
      <c r="R32">
        <v>88</v>
      </c>
      <c r="S32">
        <v>172</v>
      </c>
      <c r="T32">
        <v>29</v>
      </c>
      <c r="U32">
        <v>1</v>
      </c>
      <c r="V32" s="53" t="str">
        <f>IFERROR(
IF(tbl_abs[[#This Row],[Month of absence]]=0,"Unknown",
CHOOSE(tbl_abs[[#This Row],[Month of absence]],
"Jan","Feb","Mar","Apr","May","Jun","Jul","Aug","Sep","Oct","Nov","Dec")),"")</f>
        <v>Jan</v>
      </c>
      <c r="W32" s="53" t="str">
        <f>IFERROR(
IF(tbl_abs[[#This Row],[Age]]&lt;30,"&lt;30",
IF(tbl_abs[[#This Row],[Age]]&lt;40,"30–39",
IF(tbl_abs[[#This Row],[Age]]&lt;50,"40–49",
IF(tbl_abs[[#This Row],[Age]]&lt;60,"50–59",
"60+")))),"")</f>
        <v>30–39</v>
      </c>
      <c r="X32" s="53" t="str">
        <f>IFERROR(
IF(tbl_abs[[#This Row],[Distance from Residence to Work]]&lt;=5,"0–5",
IF(tbl_abs[[#This Row],[Distance from Residence to Work]]&lt;=10,"6–10",
IF(tbl_abs[[#This Row],[Distance from Residence to Work]]&lt;=20,"11–20",
"21+"))),"")</f>
        <v>11–20</v>
      </c>
      <c r="Y32" s="53" t="str">
        <f>IFERROR(
IF(tbl_abs[[#This Row],[Body Mass Index]]&lt;18.5,"Underweight",
IF(tbl_abs[[#This Row],[Body Mass Index]]&lt;25,"Normal",
IF(tbl_abs[[#This Row],[Body Mass Index]]&lt;30,"Overweight",
"Obese"))),"")</f>
        <v>Overweight</v>
      </c>
      <c r="Z32" s="53" t="str">
        <f>IFERROR(
IF(tbl_abs[[#This Row],[Absenteeism time in hours]]&lt;=2,"0–2",
IF(tbl_abs[[#This Row],[Absenteeism time in hours]]&lt;=8,"3–8",
IF(tbl_abs[[#This Row],[Absenteeism time in hours]]&lt;=16,"9–16",
"17+"))),"")</f>
        <v>0–2</v>
      </c>
      <c r="AA32" s="49">
        <v>8</v>
      </c>
    </row>
    <row r="33" spans="1:27" ht="15" customHeight="1" x14ac:dyDescent="0.3">
      <c r="A33">
        <v>14</v>
      </c>
      <c r="B33">
        <v>23</v>
      </c>
      <c r="C33" s="1">
        <v>1</v>
      </c>
      <c r="D33">
        <v>3</v>
      </c>
      <c r="E33">
        <v>2</v>
      </c>
      <c r="F33">
        <v>155</v>
      </c>
      <c r="G33" s="1">
        <v>12</v>
      </c>
      <c r="H33">
        <v>14</v>
      </c>
      <c r="I33" s="1">
        <v>34</v>
      </c>
      <c r="J33" s="2">
        <v>330061</v>
      </c>
      <c r="K33">
        <v>100</v>
      </c>
      <c r="L33">
        <v>0</v>
      </c>
      <c r="M33">
        <v>1</v>
      </c>
      <c r="N33">
        <v>2</v>
      </c>
      <c r="O33">
        <v>1</v>
      </c>
      <c r="P33">
        <v>0</v>
      </c>
      <c r="Q33">
        <v>0</v>
      </c>
      <c r="R33">
        <v>95</v>
      </c>
      <c r="S33">
        <v>196</v>
      </c>
      <c r="T33">
        <v>25</v>
      </c>
      <c r="U33">
        <v>4</v>
      </c>
      <c r="V33" s="53" t="str">
        <f>IFERROR(
IF(tbl_abs[[#This Row],[Month of absence]]=0,"Unknown",
CHOOSE(tbl_abs[[#This Row],[Month of absence]],
"Jan","Feb","Mar","Apr","May","Jun","Jul","Aug","Sep","Oct","Nov","Dec")),"")</f>
        <v>Jan</v>
      </c>
      <c r="W33" s="53" t="str">
        <f>IFERROR(
IF(tbl_abs[[#This Row],[Age]]&lt;30,"&lt;30",
IF(tbl_abs[[#This Row],[Age]]&lt;40,"30–39",
IF(tbl_abs[[#This Row],[Age]]&lt;50,"40–49",
IF(tbl_abs[[#This Row],[Age]]&lt;60,"50–59",
"60+")))),"")</f>
        <v>30–39</v>
      </c>
      <c r="X33" s="53" t="str">
        <f>IFERROR(
IF(tbl_abs[[#This Row],[Distance from Residence to Work]]&lt;=5,"0–5",
IF(tbl_abs[[#This Row],[Distance from Residence to Work]]&lt;=10,"6–10",
IF(tbl_abs[[#This Row],[Distance from Residence to Work]]&lt;=20,"11–20",
"21+"))),"")</f>
        <v>11–20</v>
      </c>
      <c r="Y33" s="53" t="str">
        <f>IFERROR(
IF(tbl_abs[[#This Row],[Body Mass Index]]&lt;18.5,"Underweight",
IF(tbl_abs[[#This Row],[Body Mass Index]]&lt;25,"Normal",
IF(tbl_abs[[#This Row],[Body Mass Index]]&lt;30,"Overweight",
"Obese"))),"")</f>
        <v>Overweight</v>
      </c>
      <c r="Z33" s="53" t="str">
        <f>IFERROR(
IF(tbl_abs[[#This Row],[Absenteeism time in hours]]&lt;=2,"0–2",
IF(tbl_abs[[#This Row],[Absenteeism time in hours]]&lt;=8,"3–8",
IF(tbl_abs[[#This Row],[Absenteeism time in hours]]&lt;=16,"9–16",
"17+"))),"")</f>
        <v>3–8</v>
      </c>
      <c r="AA33" s="49">
        <v>25</v>
      </c>
    </row>
    <row r="34" spans="1:27" ht="15" customHeight="1" x14ac:dyDescent="0.3">
      <c r="A34">
        <v>11</v>
      </c>
      <c r="B34">
        <v>26</v>
      </c>
      <c r="C34" s="1">
        <v>1</v>
      </c>
      <c r="D34">
        <v>2</v>
      </c>
      <c r="E34">
        <v>2</v>
      </c>
      <c r="F34">
        <v>289</v>
      </c>
      <c r="G34" s="1">
        <v>36</v>
      </c>
      <c r="H34">
        <v>13</v>
      </c>
      <c r="I34" s="1">
        <v>33</v>
      </c>
      <c r="J34" s="2">
        <v>330061</v>
      </c>
      <c r="K34">
        <v>100</v>
      </c>
      <c r="L34">
        <v>0</v>
      </c>
      <c r="M34">
        <v>1</v>
      </c>
      <c r="N34">
        <v>2</v>
      </c>
      <c r="O34">
        <v>1</v>
      </c>
      <c r="P34">
        <v>0</v>
      </c>
      <c r="Q34">
        <v>1</v>
      </c>
      <c r="R34">
        <v>90</v>
      </c>
      <c r="S34">
        <v>172</v>
      </c>
      <c r="T34">
        <v>30</v>
      </c>
      <c r="U34">
        <v>8</v>
      </c>
      <c r="V34" s="53" t="str">
        <f>IFERROR(
IF(tbl_abs[[#This Row],[Month of absence]]=0,"Unknown",
CHOOSE(tbl_abs[[#This Row],[Month of absence]],
"Jan","Feb","Mar","Apr","May","Jun","Jul","Aug","Sep","Oct","Nov","Dec")),"")</f>
        <v>Jan</v>
      </c>
      <c r="W34" s="53" t="str">
        <f>IFERROR(
IF(tbl_abs[[#This Row],[Age]]&lt;30,"&lt;30",
IF(tbl_abs[[#This Row],[Age]]&lt;40,"30–39",
IF(tbl_abs[[#This Row],[Age]]&lt;50,"40–49",
IF(tbl_abs[[#This Row],[Age]]&lt;60,"50–59",
"60+")))),"")</f>
        <v>30–39</v>
      </c>
      <c r="X34" s="53" t="str">
        <f>IFERROR(
IF(tbl_abs[[#This Row],[Distance from Residence to Work]]&lt;=5,"0–5",
IF(tbl_abs[[#This Row],[Distance from Residence to Work]]&lt;=10,"6–10",
IF(tbl_abs[[#This Row],[Distance from Residence to Work]]&lt;=20,"11–20",
"21+"))),"")</f>
        <v>21+</v>
      </c>
      <c r="Y34" s="53" t="str">
        <f>IFERROR(
IF(tbl_abs[[#This Row],[Body Mass Index]]&lt;18.5,"Underweight",
IF(tbl_abs[[#This Row],[Body Mass Index]]&lt;25,"Normal",
IF(tbl_abs[[#This Row],[Body Mass Index]]&lt;30,"Overweight",
"Obese"))),"")</f>
        <v>Obese</v>
      </c>
      <c r="Z34" s="53" t="str">
        <f>IFERROR(
IF(tbl_abs[[#This Row],[Absenteeism time in hours]]&lt;=2,"0–2",
IF(tbl_abs[[#This Row],[Absenteeism time in hours]]&lt;=8,"3–8",
IF(tbl_abs[[#This Row],[Absenteeism time in hours]]&lt;=16,"9–16",
"17+"))),"")</f>
        <v>3–8</v>
      </c>
      <c r="AA34" s="49">
        <v>12</v>
      </c>
    </row>
    <row r="35" spans="1:27" ht="15" customHeight="1" x14ac:dyDescent="0.3">
      <c r="A35">
        <v>15</v>
      </c>
      <c r="B35">
        <v>3</v>
      </c>
      <c r="C35" s="1">
        <v>1</v>
      </c>
      <c r="D35">
        <v>4</v>
      </c>
      <c r="E35">
        <v>2</v>
      </c>
      <c r="F35">
        <v>291</v>
      </c>
      <c r="G35" s="1">
        <v>31</v>
      </c>
      <c r="H35">
        <v>12</v>
      </c>
      <c r="I35" s="1">
        <v>40</v>
      </c>
      <c r="J35" s="2">
        <v>330061</v>
      </c>
      <c r="K35">
        <v>100</v>
      </c>
      <c r="L35">
        <v>0</v>
      </c>
      <c r="M35">
        <v>1</v>
      </c>
      <c r="N35">
        <v>1</v>
      </c>
      <c r="O35">
        <v>1</v>
      </c>
      <c r="P35">
        <v>0</v>
      </c>
      <c r="Q35">
        <v>1</v>
      </c>
      <c r="R35">
        <v>73</v>
      </c>
      <c r="S35">
        <v>171</v>
      </c>
      <c r="T35">
        <v>25</v>
      </c>
      <c r="U35">
        <v>8</v>
      </c>
      <c r="V35" s="53" t="str">
        <f>IFERROR(
IF(tbl_abs[[#This Row],[Month of absence]]=0,"Unknown",
CHOOSE(tbl_abs[[#This Row],[Month of absence]],
"Jan","Feb","Mar","Apr","May","Jun","Jul","Aug","Sep","Oct","Nov","Dec")),"")</f>
        <v>Jan</v>
      </c>
      <c r="W35" s="53" t="str">
        <f>IFERROR(
IF(tbl_abs[[#This Row],[Age]]&lt;30,"&lt;30",
IF(tbl_abs[[#This Row],[Age]]&lt;40,"30–39",
IF(tbl_abs[[#This Row],[Age]]&lt;50,"40–49",
IF(tbl_abs[[#This Row],[Age]]&lt;60,"50–59",
"60+")))),"")</f>
        <v>40–49</v>
      </c>
      <c r="X35" s="53" t="str">
        <f>IFERROR(
IF(tbl_abs[[#This Row],[Distance from Residence to Work]]&lt;=5,"0–5",
IF(tbl_abs[[#This Row],[Distance from Residence to Work]]&lt;=10,"6–10",
IF(tbl_abs[[#This Row],[Distance from Residence to Work]]&lt;=20,"11–20",
"21+"))),"")</f>
        <v>21+</v>
      </c>
      <c r="Y35" s="53" t="str">
        <f>IFERROR(
IF(tbl_abs[[#This Row],[Body Mass Index]]&lt;18.5,"Underweight",
IF(tbl_abs[[#This Row],[Body Mass Index]]&lt;25,"Normal",
IF(tbl_abs[[#This Row],[Body Mass Index]]&lt;30,"Overweight",
"Obese"))),"")</f>
        <v>Overweight</v>
      </c>
      <c r="Z35" s="53" t="str">
        <f>IFERROR(
IF(tbl_abs[[#This Row],[Absenteeism time in hours]]&lt;=2,"0–2",
IF(tbl_abs[[#This Row],[Absenteeism time in hours]]&lt;=8,"3–8",
IF(tbl_abs[[#This Row],[Absenteeism time in hours]]&lt;=16,"9–16",
"17+"))),"")</f>
        <v>3–8</v>
      </c>
      <c r="AA35" s="50">
        <v>16</v>
      </c>
    </row>
    <row r="36" spans="1:27" ht="15" customHeight="1" x14ac:dyDescent="0.3">
      <c r="A36">
        <v>5</v>
      </c>
      <c r="B36">
        <v>26</v>
      </c>
      <c r="C36" s="1">
        <v>1</v>
      </c>
      <c r="D36">
        <v>2</v>
      </c>
      <c r="E36">
        <v>2</v>
      </c>
      <c r="F36">
        <v>235</v>
      </c>
      <c r="G36" s="1">
        <v>20</v>
      </c>
      <c r="H36">
        <v>13</v>
      </c>
      <c r="I36" s="1">
        <v>43</v>
      </c>
      <c r="J36" s="2">
        <v>330061</v>
      </c>
      <c r="K36">
        <v>100</v>
      </c>
      <c r="L36">
        <v>0</v>
      </c>
      <c r="M36">
        <v>1</v>
      </c>
      <c r="N36">
        <v>1</v>
      </c>
      <c r="O36">
        <v>1</v>
      </c>
      <c r="P36">
        <v>0</v>
      </c>
      <c r="Q36">
        <v>0</v>
      </c>
      <c r="R36">
        <v>106</v>
      </c>
      <c r="S36">
        <v>167</v>
      </c>
      <c r="T36">
        <v>38</v>
      </c>
      <c r="U36">
        <v>8</v>
      </c>
      <c r="V36" s="53" t="str">
        <f>IFERROR(
IF(tbl_abs[[#This Row],[Month of absence]]=0,"Unknown",
CHOOSE(tbl_abs[[#This Row],[Month of absence]],
"Jan","Feb","Mar","Apr","May","Jun","Jul","Aug","Sep","Oct","Nov","Dec")),"")</f>
        <v>Jan</v>
      </c>
      <c r="W36" s="53" t="str">
        <f>IFERROR(
IF(tbl_abs[[#This Row],[Age]]&lt;30,"&lt;30",
IF(tbl_abs[[#This Row],[Age]]&lt;40,"30–39",
IF(tbl_abs[[#This Row],[Age]]&lt;50,"40–49",
IF(tbl_abs[[#This Row],[Age]]&lt;60,"50–59",
"60+")))),"")</f>
        <v>40–49</v>
      </c>
      <c r="X36" s="53" t="str">
        <f>IFERROR(
IF(tbl_abs[[#This Row],[Distance from Residence to Work]]&lt;=5,"0–5",
IF(tbl_abs[[#This Row],[Distance from Residence to Work]]&lt;=10,"6–10",
IF(tbl_abs[[#This Row],[Distance from Residence to Work]]&lt;=20,"11–20",
"21+"))),"")</f>
        <v>11–20</v>
      </c>
      <c r="Y36" s="53" t="str">
        <f>IFERROR(
IF(tbl_abs[[#This Row],[Body Mass Index]]&lt;18.5,"Underweight",
IF(tbl_abs[[#This Row],[Body Mass Index]]&lt;25,"Normal",
IF(tbl_abs[[#This Row],[Body Mass Index]]&lt;30,"Overweight",
"Obese"))),"")</f>
        <v>Obese</v>
      </c>
      <c r="Z36" s="53" t="str">
        <f>IFERROR(
IF(tbl_abs[[#This Row],[Absenteeism time in hours]]&lt;=2,"0–2",
IF(tbl_abs[[#This Row],[Absenteeism time in hours]]&lt;=8,"3–8",
IF(tbl_abs[[#This Row],[Absenteeism time in hours]]&lt;=16,"9–16",
"17+"))),"")</f>
        <v>3–8</v>
      </c>
      <c r="AA36" s="50">
        <v>4</v>
      </c>
    </row>
    <row r="37" spans="1:27" ht="15" customHeight="1" x14ac:dyDescent="0.3">
      <c r="A37">
        <v>36</v>
      </c>
      <c r="B37">
        <v>26</v>
      </c>
      <c r="C37" s="1">
        <v>1</v>
      </c>
      <c r="D37">
        <v>2</v>
      </c>
      <c r="E37">
        <v>2</v>
      </c>
      <c r="F37">
        <v>118</v>
      </c>
      <c r="G37" s="1">
        <v>13</v>
      </c>
      <c r="H37">
        <v>18</v>
      </c>
      <c r="I37" s="1">
        <v>50</v>
      </c>
      <c r="J37" s="2">
        <v>330061</v>
      </c>
      <c r="K37">
        <v>100</v>
      </c>
      <c r="L37">
        <v>0</v>
      </c>
      <c r="M37">
        <v>1</v>
      </c>
      <c r="N37">
        <v>1</v>
      </c>
      <c r="O37">
        <v>1</v>
      </c>
      <c r="P37">
        <v>0</v>
      </c>
      <c r="Q37">
        <v>0</v>
      </c>
      <c r="R37">
        <v>98</v>
      </c>
      <c r="S37">
        <v>178</v>
      </c>
      <c r="T37">
        <v>31</v>
      </c>
      <c r="U37">
        <v>4</v>
      </c>
      <c r="V37" s="53" t="str">
        <f>IFERROR(
IF(tbl_abs[[#This Row],[Month of absence]]=0,"Unknown",
CHOOSE(tbl_abs[[#This Row],[Month of absence]],
"Jan","Feb","Mar","Apr","May","Jun","Jul","Aug","Sep","Oct","Nov","Dec")),"")</f>
        <v>Jan</v>
      </c>
      <c r="W37" s="53" t="str">
        <f>IFERROR(
IF(tbl_abs[[#This Row],[Age]]&lt;30,"&lt;30",
IF(tbl_abs[[#This Row],[Age]]&lt;40,"30–39",
IF(tbl_abs[[#This Row],[Age]]&lt;50,"40–49",
IF(tbl_abs[[#This Row],[Age]]&lt;60,"50–59",
"60+")))),"")</f>
        <v>50–59</v>
      </c>
      <c r="X37" s="53" t="str">
        <f>IFERROR(
IF(tbl_abs[[#This Row],[Distance from Residence to Work]]&lt;=5,"0–5",
IF(tbl_abs[[#This Row],[Distance from Residence to Work]]&lt;=10,"6–10",
IF(tbl_abs[[#This Row],[Distance from Residence to Work]]&lt;=20,"11–20",
"21+"))),"")</f>
        <v>11–20</v>
      </c>
      <c r="Y37" s="53" t="str">
        <f>IFERROR(
IF(tbl_abs[[#This Row],[Body Mass Index]]&lt;18.5,"Underweight",
IF(tbl_abs[[#This Row],[Body Mass Index]]&lt;25,"Normal",
IF(tbl_abs[[#This Row],[Body Mass Index]]&lt;30,"Overweight",
"Obese"))),"")</f>
        <v>Obese</v>
      </c>
      <c r="Z37" s="53" t="str">
        <f>IFERROR(
IF(tbl_abs[[#This Row],[Absenteeism time in hours]]&lt;=2,"0–2",
IF(tbl_abs[[#This Row],[Absenteeism time in hours]]&lt;=8,"3–8",
IF(tbl_abs[[#This Row],[Absenteeism time in hours]]&lt;=16,"9–16",
"17+"))),"")</f>
        <v>3–8</v>
      </c>
      <c r="AA37" s="50">
        <v>35</v>
      </c>
    </row>
    <row r="38" spans="1:27" ht="15" customHeight="1" x14ac:dyDescent="0.3">
      <c r="A38">
        <v>3</v>
      </c>
      <c r="C38" s="1">
        <v>1</v>
      </c>
      <c r="D38">
        <v>4</v>
      </c>
      <c r="E38">
        <v>2</v>
      </c>
      <c r="F38">
        <v>179</v>
      </c>
      <c r="G38" s="1">
        <v>51</v>
      </c>
      <c r="H38">
        <v>18</v>
      </c>
      <c r="I38" s="1">
        <v>38</v>
      </c>
      <c r="J38" s="2">
        <v>330061</v>
      </c>
      <c r="K38">
        <v>100</v>
      </c>
      <c r="L38">
        <v>0</v>
      </c>
      <c r="M38">
        <v>1</v>
      </c>
      <c r="N38">
        <v>0</v>
      </c>
      <c r="O38">
        <v>1</v>
      </c>
      <c r="P38">
        <v>0</v>
      </c>
      <c r="Q38">
        <v>0</v>
      </c>
      <c r="R38">
        <v>89</v>
      </c>
      <c r="S38">
        <v>170</v>
      </c>
      <c r="T38">
        <v>31</v>
      </c>
      <c r="U38">
        <v>1</v>
      </c>
      <c r="V38" s="53" t="str">
        <f>IFERROR(
IF(tbl_abs[[#This Row],[Month of absence]]=0,"Unknown",
CHOOSE(tbl_abs[[#This Row],[Month of absence]],
"Jan","Feb","Mar","Apr","May","Jun","Jul","Aug","Sep","Oct","Nov","Dec")),"")</f>
        <v>Jan</v>
      </c>
      <c r="W38" s="53" t="str">
        <f>IFERROR(
IF(tbl_abs[[#This Row],[Age]]&lt;30,"&lt;30",
IF(tbl_abs[[#This Row],[Age]]&lt;40,"30–39",
IF(tbl_abs[[#This Row],[Age]]&lt;50,"40–49",
IF(tbl_abs[[#This Row],[Age]]&lt;60,"50–59",
"60+")))),"")</f>
        <v>30–39</v>
      </c>
      <c r="X38" s="53" t="str">
        <f>IFERROR(
IF(tbl_abs[[#This Row],[Distance from Residence to Work]]&lt;=5,"0–5",
IF(tbl_abs[[#This Row],[Distance from Residence to Work]]&lt;=10,"6–10",
IF(tbl_abs[[#This Row],[Distance from Residence to Work]]&lt;=20,"11–20",
"21+"))),"")</f>
        <v>21+</v>
      </c>
      <c r="Y38" s="53" t="str">
        <f>IFERROR(
IF(tbl_abs[[#This Row],[Body Mass Index]]&lt;18.5,"Underweight",
IF(tbl_abs[[#This Row],[Body Mass Index]]&lt;25,"Normal",
IF(tbl_abs[[#This Row],[Body Mass Index]]&lt;30,"Overweight",
"Obese"))),"")</f>
        <v>Obese</v>
      </c>
      <c r="Z38" s="53" t="str">
        <f>IFERROR(
IF(tbl_abs[[#This Row],[Absenteeism time in hours]]&lt;=2,"0–2",
IF(tbl_abs[[#This Row],[Absenteeism time in hours]]&lt;=8,"3–8",
IF(tbl_abs[[#This Row],[Absenteeism time in hours]]&lt;=16,"9–16",
"17+"))),"")</f>
        <v>0–2</v>
      </c>
    </row>
    <row r="39" spans="1:27" ht="15" customHeight="1" x14ac:dyDescent="0.3">
      <c r="A39">
        <v>3</v>
      </c>
      <c r="B39">
        <v>28</v>
      </c>
      <c r="C39" s="1">
        <v>1</v>
      </c>
      <c r="D39">
        <v>6</v>
      </c>
      <c r="E39">
        <v>2</v>
      </c>
      <c r="F39">
        <v>179</v>
      </c>
      <c r="G39" s="1">
        <v>51</v>
      </c>
      <c r="H39">
        <v>18</v>
      </c>
      <c r="I39" s="1">
        <v>38</v>
      </c>
      <c r="J39" s="2">
        <v>330061</v>
      </c>
      <c r="K39">
        <v>100</v>
      </c>
      <c r="L39">
        <v>0</v>
      </c>
      <c r="M39">
        <v>1</v>
      </c>
      <c r="N39">
        <v>0</v>
      </c>
      <c r="O39">
        <v>1</v>
      </c>
      <c r="P39">
        <v>0</v>
      </c>
      <c r="Q39">
        <v>0</v>
      </c>
      <c r="R39">
        <v>89</v>
      </c>
      <c r="S39">
        <v>170</v>
      </c>
      <c r="T39">
        <v>31</v>
      </c>
      <c r="U39">
        <v>1</v>
      </c>
      <c r="V39" s="53" t="str">
        <f>IFERROR(
IF(tbl_abs[[#This Row],[Month of absence]]=0,"Unknown",
CHOOSE(tbl_abs[[#This Row],[Month of absence]],
"Jan","Feb","Mar","Apr","May","Jun","Jul","Aug","Sep","Oct","Nov","Dec")),"")</f>
        <v>Jan</v>
      </c>
      <c r="W39" s="53" t="str">
        <f>IFERROR(
IF(tbl_abs[[#This Row],[Age]]&lt;30,"&lt;30",
IF(tbl_abs[[#This Row],[Age]]&lt;40,"30–39",
IF(tbl_abs[[#This Row],[Age]]&lt;50,"40–49",
IF(tbl_abs[[#This Row],[Age]]&lt;60,"50–59",
"60+")))),"")</f>
        <v>30–39</v>
      </c>
      <c r="X39" s="53" t="str">
        <f>IFERROR(
IF(tbl_abs[[#This Row],[Distance from Residence to Work]]&lt;=5,"0–5",
IF(tbl_abs[[#This Row],[Distance from Residence to Work]]&lt;=10,"6–10",
IF(tbl_abs[[#This Row],[Distance from Residence to Work]]&lt;=20,"11–20",
"21+"))),"")</f>
        <v>21+</v>
      </c>
      <c r="Y39" s="53" t="str">
        <f>IFERROR(
IF(tbl_abs[[#This Row],[Body Mass Index]]&lt;18.5,"Underweight",
IF(tbl_abs[[#This Row],[Body Mass Index]]&lt;25,"Normal",
IF(tbl_abs[[#This Row],[Body Mass Index]]&lt;30,"Overweight",
"Obese"))),"")</f>
        <v>Obese</v>
      </c>
      <c r="Z39" s="53" t="str">
        <f>IFERROR(
IF(tbl_abs[[#This Row],[Absenteeism time in hours]]&lt;=2,"0–2",
IF(tbl_abs[[#This Row],[Absenteeism time in hours]]&lt;=8,"3–8",
IF(tbl_abs[[#This Row],[Absenteeism time in hours]]&lt;=16,"9–16",
"17+"))),"")</f>
        <v>0–2</v>
      </c>
    </row>
    <row r="40" spans="1:27" ht="15" customHeight="1" x14ac:dyDescent="0.3">
      <c r="A40">
        <v>22</v>
      </c>
      <c r="B40">
        <v>12</v>
      </c>
      <c r="C40" s="1">
        <v>1</v>
      </c>
      <c r="D40">
        <v>2</v>
      </c>
      <c r="E40">
        <v>2</v>
      </c>
      <c r="F40">
        <v>179</v>
      </c>
      <c r="G40" s="1">
        <v>26</v>
      </c>
      <c r="H40">
        <v>9</v>
      </c>
      <c r="I40" s="1">
        <v>30</v>
      </c>
      <c r="J40" s="2">
        <v>313532</v>
      </c>
      <c r="K40">
        <v>96</v>
      </c>
      <c r="L40">
        <v>0</v>
      </c>
      <c r="M40">
        <v>3</v>
      </c>
      <c r="N40">
        <v>0</v>
      </c>
      <c r="O40">
        <v>0</v>
      </c>
      <c r="P40">
        <v>0</v>
      </c>
      <c r="Q40">
        <v>0</v>
      </c>
      <c r="R40">
        <v>56</v>
      </c>
      <c r="S40">
        <v>171</v>
      </c>
      <c r="T40">
        <v>19</v>
      </c>
      <c r="U40">
        <v>24</v>
      </c>
      <c r="V40" s="53" t="str">
        <f>IFERROR(
IF(tbl_abs[[#This Row],[Month of absence]]=0,"Unknown",
CHOOSE(tbl_abs[[#This Row],[Month of absence]],
"Jan","Feb","Mar","Apr","May","Jun","Jul","Aug","Sep","Oct","Nov","Dec")),"")</f>
        <v>Jan</v>
      </c>
      <c r="W40" s="53" t="str">
        <f>IFERROR(
IF(tbl_abs[[#This Row],[Age]]&lt;30,"&lt;30",
IF(tbl_abs[[#This Row],[Age]]&lt;40,"30–39",
IF(tbl_abs[[#This Row],[Age]]&lt;50,"40–49",
IF(tbl_abs[[#This Row],[Age]]&lt;60,"50–59",
"60+")))),"")</f>
        <v>30–39</v>
      </c>
      <c r="X40" s="53" t="str">
        <f>IFERROR(
IF(tbl_abs[[#This Row],[Distance from Residence to Work]]&lt;=5,"0–5",
IF(tbl_abs[[#This Row],[Distance from Residence to Work]]&lt;=10,"6–10",
IF(tbl_abs[[#This Row],[Distance from Residence to Work]]&lt;=20,"11–20",
"21+"))),"")</f>
        <v>21+</v>
      </c>
      <c r="Y40" s="53" t="str">
        <f>IFERROR(
IF(tbl_abs[[#This Row],[Body Mass Index]]&lt;18.5,"Underweight",
IF(tbl_abs[[#This Row],[Body Mass Index]]&lt;25,"Normal",
IF(tbl_abs[[#This Row],[Body Mass Index]]&lt;30,"Overweight",
"Obese"))),"")</f>
        <v>Normal</v>
      </c>
      <c r="Z40" s="53" t="str">
        <f>IFERROR(
IF(tbl_abs[[#This Row],[Absenteeism time in hours]]&lt;=2,"0–2",
IF(tbl_abs[[#This Row],[Absenteeism time in hours]]&lt;=8,"3–8",
IF(tbl_abs[[#This Row],[Absenteeism time in hours]]&lt;=16,"9–16",
"17+"))),"")</f>
        <v>17+</v>
      </c>
    </row>
    <row r="41" spans="1:27" ht="15" customHeight="1" x14ac:dyDescent="0.3">
      <c r="A41">
        <v>22</v>
      </c>
      <c r="B41">
        <v>12</v>
      </c>
      <c r="C41" s="1">
        <v>1</v>
      </c>
      <c r="D41">
        <v>5</v>
      </c>
      <c r="E41">
        <v>2</v>
      </c>
      <c r="F41">
        <v>179</v>
      </c>
      <c r="G41" s="1">
        <v>26</v>
      </c>
      <c r="H41">
        <v>9</v>
      </c>
      <c r="I41" s="1">
        <v>30</v>
      </c>
      <c r="J41" s="2">
        <v>313532</v>
      </c>
      <c r="K41">
        <v>96</v>
      </c>
      <c r="L41">
        <v>0</v>
      </c>
      <c r="M41">
        <v>3</v>
      </c>
      <c r="N41">
        <v>0</v>
      </c>
      <c r="O41">
        <v>0</v>
      </c>
      <c r="P41">
        <v>0</v>
      </c>
      <c r="Q41">
        <v>0</v>
      </c>
      <c r="R41">
        <v>56</v>
      </c>
      <c r="S41">
        <v>171</v>
      </c>
      <c r="T41">
        <v>19</v>
      </c>
      <c r="U41">
        <v>16</v>
      </c>
      <c r="V41" s="53" t="str">
        <f>IFERROR(
IF(tbl_abs[[#This Row],[Month of absence]]=0,"Unknown",
CHOOSE(tbl_abs[[#This Row],[Month of absence]],
"Jan","Feb","Mar","Apr","May","Jun","Jul","Aug","Sep","Oct","Nov","Dec")),"")</f>
        <v>Jan</v>
      </c>
      <c r="W41" s="53" t="str">
        <f>IFERROR(
IF(tbl_abs[[#This Row],[Age]]&lt;30,"&lt;30",
IF(tbl_abs[[#This Row],[Age]]&lt;40,"30–39",
IF(tbl_abs[[#This Row],[Age]]&lt;50,"40–49",
IF(tbl_abs[[#This Row],[Age]]&lt;60,"50–59",
"60+")))),"")</f>
        <v>30–39</v>
      </c>
      <c r="X41" s="53" t="str">
        <f>IFERROR(
IF(tbl_abs[[#This Row],[Distance from Residence to Work]]&lt;=5,"0–5",
IF(tbl_abs[[#This Row],[Distance from Residence to Work]]&lt;=10,"6–10",
IF(tbl_abs[[#This Row],[Distance from Residence to Work]]&lt;=20,"11–20",
"21+"))),"")</f>
        <v>21+</v>
      </c>
      <c r="Y41" s="53" t="str">
        <f>IFERROR(
IF(tbl_abs[[#This Row],[Body Mass Index]]&lt;18.5,"Underweight",
IF(tbl_abs[[#This Row],[Body Mass Index]]&lt;25,"Normal",
IF(tbl_abs[[#This Row],[Body Mass Index]]&lt;30,"Overweight",
"Obese"))),"")</f>
        <v>Normal</v>
      </c>
      <c r="Z41" s="53" t="str">
        <f>IFERROR(
IF(tbl_abs[[#This Row],[Absenteeism time in hours]]&lt;=2,"0–2",
IF(tbl_abs[[#This Row],[Absenteeism time in hours]]&lt;=8,"3–8",
IF(tbl_abs[[#This Row],[Absenteeism time in hours]]&lt;=16,"9–16",
"17+"))),"")</f>
        <v>9–16</v>
      </c>
    </row>
    <row r="42" spans="1:27" ht="15" customHeight="1" x14ac:dyDescent="0.3">
      <c r="A42">
        <v>17</v>
      </c>
      <c r="B42">
        <v>25</v>
      </c>
      <c r="C42" s="1">
        <v>1</v>
      </c>
      <c r="D42">
        <v>5</v>
      </c>
      <c r="E42">
        <v>2</v>
      </c>
      <c r="F42">
        <v>179</v>
      </c>
      <c r="G42" s="1">
        <v>22</v>
      </c>
      <c r="H42">
        <v>17</v>
      </c>
      <c r="I42" s="1">
        <v>40</v>
      </c>
      <c r="J42" s="2">
        <v>313532</v>
      </c>
      <c r="K42">
        <v>96</v>
      </c>
      <c r="L42">
        <v>0</v>
      </c>
      <c r="M42">
        <v>2</v>
      </c>
      <c r="N42">
        <v>2</v>
      </c>
      <c r="O42">
        <v>0</v>
      </c>
      <c r="P42">
        <v>1</v>
      </c>
      <c r="Q42">
        <v>0</v>
      </c>
      <c r="R42">
        <v>63</v>
      </c>
      <c r="S42">
        <v>170</v>
      </c>
      <c r="T42">
        <v>22</v>
      </c>
      <c r="U42">
        <v>2</v>
      </c>
      <c r="V42" s="53" t="str">
        <f>IFERROR(
IF(tbl_abs[[#This Row],[Month of absence]]=0,"Unknown",
CHOOSE(tbl_abs[[#This Row],[Month of absence]],
"Jan","Feb","Mar","Apr","May","Jun","Jul","Aug","Sep","Oct","Nov","Dec")),"")</f>
        <v>Jan</v>
      </c>
      <c r="W42" s="53" t="str">
        <f>IFERROR(
IF(tbl_abs[[#This Row],[Age]]&lt;30,"&lt;30",
IF(tbl_abs[[#This Row],[Age]]&lt;40,"30–39",
IF(tbl_abs[[#This Row],[Age]]&lt;50,"40–49",
IF(tbl_abs[[#This Row],[Age]]&lt;60,"50–59",
"60+")))),"")</f>
        <v>40–49</v>
      </c>
      <c r="X42" s="53" t="str">
        <f>IFERROR(
IF(tbl_abs[[#This Row],[Distance from Residence to Work]]&lt;=5,"0–5",
IF(tbl_abs[[#This Row],[Distance from Residence to Work]]&lt;=10,"6–10",
IF(tbl_abs[[#This Row],[Distance from Residence to Work]]&lt;=20,"11–20",
"21+"))),"")</f>
        <v>21+</v>
      </c>
      <c r="Y42" s="53" t="str">
        <f>IFERROR(
IF(tbl_abs[[#This Row],[Body Mass Index]]&lt;18.5,"Underweight",
IF(tbl_abs[[#This Row],[Body Mass Index]]&lt;25,"Normal",
IF(tbl_abs[[#This Row],[Body Mass Index]]&lt;30,"Overweight",
"Obese"))),"")</f>
        <v>Normal</v>
      </c>
      <c r="Z42" s="53" t="str">
        <f>IFERROR(
IF(tbl_abs[[#This Row],[Absenteeism time in hours]]&lt;=2,"0–2",
IF(tbl_abs[[#This Row],[Absenteeism time in hours]]&lt;=8,"3–8",
IF(tbl_abs[[#This Row],[Absenteeism time in hours]]&lt;=16,"9–16",
"17+"))),"")</f>
        <v>0–2</v>
      </c>
    </row>
    <row r="43" spans="1:27" ht="15" customHeight="1" x14ac:dyDescent="0.3">
      <c r="A43">
        <v>17</v>
      </c>
      <c r="B43">
        <v>25</v>
      </c>
      <c r="C43" s="1">
        <v>1</v>
      </c>
      <c r="D43">
        <v>6</v>
      </c>
      <c r="E43">
        <v>2</v>
      </c>
      <c r="F43">
        <v>179</v>
      </c>
      <c r="G43" s="1">
        <v>22</v>
      </c>
      <c r="H43">
        <v>17</v>
      </c>
      <c r="I43" s="1">
        <v>40</v>
      </c>
      <c r="J43" s="2">
        <v>313532</v>
      </c>
      <c r="K43">
        <v>96</v>
      </c>
      <c r="L43">
        <v>0</v>
      </c>
      <c r="M43">
        <v>2</v>
      </c>
      <c r="N43">
        <v>2</v>
      </c>
      <c r="O43">
        <v>0</v>
      </c>
      <c r="P43">
        <v>1</v>
      </c>
      <c r="Q43">
        <v>0</v>
      </c>
      <c r="R43">
        <v>63</v>
      </c>
      <c r="S43">
        <v>170</v>
      </c>
      <c r="T43">
        <v>22</v>
      </c>
      <c r="U43">
        <v>2</v>
      </c>
      <c r="V43" s="53" t="str">
        <f>IFERROR(
IF(tbl_abs[[#This Row],[Month of absence]]=0,"Unknown",
CHOOSE(tbl_abs[[#This Row],[Month of absence]],
"Jan","Feb","Mar","Apr","May","Jun","Jul","Aug","Sep","Oct","Nov","Dec")),"")</f>
        <v>Jan</v>
      </c>
      <c r="W43" s="53" t="str">
        <f>IFERROR(
IF(tbl_abs[[#This Row],[Age]]&lt;30,"&lt;30",
IF(tbl_abs[[#This Row],[Age]]&lt;40,"30–39",
IF(tbl_abs[[#This Row],[Age]]&lt;50,"40–49",
IF(tbl_abs[[#This Row],[Age]]&lt;60,"50–59",
"60+")))),"")</f>
        <v>40–49</v>
      </c>
      <c r="X43" s="53" t="str">
        <f>IFERROR(
IF(tbl_abs[[#This Row],[Distance from Residence to Work]]&lt;=5,"0–5",
IF(tbl_abs[[#This Row],[Distance from Residence to Work]]&lt;=10,"6–10",
IF(tbl_abs[[#This Row],[Distance from Residence to Work]]&lt;=20,"11–20",
"21+"))),"")</f>
        <v>21+</v>
      </c>
      <c r="Y43" s="53" t="str">
        <f>IFERROR(
IF(tbl_abs[[#This Row],[Body Mass Index]]&lt;18.5,"Underweight",
IF(tbl_abs[[#This Row],[Body Mass Index]]&lt;25,"Normal",
IF(tbl_abs[[#This Row],[Body Mass Index]]&lt;30,"Overweight",
"Obese"))),"")</f>
        <v>Normal</v>
      </c>
      <c r="Z43" s="53" t="str">
        <f>IFERROR(
IF(tbl_abs[[#This Row],[Absenteeism time in hours]]&lt;=2,"0–2",
IF(tbl_abs[[#This Row],[Absenteeism time in hours]]&lt;=8,"3–8",
IF(tbl_abs[[#This Row],[Absenteeism time in hours]]&lt;=16,"9–16",
"17+"))),"")</f>
        <v>0–2</v>
      </c>
    </row>
    <row r="44" spans="1:27" ht="15" customHeight="1" x14ac:dyDescent="0.3">
      <c r="A44">
        <v>22</v>
      </c>
      <c r="B44">
        <v>13</v>
      </c>
      <c r="C44" s="1">
        <v>1</v>
      </c>
      <c r="D44">
        <v>2</v>
      </c>
      <c r="E44">
        <v>2</v>
      </c>
      <c r="F44">
        <v>179</v>
      </c>
      <c r="G44" s="1">
        <v>26</v>
      </c>
      <c r="H44">
        <v>9</v>
      </c>
      <c r="I44" s="1">
        <v>30</v>
      </c>
      <c r="J44" s="2">
        <v>313532</v>
      </c>
      <c r="K44">
        <v>96</v>
      </c>
      <c r="L44">
        <v>0</v>
      </c>
      <c r="M44">
        <v>3</v>
      </c>
      <c r="N44">
        <v>0</v>
      </c>
      <c r="O44">
        <v>0</v>
      </c>
      <c r="P44">
        <v>0</v>
      </c>
      <c r="Q44">
        <v>0</v>
      </c>
      <c r="R44">
        <v>56</v>
      </c>
      <c r="S44">
        <v>171</v>
      </c>
      <c r="T44">
        <v>19</v>
      </c>
      <c r="U44">
        <v>3</v>
      </c>
      <c r="V44" s="53" t="str">
        <f>IFERROR(
IF(tbl_abs[[#This Row],[Month of absence]]=0,"Unknown",
CHOOSE(tbl_abs[[#This Row],[Month of absence]],
"Jan","Feb","Mar","Apr","May","Jun","Jul","Aug","Sep","Oct","Nov","Dec")),"")</f>
        <v>Jan</v>
      </c>
      <c r="W44" s="53" t="str">
        <f>IFERROR(
IF(tbl_abs[[#This Row],[Age]]&lt;30,"&lt;30",
IF(tbl_abs[[#This Row],[Age]]&lt;40,"30–39",
IF(tbl_abs[[#This Row],[Age]]&lt;50,"40–49",
IF(tbl_abs[[#This Row],[Age]]&lt;60,"50–59",
"60+")))),"")</f>
        <v>30–39</v>
      </c>
      <c r="X44" s="53" t="str">
        <f>IFERROR(
IF(tbl_abs[[#This Row],[Distance from Residence to Work]]&lt;=5,"0–5",
IF(tbl_abs[[#This Row],[Distance from Residence to Work]]&lt;=10,"6–10",
IF(tbl_abs[[#This Row],[Distance from Residence to Work]]&lt;=20,"11–20",
"21+"))),"")</f>
        <v>21+</v>
      </c>
      <c r="Y44" s="53" t="str">
        <f>IFERROR(
IF(tbl_abs[[#This Row],[Body Mass Index]]&lt;18.5,"Underweight",
IF(tbl_abs[[#This Row],[Body Mass Index]]&lt;25,"Normal",
IF(tbl_abs[[#This Row],[Body Mass Index]]&lt;30,"Overweight",
"Obese"))),"")</f>
        <v>Normal</v>
      </c>
      <c r="Z44" s="53" t="str">
        <f>IFERROR(
IF(tbl_abs[[#This Row],[Absenteeism time in hours]]&lt;=2,"0–2",
IF(tbl_abs[[#This Row],[Absenteeism time in hours]]&lt;=8,"3–8",
IF(tbl_abs[[#This Row],[Absenteeism time in hours]]&lt;=16,"9–16",
"17+"))),"")</f>
        <v>3–8</v>
      </c>
    </row>
    <row r="45" spans="1:27" ht="15" customHeight="1" x14ac:dyDescent="0.3">
      <c r="A45">
        <v>17</v>
      </c>
      <c r="B45">
        <v>25</v>
      </c>
      <c r="C45" s="1">
        <v>1</v>
      </c>
      <c r="D45">
        <v>4</v>
      </c>
      <c r="E45">
        <v>2</v>
      </c>
      <c r="F45">
        <v>179</v>
      </c>
      <c r="G45" s="1">
        <v>22</v>
      </c>
      <c r="H45">
        <v>17</v>
      </c>
      <c r="I45" s="1">
        <v>40</v>
      </c>
      <c r="J45" s="2">
        <v>313532</v>
      </c>
      <c r="K45">
        <v>96</v>
      </c>
      <c r="L45">
        <v>0</v>
      </c>
      <c r="M45">
        <v>2</v>
      </c>
      <c r="N45">
        <v>2</v>
      </c>
      <c r="O45">
        <v>0</v>
      </c>
      <c r="P45">
        <v>1</v>
      </c>
      <c r="Q45">
        <v>0</v>
      </c>
      <c r="R45">
        <v>63</v>
      </c>
      <c r="S45">
        <v>170</v>
      </c>
      <c r="T45">
        <v>22</v>
      </c>
      <c r="U45">
        <v>2</v>
      </c>
      <c r="V45" s="53" t="str">
        <f>IFERROR(
IF(tbl_abs[[#This Row],[Month of absence]]=0,"Unknown",
CHOOSE(tbl_abs[[#This Row],[Month of absence]],
"Jan","Feb","Mar","Apr","May","Jun","Jul","Aug","Sep","Oct","Nov","Dec")),"")</f>
        <v>Jan</v>
      </c>
      <c r="W45" s="53" t="str">
        <f>IFERROR(
IF(tbl_abs[[#This Row],[Age]]&lt;30,"&lt;30",
IF(tbl_abs[[#This Row],[Age]]&lt;40,"30–39",
IF(tbl_abs[[#This Row],[Age]]&lt;50,"40–49",
IF(tbl_abs[[#This Row],[Age]]&lt;60,"50–59",
"60+")))),"")</f>
        <v>40–49</v>
      </c>
      <c r="X45" s="53" t="str">
        <f>IFERROR(
IF(tbl_abs[[#This Row],[Distance from Residence to Work]]&lt;=5,"0–5",
IF(tbl_abs[[#This Row],[Distance from Residence to Work]]&lt;=10,"6–10",
IF(tbl_abs[[#This Row],[Distance from Residence to Work]]&lt;=20,"11–20",
"21+"))),"")</f>
        <v>21+</v>
      </c>
      <c r="Y45" s="53" t="str">
        <f>IFERROR(
IF(tbl_abs[[#This Row],[Body Mass Index]]&lt;18.5,"Underweight",
IF(tbl_abs[[#This Row],[Body Mass Index]]&lt;25,"Normal",
IF(tbl_abs[[#This Row],[Body Mass Index]]&lt;30,"Overweight",
"Obese"))),"")</f>
        <v>Normal</v>
      </c>
      <c r="Z45" s="53" t="str">
        <f>IFERROR(
IF(tbl_abs[[#This Row],[Absenteeism time in hours]]&lt;=2,"0–2",
IF(tbl_abs[[#This Row],[Absenteeism time in hours]]&lt;=8,"3–8",
IF(tbl_abs[[#This Row],[Absenteeism time in hours]]&lt;=16,"9–16",
"17+"))),"")</f>
        <v>0–2</v>
      </c>
    </row>
    <row r="46" spans="1:27" ht="15" customHeight="1" x14ac:dyDescent="0.3">
      <c r="A46">
        <v>32</v>
      </c>
      <c r="B46">
        <v>10</v>
      </c>
      <c r="C46" s="1">
        <v>1</v>
      </c>
      <c r="D46">
        <v>5</v>
      </c>
      <c r="E46">
        <v>2</v>
      </c>
      <c r="F46">
        <v>289</v>
      </c>
      <c r="G46" s="1">
        <v>48</v>
      </c>
      <c r="H46">
        <v>29</v>
      </c>
      <c r="I46" s="1">
        <v>49</v>
      </c>
      <c r="J46" s="2">
        <v>313532</v>
      </c>
      <c r="K46">
        <v>96</v>
      </c>
      <c r="L46">
        <v>0</v>
      </c>
      <c r="M46">
        <v>1</v>
      </c>
      <c r="N46">
        <v>0</v>
      </c>
      <c r="O46">
        <v>0</v>
      </c>
      <c r="P46">
        <v>0</v>
      </c>
      <c r="Q46">
        <v>2</v>
      </c>
      <c r="R46">
        <v>108</v>
      </c>
      <c r="S46">
        <v>172</v>
      </c>
      <c r="T46">
        <v>36</v>
      </c>
      <c r="U46">
        <v>8</v>
      </c>
      <c r="V46" s="53" t="str">
        <f>IFERROR(
IF(tbl_abs[[#This Row],[Month of absence]]=0,"Unknown",
CHOOSE(tbl_abs[[#This Row],[Month of absence]],
"Jan","Feb","Mar","Apr","May","Jun","Jul","Aug","Sep","Oct","Nov","Dec")),"")</f>
        <v>Jan</v>
      </c>
      <c r="W46" s="53" t="str">
        <f>IFERROR(
IF(tbl_abs[[#This Row],[Age]]&lt;30,"&lt;30",
IF(tbl_abs[[#This Row],[Age]]&lt;40,"30–39",
IF(tbl_abs[[#This Row],[Age]]&lt;50,"40–49",
IF(tbl_abs[[#This Row],[Age]]&lt;60,"50–59",
"60+")))),"")</f>
        <v>40–49</v>
      </c>
      <c r="X46" s="53" t="str">
        <f>IFERROR(
IF(tbl_abs[[#This Row],[Distance from Residence to Work]]&lt;=5,"0–5",
IF(tbl_abs[[#This Row],[Distance from Residence to Work]]&lt;=10,"6–10",
IF(tbl_abs[[#This Row],[Distance from Residence to Work]]&lt;=20,"11–20",
"21+"))),"")</f>
        <v>21+</v>
      </c>
      <c r="Y46" s="53" t="str">
        <f>IFERROR(
IF(tbl_abs[[#This Row],[Body Mass Index]]&lt;18.5,"Underweight",
IF(tbl_abs[[#This Row],[Body Mass Index]]&lt;25,"Normal",
IF(tbl_abs[[#This Row],[Body Mass Index]]&lt;30,"Overweight",
"Obese"))),"")</f>
        <v>Obese</v>
      </c>
      <c r="Z46" s="53" t="str">
        <f>IFERROR(
IF(tbl_abs[[#This Row],[Absenteeism time in hours]]&lt;=2,"0–2",
IF(tbl_abs[[#This Row],[Absenteeism time in hours]]&lt;=8,"3–8",
IF(tbl_abs[[#This Row],[Absenteeism time in hours]]&lt;=16,"9–16",
"17+"))),"")</f>
        <v>3–8</v>
      </c>
    </row>
    <row r="47" spans="1:27" ht="15" customHeight="1" x14ac:dyDescent="0.3">
      <c r="A47">
        <v>17</v>
      </c>
      <c r="B47">
        <v>18</v>
      </c>
      <c r="C47" s="1">
        <v>1</v>
      </c>
      <c r="D47">
        <v>6</v>
      </c>
      <c r="E47">
        <v>2</v>
      </c>
      <c r="F47">
        <v>179</v>
      </c>
      <c r="G47" s="1">
        <v>22</v>
      </c>
      <c r="H47">
        <v>17</v>
      </c>
      <c r="I47" s="1">
        <v>40</v>
      </c>
      <c r="J47" s="2">
        <v>313532</v>
      </c>
      <c r="K47">
        <v>96</v>
      </c>
      <c r="L47">
        <v>0</v>
      </c>
      <c r="M47">
        <v>2</v>
      </c>
      <c r="N47">
        <v>2</v>
      </c>
      <c r="O47">
        <v>0</v>
      </c>
      <c r="P47">
        <v>1</v>
      </c>
      <c r="Q47">
        <v>0</v>
      </c>
      <c r="R47">
        <v>63</v>
      </c>
      <c r="S47">
        <v>170</v>
      </c>
      <c r="T47">
        <v>22</v>
      </c>
      <c r="U47">
        <v>3</v>
      </c>
      <c r="V47" s="53" t="str">
        <f>IFERROR(
IF(tbl_abs[[#This Row],[Month of absence]]=0,"Unknown",
CHOOSE(tbl_abs[[#This Row],[Month of absence]],
"Jan","Feb","Mar","Apr","May","Jun","Jul","Aug","Sep","Oct","Nov","Dec")),"")</f>
        <v>Jan</v>
      </c>
      <c r="W47" s="53" t="str">
        <f>IFERROR(
IF(tbl_abs[[#This Row],[Age]]&lt;30,"&lt;30",
IF(tbl_abs[[#This Row],[Age]]&lt;40,"30–39",
IF(tbl_abs[[#This Row],[Age]]&lt;50,"40–49",
IF(tbl_abs[[#This Row],[Age]]&lt;60,"50–59",
"60+")))),"")</f>
        <v>40–49</v>
      </c>
      <c r="X47" s="53" t="str">
        <f>IFERROR(
IF(tbl_abs[[#This Row],[Distance from Residence to Work]]&lt;=5,"0–5",
IF(tbl_abs[[#This Row],[Distance from Residence to Work]]&lt;=10,"6–10",
IF(tbl_abs[[#This Row],[Distance from Residence to Work]]&lt;=20,"11–20",
"21+"))),"")</f>
        <v>21+</v>
      </c>
      <c r="Y47" s="53" t="str">
        <f>IFERROR(
IF(tbl_abs[[#This Row],[Body Mass Index]]&lt;18.5,"Underweight",
IF(tbl_abs[[#This Row],[Body Mass Index]]&lt;25,"Normal",
IF(tbl_abs[[#This Row],[Body Mass Index]]&lt;30,"Overweight",
"Obese"))),"")</f>
        <v>Normal</v>
      </c>
      <c r="Z47" s="53" t="str">
        <f>IFERROR(
IF(tbl_abs[[#This Row],[Absenteeism time in hours]]&lt;=2,"0–2",
IF(tbl_abs[[#This Row],[Absenteeism time in hours]]&lt;=8,"3–8",
IF(tbl_abs[[#This Row],[Absenteeism time in hours]]&lt;=16,"9–16",
"17+"))),"")</f>
        <v>3–8</v>
      </c>
    </row>
    <row r="48" spans="1:27" ht="15" customHeight="1" x14ac:dyDescent="0.3">
      <c r="A48">
        <v>22</v>
      </c>
      <c r="B48">
        <v>27</v>
      </c>
      <c r="C48" s="1">
        <v>1</v>
      </c>
      <c r="D48">
        <v>2</v>
      </c>
      <c r="E48">
        <v>2</v>
      </c>
      <c r="F48">
        <v>179</v>
      </c>
      <c r="G48" s="1">
        <v>26</v>
      </c>
      <c r="H48">
        <v>9</v>
      </c>
      <c r="I48" s="1">
        <v>30</v>
      </c>
      <c r="J48" s="2">
        <v>313532</v>
      </c>
      <c r="K48">
        <v>96</v>
      </c>
      <c r="L48">
        <v>0</v>
      </c>
      <c r="M48">
        <v>3</v>
      </c>
      <c r="N48">
        <v>0</v>
      </c>
      <c r="O48">
        <v>0</v>
      </c>
      <c r="P48">
        <v>0</v>
      </c>
      <c r="Q48">
        <v>0</v>
      </c>
      <c r="R48">
        <v>56</v>
      </c>
      <c r="S48">
        <v>171</v>
      </c>
      <c r="T48">
        <v>19</v>
      </c>
      <c r="U48">
        <v>2</v>
      </c>
      <c r="V48" s="53" t="str">
        <f>IFERROR(
IF(tbl_abs[[#This Row],[Month of absence]]=0,"Unknown",
CHOOSE(tbl_abs[[#This Row],[Month of absence]],
"Jan","Feb","Mar","Apr","May","Jun","Jul","Aug","Sep","Oct","Nov","Dec")),"")</f>
        <v>Jan</v>
      </c>
      <c r="W48" s="53" t="str">
        <f>IFERROR(
IF(tbl_abs[[#This Row],[Age]]&lt;30,"&lt;30",
IF(tbl_abs[[#This Row],[Age]]&lt;40,"30–39",
IF(tbl_abs[[#This Row],[Age]]&lt;50,"40–49",
IF(tbl_abs[[#This Row],[Age]]&lt;60,"50–59",
"60+")))),"")</f>
        <v>30–39</v>
      </c>
      <c r="X48" s="53" t="str">
        <f>IFERROR(
IF(tbl_abs[[#This Row],[Distance from Residence to Work]]&lt;=5,"0–5",
IF(tbl_abs[[#This Row],[Distance from Residence to Work]]&lt;=10,"6–10",
IF(tbl_abs[[#This Row],[Distance from Residence to Work]]&lt;=20,"11–20",
"21+"))),"")</f>
        <v>21+</v>
      </c>
      <c r="Y48" s="53" t="str">
        <f>IFERROR(
IF(tbl_abs[[#This Row],[Body Mass Index]]&lt;18.5,"Underweight",
IF(tbl_abs[[#This Row],[Body Mass Index]]&lt;25,"Normal",
IF(tbl_abs[[#This Row],[Body Mass Index]]&lt;30,"Overweight",
"Obese"))),"")</f>
        <v>Normal</v>
      </c>
      <c r="Z48" s="53" t="str">
        <f>IFERROR(
IF(tbl_abs[[#This Row],[Absenteeism time in hours]]&lt;=2,"0–2",
IF(tbl_abs[[#This Row],[Absenteeism time in hours]]&lt;=8,"3–8",
IF(tbl_abs[[#This Row],[Absenteeism time in hours]]&lt;=16,"9–16",
"17+"))),"")</f>
        <v>0–2</v>
      </c>
    </row>
    <row r="49" spans="1:26" ht="15" customHeight="1" x14ac:dyDescent="0.3">
      <c r="A49">
        <v>14</v>
      </c>
      <c r="B49">
        <v>18</v>
      </c>
      <c r="C49" s="1">
        <v>1</v>
      </c>
      <c r="D49">
        <v>3</v>
      </c>
      <c r="E49">
        <v>2</v>
      </c>
      <c r="F49">
        <v>155</v>
      </c>
      <c r="G49" s="1">
        <v>12</v>
      </c>
      <c r="H49">
        <v>14</v>
      </c>
      <c r="I49" s="1">
        <v>34</v>
      </c>
      <c r="J49" s="2">
        <v>313532</v>
      </c>
      <c r="K49">
        <v>96</v>
      </c>
      <c r="L49">
        <v>0</v>
      </c>
      <c r="M49">
        <v>1</v>
      </c>
      <c r="N49">
        <v>2</v>
      </c>
      <c r="O49">
        <v>1</v>
      </c>
      <c r="P49">
        <v>0</v>
      </c>
      <c r="Q49">
        <v>0</v>
      </c>
      <c r="R49">
        <v>95</v>
      </c>
      <c r="S49">
        <v>196</v>
      </c>
      <c r="T49">
        <v>25</v>
      </c>
      <c r="U49">
        <v>8</v>
      </c>
      <c r="V49" s="53" t="str">
        <f>IFERROR(
IF(tbl_abs[[#This Row],[Month of absence]]=0,"Unknown",
CHOOSE(tbl_abs[[#This Row],[Month of absence]],
"Jan","Feb","Mar","Apr","May","Jun","Jul","Aug","Sep","Oct","Nov","Dec")),"")</f>
        <v>Jan</v>
      </c>
      <c r="W49" s="53" t="str">
        <f>IFERROR(
IF(tbl_abs[[#This Row],[Age]]&lt;30,"&lt;30",
IF(tbl_abs[[#This Row],[Age]]&lt;40,"30–39",
IF(tbl_abs[[#This Row],[Age]]&lt;50,"40–49",
IF(tbl_abs[[#This Row],[Age]]&lt;60,"50–59",
"60+")))),"")</f>
        <v>30–39</v>
      </c>
      <c r="X49" s="53" t="str">
        <f>IFERROR(
IF(tbl_abs[[#This Row],[Distance from Residence to Work]]&lt;=5,"0–5",
IF(tbl_abs[[#This Row],[Distance from Residence to Work]]&lt;=10,"6–10",
IF(tbl_abs[[#This Row],[Distance from Residence to Work]]&lt;=20,"11–20",
"21+"))),"")</f>
        <v>11–20</v>
      </c>
      <c r="Y49" s="53" t="str">
        <f>IFERROR(
IF(tbl_abs[[#This Row],[Body Mass Index]]&lt;18.5,"Underweight",
IF(tbl_abs[[#This Row],[Body Mass Index]]&lt;25,"Normal",
IF(tbl_abs[[#This Row],[Body Mass Index]]&lt;30,"Overweight",
"Obese"))),"")</f>
        <v>Overweight</v>
      </c>
      <c r="Z49" s="53" t="str">
        <f>IFERROR(
IF(tbl_abs[[#This Row],[Absenteeism time in hours]]&lt;=2,"0–2",
IF(tbl_abs[[#This Row],[Absenteeism time in hours]]&lt;=8,"3–8",
IF(tbl_abs[[#This Row],[Absenteeism time in hours]]&lt;=16,"9–16",
"17+"))),"")</f>
        <v>3–8</v>
      </c>
    </row>
    <row r="50" spans="1:26" ht="15" customHeight="1" x14ac:dyDescent="0.3">
      <c r="A50">
        <v>22</v>
      </c>
      <c r="B50">
        <v>27</v>
      </c>
      <c r="C50" s="1">
        <v>1</v>
      </c>
      <c r="D50">
        <v>4</v>
      </c>
      <c r="E50">
        <v>2</v>
      </c>
      <c r="F50">
        <v>179</v>
      </c>
      <c r="G50" s="1">
        <v>26</v>
      </c>
      <c r="H50">
        <v>9</v>
      </c>
      <c r="I50" s="1">
        <v>30</v>
      </c>
      <c r="J50" s="2">
        <v>313532</v>
      </c>
      <c r="K50">
        <v>96</v>
      </c>
      <c r="L50">
        <v>0</v>
      </c>
      <c r="M50">
        <v>3</v>
      </c>
      <c r="N50">
        <v>0</v>
      </c>
      <c r="O50">
        <v>0</v>
      </c>
      <c r="P50">
        <v>0</v>
      </c>
      <c r="Q50">
        <v>0</v>
      </c>
      <c r="R50">
        <v>56</v>
      </c>
      <c r="S50">
        <v>171</v>
      </c>
      <c r="T50">
        <v>19</v>
      </c>
      <c r="U50">
        <v>2</v>
      </c>
      <c r="V50" s="53" t="str">
        <f>IFERROR(
IF(tbl_abs[[#This Row],[Month of absence]]=0,"Unknown",
CHOOSE(tbl_abs[[#This Row],[Month of absence]],
"Jan","Feb","Mar","Apr","May","Jun","Jul","Aug","Sep","Oct","Nov","Dec")),"")</f>
        <v>Jan</v>
      </c>
      <c r="W50" s="53" t="str">
        <f>IFERROR(
IF(tbl_abs[[#This Row],[Age]]&lt;30,"&lt;30",
IF(tbl_abs[[#This Row],[Age]]&lt;40,"30–39",
IF(tbl_abs[[#This Row],[Age]]&lt;50,"40–49",
IF(tbl_abs[[#This Row],[Age]]&lt;60,"50–59",
"60+")))),"")</f>
        <v>30–39</v>
      </c>
      <c r="X50" s="53" t="str">
        <f>IFERROR(
IF(tbl_abs[[#This Row],[Distance from Residence to Work]]&lt;=5,"0–5",
IF(tbl_abs[[#This Row],[Distance from Residence to Work]]&lt;=10,"6–10",
IF(tbl_abs[[#This Row],[Distance from Residence to Work]]&lt;=20,"11–20",
"21+"))),"")</f>
        <v>21+</v>
      </c>
      <c r="Y50" s="53" t="str">
        <f>IFERROR(
IF(tbl_abs[[#This Row],[Body Mass Index]]&lt;18.5,"Underweight",
IF(tbl_abs[[#This Row],[Body Mass Index]]&lt;25,"Normal",
IF(tbl_abs[[#This Row],[Body Mass Index]]&lt;30,"Overweight",
"Obese"))),"")</f>
        <v>Normal</v>
      </c>
      <c r="Z50" s="53" t="str">
        <f>IFERROR(
IF(tbl_abs[[#This Row],[Absenteeism time in hours]]&lt;=2,"0–2",
IF(tbl_abs[[#This Row],[Absenteeism time in hours]]&lt;=8,"3–8",
IF(tbl_abs[[#This Row],[Absenteeism time in hours]]&lt;=16,"9–16",
"17+"))),"")</f>
        <v>0–2</v>
      </c>
    </row>
    <row r="51" spans="1:26" ht="15" customHeight="1" x14ac:dyDescent="0.3">
      <c r="A51">
        <v>3</v>
      </c>
      <c r="B51">
        <v>27</v>
      </c>
      <c r="C51" s="1">
        <v>1</v>
      </c>
      <c r="D51">
        <v>4</v>
      </c>
      <c r="E51">
        <v>2</v>
      </c>
      <c r="F51">
        <v>179</v>
      </c>
      <c r="G51" s="1">
        <v>51</v>
      </c>
      <c r="H51">
        <v>18</v>
      </c>
      <c r="I51" s="1">
        <v>38</v>
      </c>
      <c r="J51" s="2">
        <v>313532</v>
      </c>
      <c r="K51">
        <v>96</v>
      </c>
      <c r="L51">
        <v>0</v>
      </c>
      <c r="M51">
        <v>1</v>
      </c>
      <c r="N51">
        <v>0</v>
      </c>
      <c r="O51">
        <v>1</v>
      </c>
      <c r="P51">
        <v>0</v>
      </c>
      <c r="Q51">
        <v>0</v>
      </c>
      <c r="R51">
        <v>89</v>
      </c>
      <c r="S51">
        <v>170</v>
      </c>
      <c r="T51">
        <v>31</v>
      </c>
      <c r="U51">
        <v>3</v>
      </c>
      <c r="V51" s="53" t="str">
        <f>IFERROR(
IF(tbl_abs[[#This Row],[Month of absence]]=0,"Unknown",
CHOOSE(tbl_abs[[#This Row],[Month of absence]],
"Jan","Feb","Mar","Apr","May","Jun","Jul","Aug","Sep","Oct","Nov","Dec")),"")</f>
        <v>Jan</v>
      </c>
      <c r="W51" s="53" t="str">
        <f>IFERROR(
IF(tbl_abs[[#This Row],[Age]]&lt;30,"&lt;30",
IF(tbl_abs[[#This Row],[Age]]&lt;40,"30–39",
IF(tbl_abs[[#This Row],[Age]]&lt;50,"40–49",
IF(tbl_abs[[#This Row],[Age]]&lt;60,"50–59",
"60+")))),"")</f>
        <v>30–39</v>
      </c>
      <c r="X51" s="53" t="str">
        <f>IFERROR(
IF(tbl_abs[[#This Row],[Distance from Residence to Work]]&lt;=5,"0–5",
IF(tbl_abs[[#This Row],[Distance from Residence to Work]]&lt;=10,"6–10",
IF(tbl_abs[[#This Row],[Distance from Residence to Work]]&lt;=20,"11–20",
"21+"))),"")</f>
        <v>21+</v>
      </c>
      <c r="Y51" s="53" t="str">
        <f>IFERROR(
IF(tbl_abs[[#This Row],[Body Mass Index]]&lt;18.5,"Underweight",
IF(tbl_abs[[#This Row],[Body Mass Index]]&lt;25,"Normal",
IF(tbl_abs[[#This Row],[Body Mass Index]]&lt;30,"Overweight",
"Obese"))),"")</f>
        <v>Obese</v>
      </c>
      <c r="Z51" s="53" t="str">
        <f>IFERROR(
IF(tbl_abs[[#This Row],[Absenteeism time in hours]]&lt;=2,"0–2",
IF(tbl_abs[[#This Row],[Absenteeism time in hours]]&lt;=8,"3–8",
IF(tbl_abs[[#This Row],[Absenteeism time in hours]]&lt;=16,"9–16",
"17+"))),"")</f>
        <v>3–8</v>
      </c>
    </row>
    <row r="52" spans="1:26" ht="15" customHeight="1" x14ac:dyDescent="0.3">
      <c r="A52">
        <v>11</v>
      </c>
      <c r="B52">
        <v>13</v>
      </c>
      <c r="C52" s="1">
        <v>1</v>
      </c>
      <c r="D52">
        <v>4</v>
      </c>
      <c r="E52">
        <v>2</v>
      </c>
      <c r="F52">
        <v>289</v>
      </c>
      <c r="G52" s="1">
        <v>36</v>
      </c>
      <c r="H52">
        <v>13</v>
      </c>
      <c r="I52" s="1">
        <v>33</v>
      </c>
      <c r="J52" s="2">
        <v>313532</v>
      </c>
      <c r="K52">
        <v>96</v>
      </c>
      <c r="L52">
        <v>0</v>
      </c>
      <c r="M52">
        <v>1</v>
      </c>
      <c r="N52">
        <v>2</v>
      </c>
      <c r="O52">
        <v>1</v>
      </c>
      <c r="P52">
        <v>0</v>
      </c>
      <c r="Q52">
        <v>1</v>
      </c>
      <c r="R52">
        <v>90</v>
      </c>
      <c r="S52">
        <v>172</v>
      </c>
      <c r="T52">
        <v>30</v>
      </c>
      <c r="U52">
        <v>8</v>
      </c>
      <c r="V52" s="53" t="str">
        <f>IFERROR(
IF(tbl_abs[[#This Row],[Month of absence]]=0,"Unknown",
CHOOSE(tbl_abs[[#This Row],[Month of absence]],
"Jan","Feb","Mar","Apr","May","Jun","Jul","Aug","Sep","Oct","Nov","Dec")),"")</f>
        <v>Jan</v>
      </c>
      <c r="W52" s="53" t="str">
        <f>IFERROR(
IF(tbl_abs[[#This Row],[Age]]&lt;30,"&lt;30",
IF(tbl_abs[[#This Row],[Age]]&lt;40,"30–39",
IF(tbl_abs[[#This Row],[Age]]&lt;50,"40–49",
IF(tbl_abs[[#This Row],[Age]]&lt;60,"50–59",
"60+")))),"")</f>
        <v>30–39</v>
      </c>
      <c r="X52" s="53" t="str">
        <f>IFERROR(
IF(tbl_abs[[#This Row],[Distance from Residence to Work]]&lt;=5,"0–5",
IF(tbl_abs[[#This Row],[Distance from Residence to Work]]&lt;=10,"6–10",
IF(tbl_abs[[#This Row],[Distance from Residence to Work]]&lt;=20,"11–20",
"21+"))),"")</f>
        <v>21+</v>
      </c>
      <c r="Y52" s="53" t="str">
        <f>IFERROR(
IF(tbl_abs[[#This Row],[Body Mass Index]]&lt;18.5,"Underweight",
IF(tbl_abs[[#This Row],[Body Mass Index]]&lt;25,"Normal",
IF(tbl_abs[[#This Row],[Body Mass Index]]&lt;30,"Overweight",
"Obese"))),"")</f>
        <v>Obese</v>
      </c>
      <c r="Z52" s="53" t="str">
        <f>IFERROR(
IF(tbl_abs[[#This Row],[Absenteeism time in hours]]&lt;=2,"0–2",
IF(tbl_abs[[#This Row],[Absenteeism time in hours]]&lt;=8,"3–8",
IF(tbl_abs[[#This Row],[Absenteeism time in hours]]&lt;=16,"9–16",
"17+"))),"")</f>
        <v>3–8</v>
      </c>
    </row>
    <row r="53" spans="1:26" ht="15" customHeight="1" x14ac:dyDescent="0.3">
      <c r="A53">
        <v>3</v>
      </c>
      <c r="B53">
        <v>27</v>
      </c>
      <c r="C53" s="1">
        <v>1</v>
      </c>
      <c r="D53">
        <v>5</v>
      </c>
      <c r="E53">
        <v>2</v>
      </c>
      <c r="F53">
        <v>179</v>
      </c>
      <c r="G53" s="1">
        <v>51</v>
      </c>
      <c r="H53">
        <v>18</v>
      </c>
      <c r="I53" s="1">
        <v>38</v>
      </c>
      <c r="J53" s="2">
        <v>313532</v>
      </c>
      <c r="K53">
        <v>96</v>
      </c>
      <c r="L53">
        <v>0</v>
      </c>
      <c r="M53">
        <v>1</v>
      </c>
      <c r="N53">
        <v>0</v>
      </c>
      <c r="O53">
        <v>1</v>
      </c>
      <c r="P53">
        <v>0</v>
      </c>
      <c r="Q53">
        <v>0</v>
      </c>
      <c r="R53">
        <v>89</v>
      </c>
      <c r="S53">
        <v>170</v>
      </c>
      <c r="T53">
        <v>31</v>
      </c>
      <c r="U53">
        <v>3</v>
      </c>
      <c r="V53" s="53" t="str">
        <f>IFERROR(
IF(tbl_abs[[#This Row],[Month of absence]]=0,"Unknown",
CHOOSE(tbl_abs[[#This Row],[Month of absence]],
"Jan","Feb","Mar","Apr","May","Jun","Jul","Aug","Sep","Oct","Nov","Dec")),"")</f>
        <v>Jan</v>
      </c>
      <c r="W53" s="53" t="str">
        <f>IFERROR(
IF(tbl_abs[[#This Row],[Age]]&lt;30,"&lt;30",
IF(tbl_abs[[#This Row],[Age]]&lt;40,"30–39",
IF(tbl_abs[[#This Row],[Age]]&lt;50,"40–49",
IF(tbl_abs[[#This Row],[Age]]&lt;60,"50–59",
"60+")))),"")</f>
        <v>30–39</v>
      </c>
      <c r="X53" s="53" t="str">
        <f>IFERROR(
IF(tbl_abs[[#This Row],[Distance from Residence to Work]]&lt;=5,"0–5",
IF(tbl_abs[[#This Row],[Distance from Residence to Work]]&lt;=10,"6–10",
IF(tbl_abs[[#This Row],[Distance from Residence to Work]]&lt;=20,"11–20",
"21+"))),"")</f>
        <v>21+</v>
      </c>
      <c r="Y53" s="53" t="str">
        <f>IFERROR(
IF(tbl_abs[[#This Row],[Body Mass Index]]&lt;18.5,"Underweight",
IF(tbl_abs[[#This Row],[Body Mass Index]]&lt;25,"Normal",
IF(tbl_abs[[#This Row],[Body Mass Index]]&lt;30,"Overweight",
"Obese"))),"")</f>
        <v>Obese</v>
      </c>
      <c r="Z53" s="53" t="str">
        <f>IFERROR(
IF(tbl_abs[[#This Row],[Absenteeism time in hours]]&lt;=2,"0–2",
IF(tbl_abs[[#This Row],[Absenteeism time in hours]]&lt;=8,"3–8",
IF(tbl_abs[[#This Row],[Absenteeism time in hours]]&lt;=16,"9–16",
"17+"))),"")</f>
        <v>3–8</v>
      </c>
    </row>
    <row r="54" spans="1:26" ht="15" customHeight="1" x14ac:dyDescent="0.3">
      <c r="A54">
        <v>3</v>
      </c>
      <c r="B54">
        <v>27</v>
      </c>
      <c r="C54" s="1">
        <v>1</v>
      </c>
      <c r="D54">
        <v>6</v>
      </c>
      <c r="E54">
        <v>2</v>
      </c>
      <c r="F54">
        <v>179</v>
      </c>
      <c r="G54" s="1">
        <v>51</v>
      </c>
      <c r="H54">
        <v>18</v>
      </c>
      <c r="I54" s="1">
        <v>38</v>
      </c>
      <c r="J54" s="2">
        <v>313532</v>
      </c>
      <c r="K54">
        <v>96</v>
      </c>
      <c r="L54">
        <v>0</v>
      </c>
      <c r="M54">
        <v>1</v>
      </c>
      <c r="N54">
        <v>0</v>
      </c>
      <c r="O54">
        <v>1</v>
      </c>
      <c r="P54">
        <v>0</v>
      </c>
      <c r="Q54">
        <v>0</v>
      </c>
      <c r="R54">
        <v>89</v>
      </c>
      <c r="S54">
        <v>170</v>
      </c>
      <c r="T54">
        <v>31</v>
      </c>
      <c r="U54">
        <v>2</v>
      </c>
      <c r="V54" s="53" t="str">
        <f>IFERROR(
IF(tbl_abs[[#This Row],[Month of absence]]=0,"Unknown",
CHOOSE(tbl_abs[[#This Row],[Month of absence]],
"Jan","Feb","Mar","Apr","May","Jun","Jul","Aug","Sep","Oct","Nov","Dec")),"")</f>
        <v>Jan</v>
      </c>
      <c r="W54" s="53" t="str">
        <f>IFERROR(
IF(tbl_abs[[#This Row],[Age]]&lt;30,"&lt;30",
IF(tbl_abs[[#This Row],[Age]]&lt;40,"30–39",
IF(tbl_abs[[#This Row],[Age]]&lt;50,"40–49",
IF(tbl_abs[[#This Row],[Age]]&lt;60,"50–59",
"60+")))),"")</f>
        <v>30–39</v>
      </c>
      <c r="X54" s="53" t="str">
        <f>IFERROR(
IF(tbl_abs[[#This Row],[Distance from Residence to Work]]&lt;=5,"0–5",
IF(tbl_abs[[#This Row],[Distance from Residence to Work]]&lt;=10,"6–10",
IF(tbl_abs[[#This Row],[Distance from Residence to Work]]&lt;=20,"11–20",
"21+"))),"")</f>
        <v>21+</v>
      </c>
      <c r="Y54" s="53" t="str">
        <f>IFERROR(
IF(tbl_abs[[#This Row],[Body Mass Index]]&lt;18.5,"Underweight",
IF(tbl_abs[[#This Row],[Body Mass Index]]&lt;25,"Normal",
IF(tbl_abs[[#This Row],[Body Mass Index]]&lt;30,"Overweight",
"Obese"))),"")</f>
        <v>Obese</v>
      </c>
      <c r="Z54" s="53" t="str">
        <f>IFERROR(
IF(tbl_abs[[#This Row],[Absenteeism time in hours]]&lt;=2,"0–2",
IF(tbl_abs[[#This Row],[Absenteeism time in hours]]&lt;=8,"3–8",
IF(tbl_abs[[#This Row],[Absenteeism time in hours]]&lt;=16,"9–16",
"17+"))),"")</f>
        <v>0–2</v>
      </c>
    </row>
    <row r="55" spans="1:26" ht="15" customHeight="1" x14ac:dyDescent="0.3">
      <c r="A55">
        <v>27</v>
      </c>
      <c r="B55">
        <v>23</v>
      </c>
      <c r="C55" s="1">
        <v>2</v>
      </c>
      <c r="D55">
        <v>6</v>
      </c>
      <c r="E55">
        <v>2</v>
      </c>
      <c r="F55">
        <v>184</v>
      </c>
      <c r="G55" s="1">
        <v>42</v>
      </c>
      <c r="H55">
        <v>7</v>
      </c>
      <c r="I55" s="1">
        <v>27</v>
      </c>
      <c r="J55" s="2">
        <v>302585</v>
      </c>
      <c r="K55">
        <v>99</v>
      </c>
      <c r="L55">
        <v>0</v>
      </c>
      <c r="M55">
        <v>1</v>
      </c>
      <c r="O55">
        <v>0</v>
      </c>
      <c r="P55">
        <v>0</v>
      </c>
      <c r="Q55">
        <v>0</v>
      </c>
      <c r="R55">
        <v>58</v>
      </c>
      <c r="S55">
        <v>167</v>
      </c>
      <c r="T55">
        <v>21</v>
      </c>
      <c r="U55">
        <v>1</v>
      </c>
      <c r="V55" s="53" t="str">
        <f>IFERROR(
IF(tbl_abs[[#This Row],[Month of absence]]=0,"Unknown",
CHOOSE(tbl_abs[[#This Row],[Month of absence]],
"Jan","Feb","Mar","Apr","May","Jun","Jul","Aug","Sep","Oct","Nov","Dec")),"")</f>
        <v>Feb</v>
      </c>
      <c r="W55" s="53" t="str">
        <f>IFERROR(
IF(tbl_abs[[#This Row],[Age]]&lt;30,"&lt;30",
IF(tbl_abs[[#This Row],[Age]]&lt;40,"30–39",
IF(tbl_abs[[#This Row],[Age]]&lt;50,"40–49",
IF(tbl_abs[[#This Row],[Age]]&lt;60,"50–59",
"60+")))),"")</f>
        <v>&lt;30</v>
      </c>
      <c r="X55" s="53" t="str">
        <f>IFERROR(
IF(tbl_abs[[#This Row],[Distance from Residence to Work]]&lt;=5,"0–5",
IF(tbl_abs[[#This Row],[Distance from Residence to Work]]&lt;=10,"6–10",
IF(tbl_abs[[#This Row],[Distance from Residence to Work]]&lt;=20,"11–20",
"21+"))),"")</f>
        <v>21+</v>
      </c>
      <c r="Y55" s="53" t="str">
        <f>IFERROR(
IF(tbl_abs[[#This Row],[Body Mass Index]]&lt;18.5,"Underweight",
IF(tbl_abs[[#This Row],[Body Mass Index]]&lt;25,"Normal",
IF(tbl_abs[[#This Row],[Body Mass Index]]&lt;30,"Overweight",
"Obese"))),"")</f>
        <v>Normal</v>
      </c>
      <c r="Z55" s="53" t="str">
        <f>IFERROR(
IF(tbl_abs[[#This Row],[Absenteeism time in hours]]&lt;=2,"0–2",
IF(tbl_abs[[#This Row],[Absenteeism time in hours]]&lt;=8,"3–8",
IF(tbl_abs[[#This Row],[Absenteeism time in hours]]&lt;=16,"9–16",
"17+"))),"")</f>
        <v>0–2</v>
      </c>
    </row>
    <row r="56" spans="1:26" ht="15" customHeight="1" x14ac:dyDescent="0.3">
      <c r="A56">
        <v>24</v>
      </c>
      <c r="B56">
        <v>1</v>
      </c>
      <c r="C56" s="1">
        <v>2</v>
      </c>
      <c r="D56">
        <v>4</v>
      </c>
      <c r="E56">
        <v>2</v>
      </c>
      <c r="F56">
        <v>246</v>
      </c>
      <c r="G56" s="1">
        <v>25</v>
      </c>
      <c r="H56">
        <v>16</v>
      </c>
      <c r="I56" s="1">
        <v>41</v>
      </c>
      <c r="J56" s="2">
        <v>302585</v>
      </c>
      <c r="K56">
        <v>99</v>
      </c>
      <c r="L56">
        <v>0</v>
      </c>
      <c r="M56">
        <v>1</v>
      </c>
      <c r="N56">
        <v>0</v>
      </c>
      <c r="O56">
        <v>1</v>
      </c>
      <c r="P56">
        <v>0</v>
      </c>
      <c r="Q56">
        <v>0</v>
      </c>
      <c r="R56">
        <v>67</v>
      </c>
      <c r="S56">
        <v>170</v>
      </c>
      <c r="T56">
        <v>23</v>
      </c>
      <c r="U56">
        <v>8</v>
      </c>
      <c r="V56" s="53" t="str">
        <f>IFERROR(
IF(tbl_abs[[#This Row],[Month of absence]]=0,"Unknown",
CHOOSE(tbl_abs[[#This Row],[Month of absence]],
"Jan","Feb","Mar","Apr","May","Jun","Jul","Aug","Sep","Oct","Nov","Dec")),"")</f>
        <v>Feb</v>
      </c>
      <c r="W56" s="53" t="str">
        <f>IFERROR(
IF(tbl_abs[[#This Row],[Age]]&lt;30,"&lt;30",
IF(tbl_abs[[#This Row],[Age]]&lt;40,"30–39",
IF(tbl_abs[[#This Row],[Age]]&lt;50,"40–49",
IF(tbl_abs[[#This Row],[Age]]&lt;60,"50–59",
"60+")))),"")</f>
        <v>40–49</v>
      </c>
      <c r="X56" s="53" t="str">
        <f>IFERROR(
IF(tbl_abs[[#This Row],[Distance from Residence to Work]]&lt;=5,"0–5",
IF(tbl_abs[[#This Row],[Distance from Residence to Work]]&lt;=10,"6–10",
IF(tbl_abs[[#This Row],[Distance from Residence to Work]]&lt;=20,"11–20",
"21+"))),"")</f>
        <v>21+</v>
      </c>
      <c r="Y56" s="53" t="str">
        <f>IFERROR(
IF(tbl_abs[[#This Row],[Body Mass Index]]&lt;18.5,"Underweight",
IF(tbl_abs[[#This Row],[Body Mass Index]]&lt;25,"Normal",
IF(tbl_abs[[#This Row],[Body Mass Index]]&lt;30,"Overweight",
"Obese"))),"")</f>
        <v>Normal</v>
      </c>
      <c r="Z56" s="53" t="str">
        <f>IFERROR(
IF(tbl_abs[[#This Row],[Absenteeism time in hours]]&lt;=2,"0–2",
IF(tbl_abs[[#This Row],[Absenteeism time in hours]]&lt;=8,"3–8",
IF(tbl_abs[[#This Row],[Absenteeism time in hours]]&lt;=16,"9–16",
"17+"))),"")</f>
        <v>3–8</v>
      </c>
    </row>
    <row r="57" spans="1:26" ht="15" customHeight="1" x14ac:dyDescent="0.3">
      <c r="A57">
        <v>3</v>
      </c>
      <c r="B57">
        <v>11</v>
      </c>
      <c r="C57" s="1">
        <v>2</v>
      </c>
      <c r="D57">
        <v>4</v>
      </c>
      <c r="E57">
        <v>2</v>
      </c>
      <c r="F57">
        <v>179</v>
      </c>
      <c r="G57" s="1">
        <v>51</v>
      </c>
      <c r="H57">
        <v>18</v>
      </c>
      <c r="I57" s="1">
        <v>38</v>
      </c>
      <c r="J57" s="2">
        <v>302585</v>
      </c>
      <c r="K57">
        <v>99</v>
      </c>
      <c r="L57">
        <v>0</v>
      </c>
      <c r="M57">
        <v>1</v>
      </c>
      <c r="N57">
        <v>0</v>
      </c>
      <c r="O57">
        <v>1</v>
      </c>
      <c r="P57">
        <v>0</v>
      </c>
      <c r="Q57">
        <v>0</v>
      </c>
      <c r="R57">
        <v>89</v>
      </c>
      <c r="S57">
        <v>170</v>
      </c>
      <c r="T57">
        <v>31</v>
      </c>
      <c r="U57">
        <v>8</v>
      </c>
      <c r="V57" s="53" t="str">
        <f>IFERROR(
IF(tbl_abs[[#This Row],[Month of absence]]=0,"Unknown",
CHOOSE(tbl_abs[[#This Row],[Month of absence]],
"Jan","Feb","Mar","Apr","May","Jun","Jul","Aug","Sep","Oct","Nov","Dec")),"")</f>
        <v>Feb</v>
      </c>
      <c r="W57" s="53" t="str">
        <f>IFERROR(
IF(tbl_abs[[#This Row],[Age]]&lt;30,"&lt;30",
IF(tbl_abs[[#This Row],[Age]]&lt;40,"30–39",
IF(tbl_abs[[#This Row],[Age]]&lt;50,"40–49",
IF(tbl_abs[[#This Row],[Age]]&lt;60,"50–59",
"60+")))),"")</f>
        <v>30–39</v>
      </c>
      <c r="X57" s="53" t="str">
        <f>IFERROR(
IF(tbl_abs[[#This Row],[Distance from Residence to Work]]&lt;=5,"0–5",
IF(tbl_abs[[#This Row],[Distance from Residence to Work]]&lt;=10,"6–10",
IF(tbl_abs[[#This Row],[Distance from Residence to Work]]&lt;=20,"11–20",
"21+"))),"")</f>
        <v>21+</v>
      </c>
      <c r="Y57" s="53" t="str">
        <f>IFERROR(
IF(tbl_abs[[#This Row],[Body Mass Index]]&lt;18.5,"Underweight",
IF(tbl_abs[[#This Row],[Body Mass Index]]&lt;25,"Normal",
IF(tbl_abs[[#This Row],[Body Mass Index]]&lt;30,"Overweight",
"Obese"))),"")</f>
        <v>Obese</v>
      </c>
      <c r="Z57" s="53" t="str">
        <f>IFERROR(
IF(tbl_abs[[#This Row],[Absenteeism time in hours]]&lt;=2,"0–2",
IF(tbl_abs[[#This Row],[Absenteeism time in hours]]&lt;=8,"3–8",
IF(tbl_abs[[#This Row],[Absenteeism time in hours]]&lt;=16,"9–16",
"17+"))),"")</f>
        <v>3–8</v>
      </c>
    </row>
    <row r="58" spans="1:26" ht="15" customHeight="1" x14ac:dyDescent="0.3">
      <c r="A58">
        <v>14</v>
      </c>
      <c r="B58">
        <v>28</v>
      </c>
      <c r="C58" s="1">
        <v>2</v>
      </c>
      <c r="D58">
        <v>5</v>
      </c>
      <c r="E58">
        <v>2</v>
      </c>
      <c r="F58">
        <v>155</v>
      </c>
      <c r="G58" s="1">
        <v>12</v>
      </c>
      <c r="H58">
        <v>14</v>
      </c>
      <c r="I58" s="1">
        <v>34</v>
      </c>
      <c r="J58" s="2">
        <v>302585</v>
      </c>
      <c r="K58">
        <v>99</v>
      </c>
      <c r="L58">
        <v>0</v>
      </c>
      <c r="M58">
        <v>1</v>
      </c>
      <c r="N58">
        <v>2</v>
      </c>
      <c r="O58">
        <v>1</v>
      </c>
      <c r="P58">
        <v>0</v>
      </c>
      <c r="Q58">
        <v>0</v>
      </c>
      <c r="R58">
        <v>95</v>
      </c>
      <c r="S58">
        <v>196</v>
      </c>
      <c r="T58">
        <v>25</v>
      </c>
      <c r="U58">
        <v>2</v>
      </c>
      <c r="V58" s="53" t="str">
        <f>IFERROR(
IF(tbl_abs[[#This Row],[Month of absence]]=0,"Unknown",
CHOOSE(tbl_abs[[#This Row],[Month of absence]],
"Jan","Feb","Mar","Apr","May","Jun","Jul","Aug","Sep","Oct","Nov","Dec")),"")</f>
        <v>Feb</v>
      </c>
      <c r="W58" s="53" t="str">
        <f>IFERROR(
IF(tbl_abs[[#This Row],[Age]]&lt;30,"&lt;30",
IF(tbl_abs[[#This Row],[Age]]&lt;40,"30–39",
IF(tbl_abs[[#This Row],[Age]]&lt;50,"40–49",
IF(tbl_abs[[#This Row],[Age]]&lt;60,"50–59",
"60+")))),"")</f>
        <v>30–39</v>
      </c>
      <c r="X58" s="53" t="str">
        <f>IFERROR(
IF(tbl_abs[[#This Row],[Distance from Residence to Work]]&lt;=5,"0–5",
IF(tbl_abs[[#This Row],[Distance from Residence to Work]]&lt;=10,"6–10",
IF(tbl_abs[[#This Row],[Distance from Residence to Work]]&lt;=20,"11–20",
"21+"))),"")</f>
        <v>11–20</v>
      </c>
      <c r="Y58" s="53" t="str">
        <f>IFERROR(
IF(tbl_abs[[#This Row],[Body Mass Index]]&lt;18.5,"Underweight",
IF(tbl_abs[[#This Row],[Body Mass Index]]&lt;25,"Normal",
IF(tbl_abs[[#This Row],[Body Mass Index]]&lt;30,"Overweight",
"Obese"))),"")</f>
        <v>Overweight</v>
      </c>
      <c r="Z58" s="53" t="str">
        <f>IFERROR(
IF(tbl_abs[[#This Row],[Absenteeism time in hours]]&lt;=2,"0–2",
IF(tbl_abs[[#This Row],[Absenteeism time in hours]]&lt;=8,"3–8",
IF(tbl_abs[[#This Row],[Absenteeism time in hours]]&lt;=16,"9–16",
"17+"))),"")</f>
        <v>0–2</v>
      </c>
    </row>
    <row r="59" spans="1:26" ht="15" customHeight="1" x14ac:dyDescent="0.3">
      <c r="A59">
        <v>6</v>
      </c>
      <c r="B59">
        <v>23</v>
      </c>
      <c r="C59" s="1">
        <v>2</v>
      </c>
      <c r="D59">
        <v>5</v>
      </c>
      <c r="E59">
        <v>2</v>
      </c>
      <c r="F59">
        <v>189</v>
      </c>
      <c r="G59" s="1">
        <v>29</v>
      </c>
      <c r="H59">
        <v>13</v>
      </c>
      <c r="I59" s="1">
        <v>33</v>
      </c>
      <c r="J59" s="2">
        <v>302585</v>
      </c>
      <c r="K59">
        <v>99</v>
      </c>
      <c r="L59">
        <v>0</v>
      </c>
      <c r="M59">
        <v>1</v>
      </c>
      <c r="N59">
        <v>2</v>
      </c>
      <c r="O59">
        <v>0</v>
      </c>
      <c r="P59">
        <v>0</v>
      </c>
      <c r="Q59">
        <v>2</v>
      </c>
      <c r="R59">
        <v>69</v>
      </c>
      <c r="S59">
        <v>167</v>
      </c>
      <c r="T59">
        <v>25</v>
      </c>
      <c r="U59">
        <v>8</v>
      </c>
      <c r="V59" s="53" t="str">
        <f>IFERROR(
IF(tbl_abs[[#This Row],[Month of absence]]=0,"Unknown",
CHOOSE(tbl_abs[[#This Row],[Month of absence]],
"Jan","Feb","Mar","Apr","May","Jun","Jul","Aug","Sep","Oct","Nov","Dec")),"")</f>
        <v>Feb</v>
      </c>
      <c r="W59" s="53" t="str">
        <f>IFERROR(
IF(tbl_abs[[#This Row],[Age]]&lt;30,"&lt;30",
IF(tbl_abs[[#This Row],[Age]]&lt;40,"30–39",
IF(tbl_abs[[#This Row],[Age]]&lt;50,"40–49",
IF(tbl_abs[[#This Row],[Age]]&lt;60,"50–59",
"60+")))),"")</f>
        <v>30–39</v>
      </c>
      <c r="X59" s="53" t="str">
        <f>IFERROR(
IF(tbl_abs[[#This Row],[Distance from Residence to Work]]&lt;=5,"0–5",
IF(tbl_abs[[#This Row],[Distance from Residence to Work]]&lt;=10,"6–10",
IF(tbl_abs[[#This Row],[Distance from Residence to Work]]&lt;=20,"11–20",
"21+"))),"")</f>
        <v>21+</v>
      </c>
      <c r="Y59" s="53" t="str">
        <f>IFERROR(
IF(tbl_abs[[#This Row],[Body Mass Index]]&lt;18.5,"Underweight",
IF(tbl_abs[[#This Row],[Body Mass Index]]&lt;25,"Normal",
IF(tbl_abs[[#This Row],[Body Mass Index]]&lt;30,"Overweight",
"Obese"))),"")</f>
        <v>Overweight</v>
      </c>
      <c r="Z59" s="53" t="str">
        <f>IFERROR(
IF(tbl_abs[[#This Row],[Absenteeism time in hours]]&lt;=2,"0–2",
IF(tbl_abs[[#This Row],[Absenteeism time in hours]]&lt;=8,"3–8",
IF(tbl_abs[[#This Row],[Absenteeism time in hours]]&lt;=16,"9–16",
"17+"))),"")</f>
        <v>3–8</v>
      </c>
    </row>
    <row r="60" spans="1:26" ht="15" customHeight="1" x14ac:dyDescent="0.3">
      <c r="A60">
        <v>20</v>
      </c>
      <c r="B60">
        <v>28</v>
      </c>
      <c r="C60" s="1">
        <v>2</v>
      </c>
      <c r="D60">
        <v>6</v>
      </c>
      <c r="E60">
        <v>2</v>
      </c>
      <c r="F60">
        <v>260</v>
      </c>
      <c r="G60" s="1">
        <v>50</v>
      </c>
      <c r="H60">
        <v>11</v>
      </c>
      <c r="I60" s="1">
        <v>36</v>
      </c>
      <c r="J60" s="2">
        <v>302585</v>
      </c>
      <c r="K60">
        <v>99</v>
      </c>
      <c r="L60">
        <v>0</v>
      </c>
      <c r="M60">
        <v>1</v>
      </c>
      <c r="N60">
        <v>4</v>
      </c>
      <c r="O60">
        <v>1</v>
      </c>
      <c r="P60">
        <v>0</v>
      </c>
      <c r="Q60">
        <v>0</v>
      </c>
      <c r="R60">
        <v>65</v>
      </c>
      <c r="S60">
        <v>168</v>
      </c>
      <c r="T60">
        <v>23</v>
      </c>
      <c r="U60">
        <v>2</v>
      </c>
      <c r="V60" s="53" t="str">
        <f>IFERROR(
IF(tbl_abs[[#This Row],[Month of absence]]=0,"Unknown",
CHOOSE(tbl_abs[[#This Row],[Month of absence]],
"Jan","Feb","Mar","Apr","May","Jun","Jul","Aug","Sep","Oct","Nov","Dec")),"")</f>
        <v>Feb</v>
      </c>
      <c r="W60" s="53" t="str">
        <f>IFERROR(
IF(tbl_abs[[#This Row],[Age]]&lt;30,"&lt;30",
IF(tbl_abs[[#This Row],[Age]]&lt;40,"30–39",
IF(tbl_abs[[#This Row],[Age]]&lt;50,"40–49",
IF(tbl_abs[[#This Row],[Age]]&lt;60,"50–59",
"60+")))),"")</f>
        <v>30–39</v>
      </c>
      <c r="X60" s="53" t="str">
        <f>IFERROR(
IF(tbl_abs[[#This Row],[Distance from Residence to Work]]&lt;=5,"0–5",
IF(tbl_abs[[#This Row],[Distance from Residence to Work]]&lt;=10,"6–10",
IF(tbl_abs[[#This Row],[Distance from Residence to Work]]&lt;=20,"11–20",
"21+"))),"")</f>
        <v>21+</v>
      </c>
      <c r="Y60" s="53" t="str">
        <f>IFERROR(
IF(tbl_abs[[#This Row],[Body Mass Index]]&lt;18.5,"Underweight",
IF(tbl_abs[[#This Row],[Body Mass Index]]&lt;25,"Normal",
IF(tbl_abs[[#This Row],[Body Mass Index]]&lt;30,"Overweight",
"Obese"))),"")</f>
        <v>Normal</v>
      </c>
      <c r="Z60" s="53" t="str">
        <f>IFERROR(
IF(tbl_abs[[#This Row],[Absenteeism time in hours]]&lt;=2,"0–2",
IF(tbl_abs[[#This Row],[Absenteeism time in hours]]&lt;=8,"3–8",
IF(tbl_abs[[#This Row],[Absenteeism time in hours]]&lt;=16,"9–16",
"17+"))),"")</f>
        <v>0–2</v>
      </c>
    </row>
    <row r="61" spans="1:26" ht="15" customHeight="1" x14ac:dyDescent="0.3">
      <c r="A61">
        <v>11</v>
      </c>
      <c r="B61">
        <v>22</v>
      </c>
      <c r="C61" s="1">
        <v>2</v>
      </c>
      <c r="D61">
        <v>6</v>
      </c>
      <c r="E61">
        <v>2</v>
      </c>
      <c r="F61">
        <v>289</v>
      </c>
      <c r="G61" s="1">
        <v>36</v>
      </c>
      <c r="H61">
        <v>13</v>
      </c>
      <c r="I61" s="1">
        <v>33</v>
      </c>
      <c r="J61" s="2">
        <v>302585</v>
      </c>
      <c r="K61">
        <v>99</v>
      </c>
      <c r="L61">
        <v>0</v>
      </c>
      <c r="M61">
        <v>1</v>
      </c>
      <c r="N61">
        <v>2</v>
      </c>
      <c r="O61">
        <v>1</v>
      </c>
      <c r="P61">
        <v>0</v>
      </c>
      <c r="Q61">
        <v>1</v>
      </c>
      <c r="R61">
        <v>90</v>
      </c>
      <c r="S61">
        <v>172</v>
      </c>
      <c r="T61">
        <v>30</v>
      </c>
      <c r="U61">
        <v>8</v>
      </c>
      <c r="V61" s="53" t="str">
        <f>IFERROR(
IF(tbl_abs[[#This Row],[Month of absence]]=0,"Unknown",
CHOOSE(tbl_abs[[#This Row],[Month of absence]],
"Jan","Feb","Mar","Apr","May","Jun","Jul","Aug","Sep","Oct","Nov","Dec")),"")</f>
        <v>Feb</v>
      </c>
      <c r="W61" s="53" t="str">
        <f>IFERROR(
IF(tbl_abs[[#This Row],[Age]]&lt;30,"&lt;30",
IF(tbl_abs[[#This Row],[Age]]&lt;40,"30–39",
IF(tbl_abs[[#This Row],[Age]]&lt;50,"40–49",
IF(tbl_abs[[#This Row],[Age]]&lt;60,"50–59",
"60+")))),"")</f>
        <v>30–39</v>
      </c>
      <c r="X61" s="53" t="str">
        <f>IFERROR(
IF(tbl_abs[[#This Row],[Distance from Residence to Work]]&lt;=5,"0–5",
IF(tbl_abs[[#This Row],[Distance from Residence to Work]]&lt;=10,"6–10",
IF(tbl_abs[[#This Row],[Distance from Residence to Work]]&lt;=20,"11–20",
"21+"))),"")</f>
        <v>21+</v>
      </c>
      <c r="Y61" s="53" t="str">
        <f>IFERROR(
IF(tbl_abs[[#This Row],[Body Mass Index]]&lt;18.5,"Underweight",
IF(tbl_abs[[#This Row],[Body Mass Index]]&lt;25,"Normal",
IF(tbl_abs[[#This Row],[Body Mass Index]]&lt;30,"Overweight",
"Obese"))),"")</f>
        <v>Obese</v>
      </c>
      <c r="Z61" s="53" t="str">
        <f>IFERROR(
IF(tbl_abs[[#This Row],[Absenteeism time in hours]]&lt;=2,"0–2",
IF(tbl_abs[[#This Row],[Absenteeism time in hours]]&lt;=8,"3–8",
IF(tbl_abs[[#This Row],[Absenteeism time in hours]]&lt;=16,"9–16",
"17+"))),"")</f>
        <v>3–8</v>
      </c>
    </row>
    <row r="62" spans="1:26" ht="15" customHeight="1" x14ac:dyDescent="0.3">
      <c r="A62">
        <v>31</v>
      </c>
      <c r="B62">
        <v>11</v>
      </c>
      <c r="C62" s="1">
        <v>2</v>
      </c>
      <c r="D62">
        <v>2</v>
      </c>
      <c r="E62">
        <v>2</v>
      </c>
      <c r="F62">
        <v>388</v>
      </c>
      <c r="G62" s="1">
        <v>15</v>
      </c>
      <c r="H62">
        <v>9</v>
      </c>
      <c r="I62" s="1">
        <v>50</v>
      </c>
      <c r="J62" s="2">
        <v>302585</v>
      </c>
      <c r="K62">
        <v>99</v>
      </c>
      <c r="L62">
        <v>0</v>
      </c>
      <c r="M62">
        <v>1</v>
      </c>
      <c r="N62">
        <v>0</v>
      </c>
      <c r="O62">
        <v>0</v>
      </c>
      <c r="P62">
        <v>0</v>
      </c>
      <c r="Q62">
        <v>0</v>
      </c>
      <c r="R62">
        <v>76</v>
      </c>
      <c r="S62">
        <v>178</v>
      </c>
      <c r="T62">
        <v>24</v>
      </c>
      <c r="U62">
        <v>8</v>
      </c>
      <c r="V62" s="53" t="str">
        <f>IFERROR(
IF(tbl_abs[[#This Row],[Month of absence]]=0,"Unknown",
CHOOSE(tbl_abs[[#This Row],[Month of absence]],
"Jan","Feb","Mar","Apr","May","Jun","Jul","Aug","Sep","Oct","Nov","Dec")),"")</f>
        <v>Feb</v>
      </c>
      <c r="W62" s="53" t="str">
        <f>IFERROR(
IF(tbl_abs[[#This Row],[Age]]&lt;30,"&lt;30",
IF(tbl_abs[[#This Row],[Age]]&lt;40,"30–39",
IF(tbl_abs[[#This Row],[Age]]&lt;50,"40–49",
IF(tbl_abs[[#This Row],[Age]]&lt;60,"50–59",
"60+")))),"")</f>
        <v>50–59</v>
      </c>
      <c r="X62" s="53" t="str">
        <f>IFERROR(
IF(tbl_abs[[#This Row],[Distance from Residence to Work]]&lt;=5,"0–5",
IF(tbl_abs[[#This Row],[Distance from Residence to Work]]&lt;=10,"6–10",
IF(tbl_abs[[#This Row],[Distance from Residence to Work]]&lt;=20,"11–20",
"21+"))),"")</f>
        <v>11–20</v>
      </c>
      <c r="Y62" s="53" t="str">
        <f>IFERROR(
IF(tbl_abs[[#This Row],[Body Mass Index]]&lt;18.5,"Underweight",
IF(tbl_abs[[#This Row],[Body Mass Index]]&lt;25,"Normal",
IF(tbl_abs[[#This Row],[Body Mass Index]]&lt;30,"Overweight",
"Obese"))),"")</f>
        <v>Normal</v>
      </c>
      <c r="Z62" s="53" t="str">
        <f>IFERROR(
IF(tbl_abs[[#This Row],[Absenteeism time in hours]]&lt;=2,"0–2",
IF(tbl_abs[[#This Row],[Absenteeism time in hours]]&lt;=8,"3–8",
IF(tbl_abs[[#This Row],[Absenteeism time in hours]]&lt;=16,"9–16",
"17+"))),"")</f>
        <v>3–8</v>
      </c>
    </row>
    <row r="63" spans="1:26" ht="15" customHeight="1" x14ac:dyDescent="0.3">
      <c r="A63">
        <v>31</v>
      </c>
      <c r="B63">
        <v>1</v>
      </c>
      <c r="C63" s="1">
        <v>2</v>
      </c>
      <c r="D63">
        <v>3</v>
      </c>
      <c r="E63">
        <v>2</v>
      </c>
      <c r="F63">
        <v>388</v>
      </c>
      <c r="G63" s="1">
        <v>15</v>
      </c>
      <c r="H63">
        <v>9</v>
      </c>
      <c r="I63" s="1">
        <v>50</v>
      </c>
      <c r="J63" s="2">
        <v>302585</v>
      </c>
      <c r="K63">
        <v>99</v>
      </c>
      <c r="L63">
        <v>0</v>
      </c>
      <c r="M63">
        <v>1</v>
      </c>
      <c r="N63">
        <v>0</v>
      </c>
      <c r="O63">
        <v>0</v>
      </c>
      <c r="P63">
        <v>0</v>
      </c>
      <c r="Q63">
        <v>0</v>
      </c>
      <c r="R63">
        <v>76</v>
      </c>
      <c r="S63">
        <v>178</v>
      </c>
      <c r="T63">
        <v>24</v>
      </c>
      <c r="U63">
        <v>8</v>
      </c>
      <c r="V63" s="53" t="str">
        <f>IFERROR(
IF(tbl_abs[[#This Row],[Month of absence]]=0,"Unknown",
CHOOSE(tbl_abs[[#This Row],[Month of absence]],
"Jan","Feb","Mar","Apr","May","Jun","Jul","Aug","Sep","Oct","Nov","Dec")),"")</f>
        <v>Feb</v>
      </c>
      <c r="W63" s="53" t="str">
        <f>IFERROR(
IF(tbl_abs[[#This Row],[Age]]&lt;30,"&lt;30",
IF(tbl_abs[[#This Row],[Age]]&lt;40,"30–39",
IF(tbl_abs[[#This Row],[Age]]&lt;50,"40–49",
IF(tbl_abs[[#This Row],[Age]]&lt;60,"50–59",
"60+")))),"")</f>
        <v>50–59</v>
      </c>
      <c r="X63" s="53" t="str">
        <f>IFERROR(
IF(tbl_abs[[#This Row],[Distance from Residence to Work]]&lt;=5,"0–5",
IF(tbl_abs[[#This Row],[Distance from Residence to Work]]&lt;=10,"6–10",
IF(tbl_abs[[#This Row],[Distance from Residence to Work]]&lt;=20,"11–20",
"21+"))),"")</f>
        <v>11–20</v>
      </c>
      <c r="Y63" s="53" t="str">
        <f>IFERROR(
IF(tbl_abs[[#This Row],[Body Mass Index]]&lt;18.5,"Underweight",
IF(tbl_abs[[#This Row],[Body Mass Index]]&lt;25,"Normal",
IF(tbl_abs[[#This Row],[Body Mass Index]]&lt;30,"Overweight",
"Obese"))),"")</f>
        <v>Normal</v>
      </c>
      <c r="Z63" s="53" t="str">
        <f>IFERROR(
IF(tbl_abs[[#This Row],[Absenteeism time in hours]]&lt;=2,"0–2",
IF(tbl_abs[[#This Row],[Absenteeism time in hours]]&lt;=8,"3–8",
IF(tbl_abs[[#This Row],[Absenteeism time in hours]]&lt;=16,"9–16",
"17+"))),"")</f>
        <v>3–8</v>
      </c>
    </row>
    <row r="64" spans="1:26" ht="15" customHeight="1" x14ac:dyDescent="0.3">
      <c r="A64">
        <v>28</v>
      </c>
      <c r="B64">
        <v>28</v>
      </c>
      <c r="C64" s="1">
        <v>2</v>
      </c>
      <c r="D64">
        <v>2</v>
      </c>
      <c r="E64">
        <v>2</v>
      </c>
      <c r="F64">
        <v>225</v>
      </c>
      <c r="G64" s="1">
        <v>26</v>
      </c>
      <c r="H64">
        <v>9</v>
      </c>
      <c r="I64" s="1">
        <v>28</v>
      </c>
      <c r="J64" s="2">
        <v>302585</v>
      </c>
      <c r="K64">
        <v>99</v>
      </c>
      <c r="L64">
        <v>0</v>
      </c>
      <c r="M64">
        <v>1</v>
      </c>
      <c r="N64">
        <v>1</v>
      </c>
      <c r="O64">
        <v>0</v>
      </c>
      <c r="P64">
        <v>0</v>
      </c>
      <c r="Q64">
        <v>2</v>
      </c>
      <c r="R64">
        <v>69</v>
      </c>
      <c r="S64">
        <v>169</v>
      </c>
      <c r="U64">
        <v>2</v>
      </c>
      <c r="V64" s="53" t="str">
        <f>IFERROR(
IF(tbl_abs[[#This Row],[Month of absence]]=0,"Unknown",
CHOOSE(tbl_abs[[#This Row],[Month of absence]],
"Jan","Feb","Mar","Apr","May","Jun","Jul","Aug","Sep","Oct","Nov","Dec")),"")</f>
        <v>Feb</v>
      </c>
      <c r="W64" s="53" t="str">
        <f>IFERROR(
IF(tbl_abs[[#This Row],[Age]]&lt;30,"&lt;30",
IF(tbl_abs[[#This Row],[Age]]&lt;40,"30–39",
IF(tbl_abs[[#This Row],[Age]]&lt;50,"40–49",
IF(tbl_abs[[#This Row],[Age]]&lt;60,"50–59",
"60+")))),"")</f>
        <v>&lt;30</v>
      </c>
      <c r="X64" s="53" t="str">
        <f>IFERROR(
IF(tbl_abs[[#This Row],[Distance from Residence to Work]]&lt;=5,"0–5",
IF(tbl_abs[[#This Row],[Distance from Residence to Work]]&lt;=10,"6–10",
IF(tbl_abs[[#This Row],[Distance from Residence to Work]]&lt;=20,"11–20",
"21+"))),"")</f>
        <v>21+</v>
      </c>
      <c r="Y64" s="53" t="str">
        <f>IFERROR(
IF(tbl_abs[[#This Row],[Body Mass Index]]&lt;18.5,"Underweight",
IF(tbl_abs[[#This Row],[Body Mass Index]]&lt;25,"Normal",
IF(tbl_abs[[#This Row],[Body Mass Index]]&lt;30,"Overweight",
"Obese"))),"")</f>
        <v>Underweight</v>
      </c>
      <c r="Z64" s="53" t="str">
        <f>IFERROR(
IF(tbl_abs[[#This Row],[Absenteeism time in hours]]&lt;=2,"0–2",
IF(tbl_abs[[#This Row],[Absenteeism time in hours]]&lt;=8,"3–8",
IF(tbl_abs[[#This Row],[Absenteeism time in hours]]&lt;=16,"9–16",
"17+"))),"")</f>
        <v>0–2</v>
      </c>
    </row>
    <row r="65" spans="1:26" ht="15" customHeight="1" x14ac:dyDescent="0.3">
      <c r="A65">
        <v>28</v>
      </c>
      <c r="B65">
        <v>23</v>
      </c>
      <c r="C65" s="1">
        <v>2</v>
      </c>
      <c r="D65">
        <v>3</v>
      </c>
      <c r="E65">
        <v>2</v>
      </c>
      <c r="F65">
        <v>225</v>
      </c>
      <c r="G65" s="1">
        <v>26</v>
      </c>
      <c r="H65">
        <v>9</v>
      </c>
      <c r="I65" s="1">
        <v>28</v>
      </c>
      <c r="J65" s="2">
        <v>302585</v>
      </c>
      <c r="K65">
        <v>99</v>
      </c>
      <c r="L65">
        <v>0</v>
      </c>
      <c r="M65">
        <v>1</v>
      </c>
      <c r="N65">
        <v>1</v>
      </c>
      <c r="O65">
        <v>0</v>
      </c>
      <c r="P65">
        <v>0</v>
      </c>
      <c r="Q65">
        <v>2</v>
      </c>
      <c r="R65">
        <v>69</v>
      </c>
      <c r="S65">
        <v>169</v>
      </c>
      <c r="T65">
        <v>24</v>
      </c>
      <c r="U65">
        <v>2</v>
      </c>
      <c r="V65" s="53" t="str">
        <f>IFERROR(
IF(tbl_abs[[#This Row],[Month of absence]]=0,"Unknown",
CHOOSE(tbl_abs[[#This Row],[Month of absence]],
"Jan","Feb","Mar","Apr","May","Jun","Jul","Aug","Sep","Oct","Nov","Dec")),"")</f>
        <v>Feb</v>
      </c>
      <c r="W65" s="53" t="str">
        <f>IFERROR(
IF(tbl_abs[[#This Row],[Age]]&lt;30,"&lt;30",
IF(tbl_abs[[#This Row],[Age]]&lt;40,"30–39",
IF(tbl_abs[[#This Row],[Age]]&lt;50,"40–49",
IF(tbl_abs[[#This Row],[Age]]&lt;60,"50–59",
"60+")))),"")</f>
        <v>&lt;30</v>
      </c>
      <c r="X65" s="53" t="str">
        <f>IFERROR(
IF(tbl_abs[[#This Row],[Distance from Residence to Work]]&lt;=5,"0–5",
IF(tbl_abs[[#This Row],[Distance from Residence to Work]]&lt;=10,"6–10",
IF(tbl_abs[[#This Row],[Distance from Residence to Work]]&lt;=20,"11–20",
"21+"))),"")</f>
        <v>21+</v>
      </c>
      <c r="Y65" s="53" t="str">
        <f>IFERROR(
IF(tbl_abs[[#This Row],[Body Mass Index]]&lt;18.5,"Underweight",
IF(tbl_abs[[#This Row],[Body Mass Index]]&lt;25,"Normal",
IF(tbl_abs[[#This Row],[Body Mass Index]]&lt;30,"Overweight",
"Obese"))),"")</f>
        <v>Normal</v>
      </c>
      <c r="Z65" s="53" t="str">
        <f>IFERROR(
IF(tbl_abs[[#This Row],[Absenteeism time in hours]]&lt;=2,"0–2",
IF(tbl_abs[[#This Row],[Absenteeism time in hours]]&lt;=8,"3–8",
IF(tbl_abs[[#This Row],[Absenteeism time in hours]]&lt;=16,"9–16",
"17+"))),"")</f>
        <v>0–2</v>
      </c>
    </row>
    <row r="66" spans="1:26" ht="15" customHeight="1" x14ac:dyDescent="0.3">
      <c r="A66">
        <v>22</v>
      </c>
      <c r="B66">
        <v>23</v>
      </c>
      <c r="C66" s="1">
        <v>2</v>
      </c>
      <c r="D66">
        <v>3</v>
      </c>
      <c r="E66">
        <v>2</v>
      </c>
      <c r="F66">
        <v>179</v>
      </c>
      <c r="G66" s="1">
        <v>26</v>
      </c>
      <c r="H66">
        <v>9</v>
      </c>
      <c r="I66" s="1">
        <v>30</v>
      </c>
      <c r="J66" s="2">
        <v>302585</v>
      </c>
      <c r="K66">
        <v>99</v>
      </c>
      <c r="L66">
        <v>0</v>
      </c>
      <c r="M66">
        <v>3</v>
      </c>
      <c r="N66">
        <v>0</v>
      </c>
      <c r="O66">
        <v>0</v>
      </c>
      <c r="P66">
        <v>0</v>
      </c>
      <c r="Q66">
        <v>0</v>
      </c>
      <c r="R66">
        <v>56</v>
      </c>
      <c r="S66">
        <v>171</v>
      </c>
      <c r="T66">
        <v>19</v>
      </c>
      <c r="U66">
        <v>1</v>
      </c>
      <c r="V66" s="53" t="str">
        <f>IFERROR(
IF(tbl_abs[[#This Row],[Month of absence]]=0,"Unknown",
CHOOSE(tbl_abs[[#This Row],[Month of absence]],
"Jan","Feb","Mar","Apr","May","Jun","Jul","Aug","Sep","Oct","Nov","Dec")),"")</f>
        <v>Feb</v>
      </c>
      <c r="W66" s="53" t="str">
        <f>IFERROR(
IF(tbl_abs[[#This Row],[Age]]&lt;30,"&lt;30",
IF(tbl_abs[[#This Row],[Age]]&lt;40,"30–39",
IF(tbl_abs[[#This Row],[Age]]&lt;50,"40–49",
IF(tbl_abs[[#This Row],[Age]]&lt;60,"50–59",
"60+")))),"")</f>
        <v>30–39</v>
      </c>
      <c r="X66" s="53" t="str">
        <f>IFERROR(
IF(tbl_abs[[#This Row],[Distance from Residence to Work]]&lt;=5,"0–5",
IF(tbl_abs[[#This Row],[Distance from Residence to Work]]&lt;=10,"6–10",
IF(tbl_abs[[#This Row],[Distance from Residence to Work]]&lt;=20,"11–20",
"21+"))),"")</f>
        <v>21+</v>
      </c>
      <c r="Y66" s="53" t="str">
        <f>IFERROR(
IF(tbl_abs[[#This Row],[Body Mass Index]]&lt;18.5,"Underweight",
IF(tbl_abs[[#This Row],[Body Mass Index]]&lt;25,"Normal",
IF(tbl_abs[[#This Row],[Body Mass Index]]&lt;30,"Overweight",
"Obese"))),"")</f>
        <v>Normal</v>
      </c>
      <c r="Z66" s="53" t="str">
        <f>IFERROR(
IF(tbl_abs[[#This Row],[Absenteeism time in hours]]&lt;=2,"0–2",
IF(tbl_abs[[#This Row],[Absenteeism time in hours]]&lt;=8,"3–8",
IF(tbl_abs[[#This Row],[Absenteeism time in hours]]&lt;=16,"9–16",
"17+"))),"")</f>
        <v>0–2</v>
      </c>
    </row>
    <row r="67" spans="1:26" ht="15" customHeight="1" x14ac:dyDescent="0.3">
      <c r="A67">
        <v>27</v>
      </c>
      <c r="B67">
        <v>23</v>
      </c>
      <c r="C67" s="1">
        <v>2</v>
      </c>
      <c r="D67">
        <v>3</v>
      </c>
      <c r="E67">
        <v>2</v>
      </c>
      <c r="F67">
        <v>184</v>
      </c>
      <c r="G67" s="1">
        <v>42</v>
      </c>
      <c r="H67">
        <v>7</v>
      </c>
      <c r="I67" s="1">
        <v>27</v>
      </c>
      <c r="J67" s="2">
        <v>302585</v>
      </c>
      <c r="K67">
        <v>99</v>
      </c>
      <c r="L67">
        <v>0</v>
      </c>
      <c r="M67">
        <v>1</v>
      </c>
      <c r="N67">
        <v>0</v>
      </c>
      <c r="O67">
        <v>0</v>
      </c>
      <c r="P67">
        <v>0</v>
      </c>
      <c r="Q67">
        <v>0</v>
      </c>
      <c r="R67">
        <v>58</v>
      </c>
      <c r="S67">
        <v>167</v>
      </c>
      <c r="T67">
        <v>21</v>
      </c>
      <c r="U67">
        <v>8</v>
      </c>
      <c r="V67" s="53" t="str">
        <f>IFERROR(
IF(tbl_abs[[#This Row],[Month of absence]]=0,"Unknown",
CHOOSE(tbl_abs[[#This Row],[Month of absence]],
"Jan","Feb","Mar","Apr","May","Jun","Jul","Aug","Sep","Oct","Nov","Dec")),"")</f>
        <v>Feb</v>
      </c>
      <c r="W67" s="53" t="str">
        <f>IFERROR(
IF(tbl_abs[[#This Row],[Age]]&lt;30,"&lt;30",
IF(tbl_abs[[#This Row],[Age]]&lt;40,"30–39",
IF(tbl_abs[[#This Row],[Age]]&lt;50,"40–49",
IF(tbl_abs[[#This Row],[Age]]&lt;60,"50–59",
"60+")))),"")</f>
        <v>&lt;30</v>
      </c>
      <c r="X67" s="53" t="str">
        <f>IFERROR(
IF(tbl_abs[[#This Row],[Distance from Residence to Work]]&lt;=5,"0–5",
IF(tbl_abs[[#This Row],[Distance from Residence to Work]]&lt;=10,"6–10",
IF(tbl_abs[[#This Row],[Distance from Residence to Work]]&lt;=20,"11–20",
"21+"))),"")</f>
        <v>21+</v>
      </c>
      <c r="Y67" s="53" t="str">
        <f>IFERROR(
IF(tbl_abs[[#This Row],[Body Mass Index]]&lt;18.5,"Underweight",
IF(tbl_abs[[#This Row],[Body Mass Index]]&lt;25,"Normal",
IF(tbl_abs[[#This Row],[Body Mass Index]]&lt;30,"Overweight",
"Obese"))),"")</f>
        <v>Normal</v>
      </c>
      <c r="Z67" s="53" t="str">
        <f>IFERROR(
IF(tbl_abs[[#This Row],[Absenteeism time in hours]]&lt;=2,"0–2",
IF(tbl_abs[[#This Row],[Absenteeism time in hours]]&lt;=8,"3–8",
IF(tbl_abs[[#This Row],[Absenteeism time in hours]]&lt;=16,"9–16",
"17+"))),"")</f>
        <v>3–8</v>
      </c>
    </row>
    <row r="68" spans="1:26" ht="15" customHeight="1" x14ac:dyDescent="0.3">
      <c r="A68">
        <v>28</v>
      </c>
      <c r="B68">
        <v>25</v>
      </c>
      <c r="C68" s="1">
        <v>2</v>
      </c>
      <c r="D68">
        <v>5</v>
      </c>
      <c r="E68">
        <v>2</v>
      </c>
      <c r="F68">
        <v>225</v>
      </c>
      <c r="G68" s="1">
        <v>26</v>
      </c>
      <c r="H68">
        <v>9</v>
      </c>
      <c r="I68" s="1">
        <v>28</v>
      </c>
      <c r="J68" s="2">
        <v>302585</v>
      </c>
      <c r="K68">
        <v>99</v>
      </c>
      <c r="L68">
        <v>0</v>
      </c>
      <c r="M68">
        <v>1</v>
      </c>
      <c r="N68">
        <v>1</v>
      </c>
      <c r="O68">
        <v>0</v>
      </c>
      <c r="P68">
        <v>0</v>
      </c>
      <c r="Q68">
        <v>2</v>
      </c>
      <c r="R68">
        <v>69</v>
      </c>
      <c r="S68">
        <v>169</v>
      </c>
      <c r="T68">
        <v>24</v>
      </c>
      <c r="U68">
        <v>3</v>
      </c>
      <c r="V68" s="53" t="str">
        <f>IFERROR(
IF(tbl_abs[[#This Row],[Month of absence]]=0,"Unknown",
CHOOSE(tbl_abs[[#This Row],[Month of absence]],
"Jan","Feb","Mar","Apr","May","Jun","Jul","Aug","Sep","Oct","Nov","Dec")),"")</f>
        <v>Feb</v>
      </c>
      <c r="W68" s="53" t="str">
        <f>IFERROR(
IF(tbl_abs[[#This Row],[Age]]&lt;30,"&lt;30",
IF(tbl_abs[[#This Row],[Age]]&lt;40,"30–39",
IF(tbl_abs[[#This Row],[Age]]&lt;50,"40–49",
IF(tbl_abs[[#This Row],[Age]]&lt;60,"50–59",
"60+")))),"")</f>
        <v>&lt;30</v>
      </c>
      <c r="X68" s="53" t="str">
        <f>IFERROR(
IF(tbl_abs[[#This Row],[Distance from Residence to Work]]&lt;=5,"0–5",
IF(tbl_abs[[#This Row],[Distance from Residence to Work]]&lt;=10,"6–10",
IF(tbl_abs[[#This Row],[Distance from Residence to Work]]&lt;=20,"11–20",
"21+"))),"")</f>
        <v>21+</v>
      </c>
      <c r="Y68" s="53" t="str">
        <f>IFERROR(
IF(tbl_abs[[#This Row],[Body Mass Index]]&lt;18.5,"Underweight",
IF(tbl_abs[[#This Row],[Body Mass Index]]&lt;25,"Normal",
IF(tbl_abs[[#This Row],[Body Mass Index]]&lt;30,"Overweight",
"Obese"))),"")</f>
        <v>Normal</v>
      </c>
      <c r="Z68" s="53" t="str">
        <f>IFERROR(
IF(tbl_abs[[#This Row],[Absenteeism time in hours]]&lt;=2,"0–2",
IF(tbl_abs[[#This Row],[Absenteeism time in hours]]&lt;=8,"3–8",
IF(tbl_abs[[#This Row],[Absenteeism time in hours]]&lt;=16,"9–16",
"17+"))),"")</f>
        <v>3–8</v>
      </c>
    </row>
    <row r="69" spans="1:26" ht="15" customHeight="1" x14ac:dyDescent="0.3">
      <c r="A69">
        <v>18</v>
      </c>
      <c r="B69">
        <v>18</v>
      </c>
      <c r="C69" s="1">
        <v>2</v>
      </c>
      <c r="D69">
        <v>2</v>
      </c>
      <c r="E69">
        <v>2</v>
      </c>
      <c r="F69">
        <v>330</v>
      </c>
      <c r="G69" s="1">
        <v>16</v>
      </c>
      <c r="H69">
        <v>4</v>
      </c>
      <c r="I69" s="1">
        <v>28</v>
      </c>
      <c r="J69" s="2">
        <v>302585</v>
      </c>
      <c r="K69">
        <v>99</v>
      </c>
      <c r="L69">
        <v>0</v>
      </c>
      <c r="M69">
        <v>2</v>
      </c>
      <c r="N69">
        <v>0</v>
      </c>
      <c r="O69">
        <v>0</v>
      </c>
      <c r="P69">
        <v>0</v>
      </c>
      <c r="Q69">
        <v>0</v>
      </c>
      <c r="R69">
        <v>84</v>
      </c>
      <c r="S69">
        <v>182</v>
      </c>
      <c r="T69">
        <v>25</v>
      </c>
      <c r="U69">
        <v>8</v>
      </c>
      <c r="V69" s="53" t="str">
        <f>IFERROR(
IF(tbl_abs[[#This Row],[Month of absence]]=0,"Unknown",
CHOOSE(tbl_abs[[#This Row],[Month of absence]],
"Jan","Feb","Mar","Apr","May","Jun","Jul","Aug","Sep","Oct","Nov","Dec")),"")</f>
        <v>Feb</v>
      </c>
      <c r="W69" s="53" t="str">
        <f>IFERROR(
IF(tbl_abs[[#This Row],[Age]]&lt;30,"&lt;30",
IF(tbl_abs[[#This Row],[Age]]&lt;40,"30–39",
IF(tbl_abs[[#This Row],[Age]]&lt;50,"40–49",
IF(tbl_abs[[#This Row],[Age]]&lt;60,"50–59",
"60+")))),"")</f>
        <v>&lt;30</v>
      </c>
      <c r="X69" s="53" t="str">
        <f>IFERROR(
IF(tbl_abs[[#This Row],[Distance from Residence to Work]]&lt;=5,"0–5",
IF(tbl_abs[[#This Row],[Distance from Residence to Work]]&lt;=10,"6–10",
IF(tbl_abs[[#This Row],[Distance from Residence to Work]]&lt;=20,"11–20",
"21+"))),"")</f>
        <v>11–20</v>
      </c>
      <c r="Y69" s="53" t="str">
        <f>IFERROR(
IF(tbl_abs[[#This Row],[Body Mass Index]]&lt;18.5,"Underweight",
IF(tbl_abs[[#This Row],[Body Mass Index]]&lt;25,"Normal",
IF(tbl_abs[[#This Row],[Body Mass Index]]&lt;30,"Overweight",
"Obese"))),"")</f>
        <v>Overweight</v>
      </c>
      <c r="Z69" s="53" t="str">
        <f>IFERROR(
IF(tbl_abs[[#This Row],[Absenteeism time in hours]]&lt;=2,"0–2",
IF(tbl_abs[[#This Row],[Absenteeism time in hours]]&lt;=8,"3–8",
IF(tbl_abs[[#This Row],[Absenteeism time in hours]]&lt;=16,"9–16",
"17+"))),"")</f>
        <v>3–8</v>
      </c>
    </row>
    <row r="70" spans="1:26" ht="15" customHeight="1" x14ac:dyDescent="0.3">
      <c r="A70">
        <v>18</v>
      </c>
      <c r="B70">
        <v>23</v>
      </c>
      <c r="C70" s="1">
        <v>2</v>
      </c>
      <c r="D70">
        <v>3</v>
      </c>
      <c r="E70">
        <v>2</v>
      </c>
      <c r="F70">
        <v>330</v>
      </c>
      <c r="G70" s="1">
        <v>16</v>
      </c>
      <c r="H70">
        <v>4</v>
      </c>
      <c r="I70" s="1">
        <v>28</v>
      </c>
      <c r="J70" s="2">
        <v>302585</v>
      </c>
      <c r="K70">
        <v>99</v>
      </c>
      <c r="L70">
        <v>0</v>
      </c>
      <c r="M70">
        <v>2</v>
      </c>
      <c r="N70">
        <v>0</v>
      </c>
      <c r="O70">
        <v>0</v>
      </c>
      <c r="P70">
        <v>0</v>
      </c>
      <c r="Q70">
        <v>0</v>
      </c>
      <c r="R70">
        <v>84</v>
      </c>
      <c r="S70">
        <v>182</v>
      </c>
      <c r="U70">
        <v>1</v>
      </c>
      <c r="V70" s="53" t="str">
        <f>IFERROR(
IF(tbl_abs[[#This Row],[Month of absence]]=0,"Unknown",
CHOOSE(tbl_abs[[#This Row],[Month of absence]],
"Jan","Feb","Mar","Apr","May","Jun","Jul","Aug","Sep","Oct","Nov","Dec")),"")</f>
        <v>Feb</v>
      </c>
      <c r="W70" s="53" t="str">
        <f>IFERROR(
IF(tbl_abs[[#This Row],[Age]]&lt;30,"&lt;30",
IF(tbl_abs[[#This Row],[Age]]&lt;40,"30–39",
IF(tbl_abs[[#This Row],[Age]]&lt;50,"40–49",
IF(tbl_abs[[#This Row],[Age]]&lt;60,"50–59",
"60+")))),"")</f>
        <v>&lt;30</v>
      </c>
      <c r="X70" s="53" t="str">
        <f>IFERROR(
IF(tbl_abs[[#This Row],[Distance from Residence to Work]]&lt;=5,"0–5",
IF(tbl_abs[[#This Row],[Distance from Residence to Work]]&lt;=10,"6–10",
IF(tbl_abs[[#This Row],[Distance from Residence to Work]]&lt;=20,"11–20",
"21+"))),"")</f>
        <v>11–20</v>
      </c>
      <c r="Y70" s="53" t="str">
        <f>IFERROR(
IF(tbl_abs[[#This Row],[Body Mass Index]]&lt;18.5,"Underweight",
IF(tbl_abs[[#This Row],[Body Mass Index]]&lt;25,"Normal",
IF(tbl_abs[[#This Row],[Body Mass Index]]&lt;30,"Overweight",
"Obese"))),"")</f>
        <v>Underweight</v>
      </c>
      <c r="Z70" s="53" t="str">
        <f>IFERROR(
IF(tbl_abs[[#This Row],[Absenteeism time in hours]]&lt;=2,"0–2",
IF(tbl_abs[[#This Row],[Absenteeism time in hours]]&lt;=8,"3–8",
IF(tbl_abs[[#This Row],[Absenteeism time in hours]]&lt;=16,"9–16",
"17+"))),"")</f>
        <v>0–2</v>
      </c>
    </row>
    <row r="71" spans="1:26" ht="15" customHeight="1" x14ac:dyDescent="0.3">
      <c r="A71">
        <v>28</v>
      </c>
      <c r="B71">
        <v>23</v>
      </c>
      <c r="C71" s="1">
        <v>2</v>
      </c>
      <c r="D71">
        <v>4</v>
      </c>
      <c r="E71">
        <v>2</v>
      </c>
      <c r="F71">
        <v>225</v>
      </c>
      <c r="G71" s="1">
        <v>26</v>
      </c>
      <c r="H71">
        <v>9</v>
      </c>
      <c r="I71" s="1">
        <v>28</v>
      </c>
      <c r="J71" s="2">
        <v>302585</v>
      </c>
      <c r="K71">
        <v>99</v>
      </c>
      <c r="L71">
        <v>0</v>
      </c>
      <c r="M71">
        <v>1</v>
      </c>
      <c r="N71">
        <v>1</v>
      </c>
      <c r="O71">
        <v>0</v>
      </c>
      <c r="P71">
        <v>0</v>
      </c>
      <c r="Q71">
        <v>2</v>
      </c>
      <c r="R71">
        <v>69</v>
      </c>
      <c r="S71">
        <v>169</v>
      </c>
      <c r="U71">
        <v>1</v>
      </c>
      <c r="V71" s="53" t="str">
        <f>IFERROR(
IF(tbl_abs[[#This Row],[Month of absence]]=0,"Unknown",
CHOOSE(tbl_abs[[#This Row],[Month of absence]],
"Jan","Feb","Mar","Apr","May","Jun","Jul","Aug","Sep","Oct","Nov","Dec")),"")</f>
        <v>Feb</v>
      </c>
      <c r="W71" s="53" t="str">
        <f>IFERROR(
IF(tbl_abs[[#This Row],[Age]]&lt;30,"&lt;30",
IF(tbl_abs[[#This Row],[Age]]&lt;40,"30–39",
IF(tbl_abs[[#This Row],[Age]]&lt;50,"40–49",
IF(tbl_abs[[#This Row],[Age]]&lt;60,"50–59",
"60+")))),"")</f>
        <v>&lt;30</v>
      </c>
      <c r="X71" s="53" t="str">
        <f>IFERROR(
IF(tbl_abs[[#This Row],[Distance from Residence to Work]]&lt;=5,"0–5",
IF(tbl_abs[[#This Row],[Distance from Residence to Work]]&lt;=10,"6–10",
IF(tbl_abs[[#This Row],[Distance from Residence to Work]]&lt;=20,"11–20",
"21+"))),"")</f>
        <v>21+</v>
      </c>
      <c r="Y71" s="53" t="str">
        <f>IFERROR(
IF(tbl_abs[[#This Row],[Body Mass Index]]&lt;18.5,"Underweight",
IF(tbl_abs[[#This Row],[Body Mass Index]]&lt;25,"Normal",
IF(tbl_abs[[#This Row],[Body Mass Index]]&lt;30,"Overweight",
"Obese"))),"")</f>
        <v>Underweight</v>
      </c>
      <c r="Z71" s="53" t="str">
        <f>IFERROR(
IF(tbl_abs[[#This Row],[Absenteeism time in hours]]&lt;=2,"0–2",
IF(tbl_abs[[#This Row],[Absenteeism time in hours]]&lt;=8,"3–8",
IF(tbl_abs[[#This Row],[Absenteeism time in hours]]&lt;=16,"9–16",
"17+"))),"")</f>
        <v>0–2</v>
      </c>
    </row>
    <row r="72" spans="1:26" ht="15" customHeight="1" x14ac:dyDescent="0.3">
      <c r="A72">
        <v>6</v>
      </c>
      <c r="B72">
        <v>19</v>
      </c>
      <c r="C72" s="1">
        <v>2</v>
      </c>
      <c r="D72">
        <v>5</v>
      </c>
      <c r="E72">
        <v>2</v>
      </c>
      <c r="F72">
        <v>189</v>
      </c>
      <c r="G72" s="1">
        <v>29</v>
      </c>
      <c r="H72">
        <v>13</v>
      </c>
      <c r="I72" s="1">
        <v>33</v>
      </c>
      <c r="J72" s="2">
        <v>302585</v>
      </c>
      <c r="K72">
        <v>99</v>
      </c>
      <c r="L72">
        <v>0</v>
      </c>
      <c r="M72">
        <v>1</v>
      </c>
      <c r="N72">
        <v>2</v>
      </c>
      <c r="O72">
        <v>0</v>
      </c>
      <c r="P72">
        <v>0</v>
      </c>
      <c r="Q72">
        <v>2</v>
      </c>
      <c r="R72">
        <v>69</v>
      </c>
      <c r="S72">
        <v>167</v>
      </c>
      <c r="T72">
        <v>25</v>
      </c>
      <c r="U72">
        <v>8</v>
      </c>
      <c r="V72" s="53" t="str">
        <f>IFERROR(
IF(tbl_abs[[#This Row],[Month of absence]]=0,"Unknown",
CHOOSE(tbl_abs[[#This Row],[Month of absence]],
"Jan","Feb","Mar","Apr","May","Jun","Jul","Aug","Sep","Oct","Nov","Dec")),"")</f>
        <v>Feb</v>
      </c>
      <c r="W72" s="53" t="str">
        <f>IFERROR(
IF(tbl_abs[[#This Row],[Age]]&lt;30,"&lt;30",
IF(tbl_abs[[#This Row],[Age]]&lt;40,"30–39",
IF(tbl_abs[[#This Row],[Age]]&lt;50,"40–49",
IF(tbl_abs[[#This Row],[Age]]&lt;60,"50–59",
"60+")))),"")</f>
        <v>30–39</v>
      </c>
      <c r="X72" s="53" t="str">
        <f>IFERROR(
IF(tbl_abs[[#This Row],[Distance from Residence to Work]]&lt;=5,"0–5",
IF(tbl_abs[[#This Row],[Distance from Residence to Work]]&lt;=10,"6–10",
IF(tbl_abs[[#This Row],[Distance from Residence to Work]]&lt;=20,"11–20",
"21+"))),"")</f>
        <v>21+</v>
      </c>
      <c r="Y72" s="53" t="str">
        <f>IFERROR(
IF(tbl_abs[[#This Row],[Body Mass Index]]&lt;18.5,"Underweight",
IF(tbl_abs[[#This Row],[Body Mass Index]]&lt;25,"Normal",
IF(tbl_abs[[#This Row],[Body Mass Index]]&lt;30,"Overweight",
"Obese"))),"")</f>
        <v>Overweight</v>
      </c>
      <c r="Z72" s="53" t="str">
        <f>IFERROR(
IF(tbl_abs[[#This Row],[Absenteeism time in hours]]&lt;=2,"0–2",
IF(tbl_abs[[#This Row],[Absenteeism time in hours]]&lt;=8,"3–8",
IF(tbl_abs[[#This Row],[Absenteeism time in hours]]&lt;=16,"9–16",
"17+"))),"")</f>
        <v>3–8</v>
      </c>
    </row>
    <row r="73" spans="1:26" ht="15" customHeight="1" x14ac:dyDescent="0.3">
      <c r="A73">
        <v>34</v>
      </c>
      <c r="B73">
        <v>28</v>
      </c>
      <c r="C73" s="1">
        <v>2</v>
      </c>
      <c r="D73">
        <v>3</v>
      </c>
      <c r="E73">
        <v>2</v>
      </c>
      <c r="F73">
        <v>118</v>
      </c>
      <c r="G73" s="1">
        <v>10</v>
      </c>
      <c r="H73">
        <v>10</v>
      </c>
      <c r="I73" s="1">
        <v>37</v>
      </c>
      <c r="J73" s="2">
        <v>251818</v>
      </c>
      <c r="K73">
        <v>96</v>
      </c>
      <c r="L73">
        <v>0</v>
      </c>
      <c r="M73">
        <v>1</v>
      </c>
      <c r="N73">
        <v>0</v>
      </c>
      <c r="O73">
        <v>0</v>
      </c>
      <c r="P73">
        <v>0</v>
      </c>
      <c r="Q73">
        <v>0</v>
      </c>
      <c r="R73">
        <v>83</v>
      </c>
      <c r="S73">
        <v>172</v>
      </c>
      <c r="T73">
        <v>28</v>
      </c>
      <c r="U73">
        <v>2</v>
      </c>
      <c r="V73" s="53" t="str">
        <f>IFERROR(
IF(tbl_abs[[#This Row],[Month of absence]]=0,"Unknown",
CHOOSE(tbl_abs[[#This Row],[Month of absence]],
"Jan","Feb","Mar","Apr","May","Jun","Jul","Aug","Sep","Oct","Nov","Dec")),"")</f>
        <v>Feb</v>
      </c>
      <c r="W73" s="53" t="str">
        <f>IFERROR(
IF(tbl_abs[[#This Row],[Age]]&lt;30,"&lt;30",
IF(tbl_abs[[#This Row],[Age]]&lt;40,"30–39",
IF(tbl_abs[[#This Row],[Age]]&lt;50,"40–49",
IF(tbl_abs[[#This Row],[Age]]&lt;60,"50–59",
"60+")))),"")</f>
        <v>30–39</v>
      </c>
      <c r="X73" s="53" t="str">
        <f>IFERROR(
IF(tbl_abs[[#This Row],[Distance from Residence to Work]]&lt;=5,"0–5",
IF(tbl_abs[[#This Row],[Distance from Residence to Work]]&lt;=10,"6–10",
IF(tbl_abs[[#This Row],[Distance from Residence to Work]]&lt;=20,"11–20",
"21+"))),"")</f>
        <v>6–10</v>
      </c>
      <c r="Y73" s="53" t="str">
        <f>IFERROR(
IF(tbl_abs[[#This Row],[Body Mass Index]]&lt;18.5,"Underweight",
IF(tbl_abs[[#This Row],[Body Mass Index]]&lt;25,"Normal",
IF(tbl_abs[[#This Row],[Body Mass Index]]&lt;30,"Overweight",
"Obese"))),"")</f>
        <v>Overweight</v>
      </c>
      <c r="Z73" s="53" t="str">
        <f>IFERROR(
IF(tbl_abs[[#This Row],[Absenteeism time in hours]]&lt;=2,"0–2",
IF(tbl_abs[[#This Row],[Absenteeism time in hours]]&lt;=8,"3–8",
IF(tbl_abs[[#This Row],[Absenteeism time in hours]]&lt;=16,"9–16",
"17+"))),"")</f>
        <v>0–2</v>
      </c>
    </row>
    <row r="74" spans="1:26" ht="15" customHeight="1" x14ac:dyDescent="0.3">
      <c r="A74">
        <v>3</v>
      </c>
      <c r="B74">
        <v>27</v>
      </c>
      <c r="C74" s="1">
        <v>2</v>
      </c>
      <c r="D74">
        <v>4</v>
      </c>
      <c r="E74">
        <v>2</v>
      </c>
      <c r="F74">
        <v>179</v>
      </c>
      <c r="G74" s="1">
        <v>51</v>
      </c>
      <c r="H74">
        <v>18</v>
      </c>
      <c r="I74" s="1">
        <v>38</v>
      </c>
      <c r="J74" s="2">
        <v>251818</v>
      </c>
      <c r="K74">
        <v>96</v>
      </c>
      <c r="L74">
        <v>0</v>
      </c>
      <c r="M74">
        <v>1</v>
      </c>
      <c r="N74">
        <v>0</v>
      </c>
      <c r="O74">
        <v>1</v>
      </c>
      <c r="P74">
        <v>0</v>
      </c>
      <c r="Q74">
        <v>0</v>
      </c>
      <c r="R74">
        <v>89</v>
      </c>
      <c r="S74">
        <v>170</v>
      </c>
      <c r="T74">
        <v>31</v>
      </c>
      <c r="U74">
        <v>3</v>
      </c>
      <c r="V74" s="53" t="str">
        <f>IFERROR(
IF(tbl_abs[[#This Row],[Month of absence]]=0,"Unknown",
CHOOSE(tbl_abs[[#This Row],[Month of absence]],
"Jan","Feb","Mar","Apr","May","Jun","Jul","Aug","Sep","Oct","Nov","Dec")),"")</f>
        <v>Feb</v>
      </c>
      <c r="W74" s="53" t="str">
        <f>IFERROR(
IF(tbl_abs[[#This Row],[Age]]&lt;30,"&lt;30",
IF(tbl_abs[[#This Row],[Age]]&lt;40,"30–39",
IF(tbl_abs[[#This Row],[Age]]&lt;50,"40–49",
IF(tbl_abs[[#This Row],[Age]]&lt;60,"50–59",
"60+")))),"")</f>
        <v>30–39</v>
      </c>
      <c r="X74" s="53" t="str">
        <f>IFERROR(
IF(tbl_abs[[#This Row],[Distance from Residence to Work]]&lt;=5,"0–5",
IF(tbl_abs[[#This Row],[Distance from Residence to Work]]&lt;=10,"6–10",
IF(tbl_abs[[#This Row],[Distance from Residence to Work]]&lt;=20,"11–20",
"21+"))),"")</f>
        <v>21+</v>
      </c>
      <c r="Y74" s="53" t="str">
        <f>IFERROR(
IF(tbl_abs[[#This Row],[Body Mass Index]]&lt;18.5,"Underweight",
IF(tbl_abs[[#This Row],[Body Mass Index]]&lt;25,"Normal",
IF(tbl_abs[[#This Row],[Body Mass Index]]&lt;30,"Overweight",
"Obese"))),"")</f>
        <v>Obese</v>
      </c>
      <c r="Z74" s="53" t="str">
        <f>IFERROR(
IF(tbl_abs[[#This Row],[Absenteeism time in hours]]&lt;=2,"0–2",
IF(tbl_abs[[#This Row],[Absenteeism time in hours]]&lt;=8,"3–8",
IF(tbl_abs[[#This Row],[Absenteeism time in hours]]&lt;=16,"9–16",
"17+"))),"")</f>
        <v>3–8</v>
      </c>
    </row>
    <row r="75" spans="1:26" ht="15" customHeight="1" x14ac:dyDescent="0.3">
      <c r="A75">
        <v>28</v>
      </c>
      <c r="B75">
        <v>7</v>
      </c>
      <c r="C75" s="1">
        <v>2</v>
      </c>
      <c r="D75">
        <v>4</v>
      </c>
      <c r="E75">
        <v>2</v>
      </c>
      <c r="F75">
        <v>225</v>
      </c>
      <c r="G75" s="1">
        <v>26</v>
      </c>
      <c r="H75">
        <v>9</v>
      </c>
      <c r="I75" s="1">
        <v>28</v>
      </c>
      <c r="J75" s="2">
        <v>251818</v>
      </c>
      <c r="K75">
        <v>96</v>
      </c>
      <c r="L75">
        <v>0</v>
      </c>
      <c r="M75">
        <v>1</v>
      </c>
      <c r="N75">
        <v>1</v>
      </c>
      <c r="O75">
        <v>0</v>
      </c>
      <c r="P75">
        <v>0</v>
      </c>
      <c r="Q75">
        <v>2</v>
      </c>
      <c r="R75">
        <v>69</v>
      </c>
      <c r="S75">
        <v>169</v>
      </c>
      <c r="T75">
        <v>24</v>
      </c>
      <c r="U75">
        <v>1</v>
      </c>
      <c r="V75" s="53" t="str">
        <f>IFERROR(
IF(tbl_abs[[#This Row],[Month of absence]]=0,"Unknown",
CHOOSE(tbl_abs[[#This Row],[Month of absence]],
"Jan","Feb","Mar","Apr","May","Jun","Jul","Aug","Sep","Oct","Nov","Dec")),"")</f>
        <v>Feb</v>
      </c>
      <c r="W75" s="53" t="str">
        <f>IFERROR(
IF(tbl_abs[[#This Row],[Age]]&lt;30,"&lt;30",
IF(tbl_abs[[#This Row],[Age]]&lt;40,"30–39",
IF(tbl_abs[[#This Row],[Age]]&lt;50,"40–49",
IF(tbl_abs[[#This Row],[Age]]&lt;60,"50–59",
"60+")))),"")</f>
        <v>&lt;30</v>
      </c>
      <c r="X75" s="53" t="str">
        <f>IFERROR(
IF(tbl_abs[[#This Row],[Distance from Residence to Work]]&lt;=5,"0–5",
IF(tbl_abs[[#This Row],[Distance from Residence to Work]]&lt;=10,"6–10",
IF(tbl_abs[[#This Row],[Distance from Residence to Work]]&lt;=20,"11–20",
"21+"))),"")</f>
        <v>21+</v>
      </c>
      <c r="Y75" s="53" t="str">
        <f>IFERROR(
IF(tbl_abs[[#This Row],[Body Mass Index]]&lt;18.5,"Underweight",
IF(tbl_abs[[#This Row],[Body Mass Index]]&lt;25,"Normal",
IF(tbl_abs[[#This Row],[Body Mass Index]]&lt;30,"Overweight",
"Obese"))),"")</f>
        <v>Normal</v>
      </c>
      <c r="Z75" s="53" t="str">
        <f>IFERROR(
IF(tbl_abs[[#This Row],[Absenteeism time in hours]]&lt;=2,"0–2",
IF(tbl_abs[[#This Row],[Absenteeism time in hours]]&lt;=8,"3–8",
IF(tbl_abs[[#This Row],[Absenteeism time in hours]]&lt;=16,"9–16",
"17+"))),"")</f>
        <v>0–2</v>
      </c>
    </row>
    <row r="76" spans="1:26" ht="15" customHeight="1" x14ac:dyDescent="0.3">
      <c r="A76">
        <v>11</v>
      </c>
      <c r="B76">
        <v>22</v>
      </c>
      <c r="C76" s="1">
        <v>2</v>
      </c>
      <c r="D76">
        <v>6</v>
      </c>
      <c r="E76">
        <v>2</v>
      </c>
      <c r="F76">
        <v>289</v>
      </c>
      <c r="G76" s="1">
        <v>36</v>
      </c>
      <c r="H76">
        <v>13</v>
      </c>
      <c r="I76" s="1">
        <v>33</v>
      </c>
      <c r="J76" s="2">
        <v>251818</v>
      </c>
      <c r="K76">
        <v>96</v>
      </c>
      <c r="L76">
        <v>0</v>
      </c>
      <c r="M76">
        <v>1</v>
      </c>
      <c r="N76">
        <v>2</v>
      </c>
      <c r="O76">
        <v>1</v>
      </c>
      <c r="P76">
        <v>0</v>
      </c>
      <c r="Q76">
        <v>1</v>
      </c>
      <c r="R76">
        <v>90</v>
      </c>
      <c r="S76">
        <v>172</v>
      </c>
      <c r="T76">
        <v>30</v>
      </c>
      <c r="U76">
        <v>3</v>
      </c>
      <c r="V76" s="53" t="str">
        <f>IFERROR(
IF(tbl_abs[[#This Row],[Month of absence]]=0,"Unknown",
CHOOSE(tbl_abs[[#This Row],[Month of absence]],
"Jan","Feb","Mar","Apr","May","Jun","Jul","Aug","Sep","Oct","Nov","Dec")),"")</f>
        <v>Feb</v>
      </c>
      <c r="W76" s="53" t="str">
        <f>IFERROR(
IF(tbl_abs[[#This Row],[Age]]&lt;30,"&lt;30",
IF(tbl_abs[[#This Row],[Age]]&lt;40,"30–39",
IF(tbl_abs[[#This Row],[Age]]&lt;50,"40–49",
IF(tbl_abs[[#This Row],[Age]]&lt;60,"50–59",
"60+")))),"")</f>
        <v>30–39</v>
      </c>
      <c r="X76" s="53" t="str">
        <f>IFERROR(
IF(tbl_abs[[#This Row],[Distance from Residence to Work]]&lt;=5,"0–5",
IF(tbl_abs[[#This Row],[Distance from Residence to Work]]&lt;=10,"6–10",
IF(tbl_abs[[#This Row],[Distance from Residence to Work]]&lt;=20,"11–20",
"21+"))),"")</f>
        <v>21+</v>
      </c>
      <c r="Y76" s="53" t="str">
        <f>IFERROR(
IF(tbl_abs[[#This Row],[Body Mass Index]]&lt;18.5,"Underweight",
IF(tbl_abs[[#This Row],[Body Mass Index]]&lt;25,"Normal",
IF(tbl_abs[[#This Row],[Body Mass Index]]&lt;30,"Overweight",
"Obese"))),"")</f>
        <v>Obese</v>
      </c>
      <c r="Z76" s="53" t="str">
        <f>IFERROR(
IF(tbl_abs[[#This Row],[Absenteeism time in hours]]&lt;=2,"0–2",
IF(tbl_abs[[#This Row],[Absenteeism time in hours]]&lt;=8,"3–8",
IF(tbl_abs[[#This Row],[Absenteeism time in hours]]&lt;=16,"9–16",
"17+"))),"")</f>
        <v>3–8</v>
      </c>
    </row>
    <row r="77" spans="1:26" ht="15" customHeight="1" x14ac:dyDescent="0.3">
      <c r="A77">
        <v>20</v>
      </c>
      <c r="C77" s="1">
        <v>2</v>
      </c>
      <c r="D77">
        <v>6</v>
      </c>
      <c r="E77">
        <v>2</v>
      </c>
      <c r="F77">
        <v>260</v>
      </c>
      <c r="G77" s="1">
        <v>50</v>
      </c>
      <c r="H77">
        <v>11</v>
      </c>
      <c r="I77" s="1">
        <v>36</v>
      </c>
      <c r="J77" s="2">
        <v>251818</v>
      </c>
      <c r="K77">
        <v>96</v>
      </c>
      <c r="L77">
        <v>0</v>
      </c>
      <c r="M77">
        <v>1</v>
      </c>
      <c r="N77">
        <v>4</v>
      </c>
      <c r="O77">
        <v>1</v>
      </c>
      <c r="P77">
        <v>0</v>
      </c>
      <c r="Q77">
        <v>0</v>
      </c>
      <c r="R77">
        <v>65</v>
      </c>
      <c r="S77">
        <v>168</v>
      </c>
      <c r="T77">
        <v>23</v>
      </c>
      <c r="U77">
        <v>3</v>
      </c>
      <c r="V77" s="53" t="str">
        <f>IFERROR(
IF(tbl_abs[[#This Row],[Month of absence]]=0,"Unknown",
CHOOSE(tbl_abs[[#This Row],[Month of absence]],
"Jan","Feb","Mar","Apr","May","Jun","Jul","Aug","Sep","Oct","Nov","Dec")),"")</f>
        <v>Feb</v>
      </c>
      <c r="W77" s="53" t="str">
        <f>IFERROR(
IF(tbl_abs[[#This Row],[Age]]&lt;30,"&lt;30",
IF(tbl_abs[[#This Row],[Age]]&lt;40,"30–39",
IF(tbl_abs[[#This Row],[Age]]&lt;50,"40–49",
IF(tbl_abs[[#This Row],[Age]]&lt;60,"50–59",
"60+")))),"")</f>
        <v>30–39</v>
      </c>
      <c r="X77" s="53" t="str">
        <f>IFERROR(
IF(tbl_abs[[#This Row],[Distance from Residence to Work]]&lt;=5,"0–5",
IF(tbl_abs[[#This Row],[Distance from Residence to Work]]&lt;=10,"6–10",
IF(tbl_abs[[#This Row],[Distance from Residence to Work]]&lt;=20,"11–20",
"21+"))),"")</f>
        <v>21+</v>
      </c>
      <c r="Y77" s="53" t="str">
        <f>IFERROR(
IF(tbl_abs[[#This Row],[Body Mass Index]]&lt;18.5,"Underweight",
IF(tbl_abs[[#This Row],[Body Mass Index]]&lt;25,"Normal",
IF(tbl_abs[[#This Row],[Body Mass Index]]&lt;30,"Overweight",
"Obese"))),"")</f>
        <v>Normal</v>
      </c>
      <c r="Z77" s="53" t="str">
        <f>IFERROR(
IF(tbl_abs[[#This Row],[Absenteeism time in hours]]&lt;=2,"0–2",
IF(tbl_abs[[#This Row],[Absenteeism time in hours]]&lt;=8,"3–8",
IF(tbl_abs[[#This Row],[Absenteeism time in hours]]&lt;=16,"9–16",
"17+"))),"")</f>
        <v>3–8</v>
      </c>
    </row>
    <row r="78" spans="1:26" ht="15" customHeight="1" x14ac:dyDescent="0.3">
      <c r="A78">
        <v>3</v>
      </c>
      <c r="B78">
        <v>23</v>
      </c>
      <c r="C78" s="1">
        <v>2</v>
      </c>
      <c r="D78">
        <v>6</v>
      </c>
      <c r="E78">
        <v>2</v>
      </c>
      <c r="F78">
        <v>179</v>
      </c>
      <c r="G78" s="1">
        <v>51</v>
      </c>
      <c r="H78">
        <v>18</v>
      </c>
      <c r="I78" s="1">
        <v>38</v>
      </c>
      <c r="J78" s="2">
        <v>251818</v>
      </c>
      <c r="K78">
        <v>96</v>
      </c>
      <c r="L78">
        <v>0</v>
      </c>
      <c r="M78">
        <v>1</v>
      </c>
      <c r="N78">
        <v>0</v>
      </c>
      <c r="O78">
        <v>1</v>
      </c>
      <c r="P78">
        <v>0</v>
      </c>
      <c r="Q78">
        <v>0</v>
      </c>
      <c r="R78">
        <v>89</v>
      </c>
      <c r="S78">
        <v>170</v>
      </c>
      <c r="T78">
        <v>31</v>
      </c>
      <c r="U78">
        <v>3</v>
      </c>
      <c r="V78" s="53" t="str">
        <f>IFERROR(
IF(tbl_abs[[#This Row],[Month of absence]]=0,"Unknown",
CHOOSE(tbl_abs[[#This Row],[Month of absence]],
"Jan","Feb","Mar","Apr","May","Jun","Jul","Aug","Sep","Oct","Nov","Dec")),"")</f>
        <v>Feb</v>
      </c>
      <c r="W78" s="53" t="str">
        <f>IFERROR(
IF(tbl_abs[[#This Row],[Age]]&lt;30,"&lt;30",
IF(tbl_abs[[#This Row],[Age]]&lt;40,"30–39",
IF(tbl_abs[[#This Row],[Age]]&lt;50,"40–49",
IF(tbl_abs[[#This Row],[Age]]&lt;60,"50–59",
"60+")))),"")</f>
        <v>30–39</v>
      </c>
      <c r="X78" s="53" t="str">
        <f>IFERROR(
IF(tbl_abs[[#This Row],[Distance from Residence to Work]]&lt;=5,"0–5",
IF(tbl_abs[[#This Row],[Distance from Residence to Work]]&lt;=10,"6–10",
IF(tbl_abs[[#This Row],[Distance from Residence to Work]]&lt;=20,"11–20",
"21+"))),"")</f>
        <v>21+</v>
      </c>
      <c r="Y78" s="53" t="str">
        <f>IFERROR(
IF(tbl_abs[[#This Row],[Body Mass Index]]&lt;18.5,"Underweight",
IF(tbl_abs[[#This Row],[Body Mass Index]]&lt;25,"Normal",
IF(tbl_abs[[#This Row],[Body Mass Index]]&lt;30,"Overweight",
"Obese"))),"")</f>
        <v>Obese</v>
      </c>
      <c r="Z78" s="53" t="str">
        <f>IFERROR(
IF(tbl_abs[[#This Row],[Absenteeism time in hours]]&lt;=2,"0–2",
IF(tbl_abs[[#This Row],[Absenteeism time in hours]]&lt;=8,"3–8",
IF(tbl_abs[[#This Row],[Absenteeism time in hours]]&lt;=16,"9–16",
"17+"))),"")</f>
        <v>3–8</v>
      </c>
    </row>
    <row r="79" spans="1:26" ht="15" customHeight="1" x14ac:dyDescent="0.3">
      <c r="A79">
        <v>3</v>
      </c>
      <c r="B79">
        <v>27</v>
      </c>
      <c r="C79" s="1">
        <v>2</v>
      </c>
      <c r="D79">
        <v>2</v>
      </c>
      <c r="E79">
        <v>2</v>
      </c>
      <c r="F79">
        <v>179</v>
      </c>
      <c r="G79" s="1">
        <v>51</v>
      </c>
      <c r="H79">
        <v>18</v>
      </c>
      <c r="I79" s="1">
        <v>38</v>
      </c>
      <c r="J79" s="2">
        <v>251818</v>
      </c>
      <c r="K79">
        <v>96</v>
      </c>
      <c r="L79">
        <v>0</v>
      </c>
      <c r="M79">
        <v>1</v>
      </c>
      <c r="N79">
        <v>0</v>
      </c>
      <c r="O79">
        <v>1</v>
      </c>
      <c r="P79">
        <v>0</v>
      </c>
      <c r="Q79">
        <v>0</v>
      </c>
      <c r="R79">
        <v>89</v>
      </c>
      <c r="S79">
        <v>170</v>
      </c>
      <c r="T79">
        <v>31</v>
      </c>
      <c r="U79">
        <v>2</v>
      </c>
      <c r="V79" s="53" t="str">
        <f>IFERROR(
IF(tbl_abs[[#This Row],[Month of absence]]=0,"Unknown",
CHOOSE(tbl_abs[[#This Row],[Month of absence]],
"Jan","Feb","Mar","Apr","May","Jun","Jul","Aug","Sep","Oct","Nov","Dec")),"")</f>
        <v>Feb</v>
      </c>
      <c r="W79" s="53" t="str">
        <f>IFERROR(
IF(tbl_abs[[#This Row],[Age]]&lt;30,"&lt;30",
IF(tbl_abs[[#This Row],[Age]]&lt;40,"30–39",
IF(tbl_abs[[#This Row],[Age]]&lt;50,"40–49",
IF(tbl_abs[[#This Row],[Age]]&lt;60,"50–59",
"60+")))),"")</f>
        <v>30–39</v>
      </c>
      <c r="X79" s="53" t="str">
        <f>IFERROR(
IF(tbl_abs[[#This Row],[Distance from Residence to Work]]&lt;=5,"0–5",
IF(tbl_abs[[#This Row],[Distance from Residence to Work]]&lt;=10,"6–10",
IF(tbl_abs[[#This Row],[Distance from Residence to Work]]&lt;=20,"11–20",
"21+"))),"")</f>
        <v>21+</v>
      </c>
      <c r="Y79" s="53" t="str">
        <f>IFERROR(
IF(tbl_abs[[#This Row],[Body Mass Index]]&lt;18.5,"Underweight",
IF(tbl_abs[[#This Row],[Body Mass Index]]&lt;25,"Normal",
IF(tbl_abs[[#This Row],[Body Mass Index]]&lt;30,"Overweight",
"Obese"))),"")</f>
        <v>Obese</v>
      </c>
      <c r="Z79" s="53" t="str">
        <f>IFERROR(
IF(tbl_abs[[#This Row],[Absenteeism time in hours]]&lt;=2,"0–2",
IF(tbl_abs[[#This Row],[Absenteeism time in hours]]&lt;=8,"3–8",
IF(tbl_abs[[#This Row],[Absenteeism time in hours]]&lt;=16,"9–16",
"17+"))),"")</f>
        <v>0–2</v>
      </c>
    </row>
    <row r="80" spans="1:26" ht="15" customHeight="1" x14ac:dyDescent="0.3">
      <c r="A80">
        <v>3</v>
      </c>
      <c r="B80">
        <v>27</v>
      </c>
      <c r="C80" s="1">
        <v>2</v>
      </c>
      <c r="D80">
        <v>4</v>
      </c>
      <c r="E80">
        <v>2</v>
      </c>
      <c r="F80">
        <v>179</v>
      </c>
      <c r="G80" s="1">
        <v>51</v>
      </c>
      <c r="H80">
        <v>18</v>
      </c>
      <c r="I80" s="1">
        <v>38</v>
      </c>
      <c r="J80" s="2">
        <v>251818</v>
      </c>
      <c r="K80">
        <v>96</v>
      </c>
      <c r="L80">
        <v>0</v>
      </c>
      <c r="M80">
        <v>1</v>
      </c>
      <c r="N80">
        <v>0</v>
      </c>
      <c r="O80">
        <v>1</v>
      </c>
      <c r="P80">
        <v>0</v>
      </c>
      <c r="Q80">
        <v>0</v>
      </c>
      <c r="R80">
        <v>89</v>
      </c>
      <c r="S80">
        <v>170</v>
      </c>
      <c r="T80">
        <v>31</v>
      </c>
      <c r="U80">
        <v>3</v>
      </c>
      <c r="V80" s="53" t="str">
        <f>IFERROR(
IF(tbl_abs[[#This Row],[Month of absence]]=0,"Unknown",
CHOOSE(tbl_abs[[#This Row],[Month of absence]],
"Jan","Feb","Mar","Apr","May","Jun","Jul","Aug","Sep","Oct","Nov","Dec")),"")</f>
        <v>Feb</v>
      </c>
      <c r="W80" s="53" t="str">
        <f>IFERROR(
IF(tbl_abs[[#This Row],[Age]]&lt;30,"&lt;30",
IF(tbl_abs[[#This Row],[Age]]&lt;40,"30–39",
IF(tbl_abs[[#This Row],[Age]]&lt;50,"40–49",
IF(tbl_abs[[#This Row],[Age]]&lt;60,"50–59",
"60+")))),"")</f>
        <v>30–39</v>
      </c>
      <c r="X80" s="53" t="str">
        <f>IFERROR(
IF(tbl_abs[[#This Row],[Distance from Residence to Work]]&lt;=5,"0–5",
IF(tbl_abs[[#This Row],[Distance from Residence to Work]]&lt;=10,"6–10",
IF(tbl_abs[[#This Row],[Distance from Residence to Work]]&lt;=20,"11–20",
"21+"))),"")</f>
        <v>21+</v>
      </c>
      <c r="Y80" s="53" t="str">
        <f>IFERROR(
IF(tbl_abs[[#This Row],[Body Mass Index]]&lt;18.5,"Underweight",
IF(tbl_abs[[#This Row],[Body Mass Index]]&lt;25,"Normal",
IF(tbl_abs[[#This Row],[Body Mass Index]]&lt;30,"Overweight",
"Obese"))),"")</f>
        <v>Obese</v>
      </c>
      <c r="Z80" s="53" t="str">
        <f>IFERROR(
IF(tbl_abs[[#This Row],[Absenteeism time in hours]]&lt;=2,"0–2",
IF(tbl_abs[[#This Row],[Absenteeism time in hours]]&lt;=8,"3–8",
IF(tbl_abs[[#This Row],[Absenteeism time in hours]]&lt;=16,"9–16",
"17+"))),"")</f>
        <v>3–8</v>
      </c>
    </row>
    <row r="81" spans="1:26" ht="15" customHeight="1" x14ac:dyDescent="0.3">
      <c r="A81">
        <v>3</v>
      </c>
      <c r="B81">
        <v>10</v>
      </c>
      <c r="C81" s="1">
        <v>2</v>
      </c>
      <c r="D81">
        <v>5</v>
      </c>
      <c r="E81">
        <v>2</v>
      </c>
      <c r="F81">
        <v>179</v>
      </c>
      <c r="G81" s="1">
        <v>51</v>
      </c>
      <c r="H81">
        <v>18</v>
      </c>
      <c r="I81" s="1">
        <v>38</v>
      </c>
      <c r="J81" s="2">
        <v>251818</v>
      </c>
      <c r="K81">
        <v>96</v>
      </c>
      <c r="L81">
        <v>0</v>
      </c>
      <c r="M81">
        <v>1</v>
      </c>
      <c r="N81">
        <v>0</v>
      </c>
      <c r="O81">
        <v>1</v>
      </c>
      <c r="P81">
        <v>0</v>
      </c>
      <c r="Q81">
        <v>0</v>
      </c>
      <c r="R81">
        <v>89</v>
      </c>
      <c r="S81">
        <v>170</v>
      </c>
      <c r="T81">
        <v>31</v>
      </c>
      <c r="U81">
        <v>8</v>
      </c>
      <c r="V81" s="53" t="str">
        <f>IFERROR(
IF(tbl_abs[[#This Row],[Month of absence]]=0,"Unknown",
CHOOSE(tbl_abs[[#This Row],[Month of absence]],
"Jan","Feb","Mar","Apr","May","Jun","Jul","Aug","Sep","Oct","Nov","Dec")),"")</f>
        <v>Feb</v>
      </c>
      <c r="W81" s="53" t="str">
        <f>IFERROR(
IF(tbl_abs[[#This Row],[Age]]&lt;30,"&lt;30",
IF(tbl_abs[[#This Row],[Age]]&lt;40,"30–39",
IF(tbl_abs[[#This Row],[Age]]&lt;50,"40–49",
IF(tbl_abs[[#This Row],[Age]]&lt;60,"50–59",
"60+")))),"")</f>
        <v>30–39</v>
      </c>
      <c r="X81" s="53" t="str">
        <f>IFERROR(
IF(tbl_abs[[#This Row],[Distance from Residence to Work]]&lt;=5,"0–5",
IF(tbl_abs[[#This Row],[Distance from Residence to Work]]&lt;=10,"6–10",
IF(tbl_abs[[#This Row],[Distance from Residence to Work]]&lt;=20,"11–20",
"21+"))),"")</f>
        <v>21+</v>
      </c>
      <c r="Y81" s="53" t="str">
        <f>IFERROR(
IF(tbl_abs[[#This Row],[Body Mass Index]]&lt;18.5,"Underweight",
IF(tbl_abs[[#This Row],[Body Mass Index]]&lt;25,"Normal",
IF(tbl_abs[[#This Row],[Body Mass Index]]&lt;30,"Overweight",
"Obese"))),"")</f>
        <v>Obese</v>
      </c>
      <c r="Z81" s="53" t="str">
        <f>IFERROR(
IF(tbl_abs[[#This Row],[Absenteeism time in hours]]&lt;=2,"0–2",
IF(tbl_abs[[#This Row],[Absenteeism time in hours]]&lt;=8,"3–8",
IF(tbl_abs[[#This Row],[Absenteeism time in hours]]&lt;=16,"9–16",
"17+"))),"")</f>
        <v>3–8</v>
      </c>
    </row>
    <row r="82" spans="1:26" ht="15" customHeight="1" x14ac:dyDescent="0.3">
      <c r="A82">
        <v>24</v>
      </c>
      <c r="B82">
        <v>26</v>
      </c>
      <c r="C82" s="1">
        <v>2</v>
      </c>
      <c r="D82">
        <v>5</v>
      </c>
      <c r="E82">
        <v>2</v>
      </c>
      <c r="F82">
        <v>246</v>
      </c>
      <c r="G82" s="1">
        <v>25</v>
      </c>
      <c r="H82">
        <v>16</v>
      </c>
      <c r="I82" s="1">
        <v>41</v>
      </c>
      <c r="J82" s="2">
        <v>251818</v>
      </c>
      <c r="K82">
        <v>96</v>
      </c>
      <c r="L82">
        <v>0</v>
      </c>
      <c r="M82">
        <v>1</v>
      </c>
      <c r="N82">
        <v>0</v>
      </c>
      <c r="O82">
        <v>1</v>
      </c>
      <c r="P82">
        <v>0</v>
      </c>
      <c r="Q82">
        <v>0</v>
      </c>
      <c r="R82">
        <v>67</v>
      </c>
      <c r="S82">
        <v>170</v>
      </c>
      <c r="T82">
        <v>23</v>
      </c>
      <c r="U82">
        <v>8</v>
      </c>
      <c r="V82" s="53" t="str">
        <f>IFERROR(
IF(tbl_abs[[#This Row],[Month of absence]]=0,"Unknown",
CHOOSE(tbl_abs[[#This Row],[Month of absence]],
"Jan","Feb","Mar","Apr","May","Jun","Jul","Aug","Sep","Oct","Nov","Dec")),"")</f>
        <v>Feb</v>
      </c>
      <c r="W82" s="53" t="str">
        <f>IFERROR(
IF(tbl_abs[[#This Row],[Age]]&lt;30,"&lt;30",
IF(tbl_abs[[#This Row],[Age]]&lt;40,"30–39",
IF(tbl_abs[[#This Row],[Age]]&lt;50,"40–49",
IF(tbl_abs[[#This Row],[Age]]&lt;60,"50–59",
"60+")))),"")</f>
        <v>40–49</v>
      </c>
      <c r="X82" s="53" t="str">
        <f>IFERROR(
IF(tbl_abs[[#This Row],[Distance from Residence to Work]]&lt;=5,"0–5",
IF(tbl_abs[[#This Row],[Distance from Residence to Work]]&lt;=10,"6–10",
IF(tbl_abs[[#This Row],[Distance from Residence to Work]]&lt;=20,"11–20",
"21+"))),"")</f>
        <v>21+</v>
      </c>
      <c r="Y82" s="53" t="str">
        <f>IFERROR(
IF(tbl_abs[[#This Row],[Body Mass Index]]&lt;18.5,"Underweight",
IF(tbl_abs[[#This Row],[Body Mass Index]]&lt;25,"Normal",
IF(tbl_abs[[#This Row],[Body Mass Index]]&lt;30,"Overweight",
"Obese"))),"")</f>
        <v>Normal</v>
      </c>
      <c r="Z82" s="53" t="str">
        <f>IFERROR(
IF(tbl_abs[[#This Row],[Absenteeism time in hours]]&lt;=2,"0–2",
IF(tbl_abs[[#This Row],[Absenteeism time in hours]]&lt;=8,"3–8",
IF(tbl_abs[[#This Row],[Absenteeism time in hours]]&lt;=16,"9–16",
"17+"))),"")</f>
        <v>3–8</v>
      </c>
    </row>
    <row r="83" spans="1:26" ht="15" customHeight="1" x14ac:dyDescent="0.3">
      <c r="A83">
        <v>3</v>
      </c>
      <c r="B83">
        <v>27</v>
      </c>
      <c r="C83" s="1">
        <v>2</v>
      </c>
      <c r="D83">
        <v>6</v>
      </c>
      <c r="E83">
        <v>2</v>
      </c>
      <c r="F83">
        <v>179</v>
      </c>
      <c r="G83" s="1">
        <v>51</v>
      </c>
      <c r="H83">
        <v>18</v>
      </c>
      <c r="I83" s="1">
        <v>38</v>
      </c>
      <c r="J83" s="2">
        <v>251818</v>
      </c>
      <c r="K83">
        <v>96</v>
      </c>
      <c r="L83">
        <v>0</v>
      </c>
      <c r="M83">
        <v>1</v>
      </c>
      <c r="N83">
        <v>0</v>
      </c>
      <c r="O83">
        <v>1</v>
      </c>
      <c r="P83">
        <v>0</v>
      </c>
      <c r="Q83">
        <v>0</v>
      </c>
      <c r="R83">
        <v>89</v>
      </c>
      <c r="S83">
        <v>170</v>
      </c>
      <c r="T83">
        <v>31</v>
      </c>
      <c r="U83">
        <v>3</v>
      </c>
      <c r="V83" s="53" t="str">
        <f>IFERROR(
IF(tbl_abs[[#This Row],[Month of absence]]=0,"Unknown",
CHOOSE(tbl_abs[[#This Row],[Month of absence]],
"Jan","Feb","Mar","Apr","May","Jun","Jul","Aug","Sep","Oct","Nov","Dec")),"")</f>
        <v>Feb</v>
      </c>
      <c r="W83" s="53" t="str">
        <f>IFERROR(
IF(tbl_abs[[#This Row],[Age]]&lt;30,"&lt;30",
IF(tbl_abs[[#This Row],[Age]]&lt;40,"30–39",
IF(tbl_abs[[#This Row],[Age]]&lt;50,"40–49",
IF(tbl_abs[[#This Row],[Age]]&lt;60,"50–59",
"60+")))),"")</f>
        <v>30–39</v>
      </c>
      <c r="X83" s="53" t="str">
        <f>IFERROR(
IF(tbl_abs[[#This Row],[Distance from Residence to Work]]&lt;=5,"0–5",
IF(tbl_abs[[#This Row],[Distance from Residence to Work]]&lt;=10,"6–10",
IF(tbl_abs[[#This Row],[Distance from Residence to Work]]&lt;=20,"11–20",
"21+"))),"")</f>
        <v>21+</v>
      </c>
      <c r="Y83" s="53" t="str">
        <f>IFERROR(
IF(tbl_abs[[#This Row],[Body Mass Index]]&lt;18.5,"Underweight",
IF(tbl_abs[[#This Row],[Body Mass Index]]&lt;25,"Normal",
IF(tbl_abs[[#This Row],[Body Mass Index]]&lt;30,"Overweight",
"Obese"))),"")</f>
        <v>Obese</v>
      </c>
      <c r="Z83" s="53" t="str">
        <f>IFERROR(
IF(tbl_abs[[#This Row],[Absenteeism time in hours]]&lt;=2,"0–2",
IF(tbl_abs[[#This Row],[Absenteeism time in hours]]&lt;=8,"3–8",
IF(tbl_abs[[#This Row],[Absenteeism time in hours]]&lt;=16,"9–16",
"17+"))),"")</f>
        <v>3–8</v>
      </c>
    </row>
    <row r="84" spans="1:26" ht="15" customHeight="1" x14ac:dyDescent="0.3">
      <c r="A84">
        <v>6</v>
      </c>
      <c r="C84" s="1">
        <v>2</v>
      </c>
      <c r="D84">
        <v>2</v>
      </c>
      <c r="E84">
        <v>2</v>
      </c>
      <c r="F84">
        <v>189</v>
      </c>
      <c r="G84" s="1">
        <v>29</v>
      </c>
      <c r="H84">
        <v>13</v>
      </c>
      <c r="I84" s="1">
        <v>33</v>
      </c>
      <c r="J84" s="2">
        <v>251818</v>
      </c>
      <c r="K84">
        <v>96</v>
      </c>
      <c r="L84">
        <v>0</v>
      </c>
      <c r="M84">
        <v>1</v>
      </c>
      <c r="N84">
        <v>2</v>
      </c>
      <c r="O84">
        <v>0</v>
      </c>
      <c r="P84">
        <v>0</v>
      </c>
      <c r="Q84">
        <v>2</v>
      </c>
      <c r="R84">
        <v>69</v>
      </c>
      <c r="S84">
        <v>167</v>
      </c>
      <c r="T84">
        <v>25</v>
      </c>
      <c r="U84">
        <v>8</v>
      </c>
      <c r="V84" s="53" t="str">
        <f>IFERROR(
IF(tbl_abs[[#This Row],[Month of absence]]=0,"Unknown",
CHOOSE(tbl_abs[[#This Row],[Month of absence]],
"Jan","Feb","Mar","Apr","May","Jun","Jul","Aug","Sep","Oct","Nov","Dec")),"")</f>
        <v>Feb</v>
      </c>
      <c r="W84" s="53" t="str">
        <f>IFERROR(
IF(tbl_abs[[#This Row],[Age]]&lt;30,"&lt;30",
IF(tbl_abs[[#This Row],[Age]]&lt;40,"30–39",
IF(tbl_abs[[#This Row],[Age]]&lt;50,"40–49",
IF(tbl_abs[[#This Row],[Age]]&lt;60,"50–59",
"60+")))),"")</f>
        <v>30–39</v>
      </c>
      <c r="X84" s="53" t="str">
        <f>IFERROR(
IF(tbl_abs[[#This Row],[Distance from Residence to Work]]&lt;=5,"0–5",
IF(tbl_abs[[#This Row],[Distance from Residence to Work]]&lt;=10,"6–10",
IF(tbl_abs[[#This Row],[Distance from Residence to Work]]&lt;=20,"11–20",
"21+"))),"")</f>
        <v>21+</v>
      </c>
      <c r="Y84" s="53" t="str">
        <f>IFERROR(
IF(tbl_abs[[#This Row],[Body Mass Index]]&lt;18.5,"Underweight",
IF(tbl_abs[[#This Row],[Body Mass Index]]&lt;25,"Normal",
IF(tbl_abs[[#This Row],[Body Mass Index]]&lt;30,"Overweight",
"Obese"))),"")</f>
        <v>Overweight</v>
      </c>
      <c r="Z84" s="53" t="str">
        <f>IFERROR(
IF(tbl_abs[[#This Row],[Absenteeism time in hours]]&lt;=2,"0–2",
IF(tbl_abs[[#This Row],[Absenteeism time in hours]]&lt;=8,"3–8",
IF(tbl_abs[[#This Row],[Absenteeism time in hours]]&lt;=16,"9–16",
"17+"))),"")</f>
        <v>3–8</v>
      </c>
    </row>
    <row r="85" spans="1:26" ht="15" customHeight="1" x14ac:dyDescent="0.3">
      <c r="A85">
        <v>3</v>
      </c>
      <c r="B85">
        <v>27</v>
      </c>
      <c r="C85" s="1">
        <v>2</v>
      </c>
      <c r="D85">
        <v>2</v>
      </c>
      <c r="E85">
        <v>2</v>
      </c>
      <c r="F85">
        <v>179</v>
      </c>
      <c r="G85" s="1">
        <v>51</v>
      </c>
      <c r="H85">
        <v>18</v>
      </c>
      <c r="I85" s="1">
        <v>38</v>
      </c>
      <c r="J85" s="2">
        <v>251818</v>
      </c>
      <c r="K85">
        <v>96</v>
      </c>
      <c r="L85">
        <v>0</v>
      </c>
      <c r="M85">
        <v>1</v>
      </c>
      <c r="N85">
        <v>0</v>
      </c>
      <c r="O85">
        <v>1</v>
      </c>
      <c r="P85">
        <v>0</v>
      </c>
      <c r="Q85">
        <v>0</v>
      </c>
      <c r="R85">
        <v>89</v>
      </c>
      <c r="S85">
        <v>170</v>
      </c>
      <c r="T85">
        <v>31</v>
      </c>
      <c r="U85">
        <v>3</v>
      </c>
      <c r="V85" s="53" t="str">
        <f>IFERROR(
IF(tbl_abs[[#This Row],[Month of absence]]=0,"Unknown",
CHOOSE(tbl_abs[[#This Row],[Month of absence]],
"Jan","Feb","Mar","Apr","May","Jun","Jul","Aug","Sep","Oct","Nov","Dec")),"")</f>
        <v>Feb</v>
      </c>
      <c r="W85" s="53" t="str">
        <f>IFERROR(
IF(tbl_abs[[#This Row],[Age]]&lt;30,"&lt;30",
IF(tbl_abs[[#This Row],[Age]]&lt;40,"30–39",
IF(tbl_abs[[#This Row],[Age]]&lt;50,"40–49",
IF(tbl_abs[[#This Row],[Age]]&lt;60,"50–59",
"60+")))),"")</f>
        <v>30–39</v>
      </c>
      <c r="X85" s="53" t="str">
        <f>IFERROR(
IF(tbl_abs[[#This Row],[Distance from Residence to Work]]&lt;=5,"0–5",
IF(tbl_abs[[#This Row],[Distance from Residence to Work]]&lt;=10,"6–10",
IF(tbl_abs[[#This Row],[Distance from Residence to Work]]&lt;=20,"11–20",
"21+"))),"")</f>
        <v>21+</v>
      </c>
      <c r="Y85" s="53" t="str">
        <f>IFERROR(
IF(tbl_abs[[#This Row],[Body Mass Index]]&lt;18.5,"Underweight",
IF(tbl_abs[[#This Row],[Body Mass Index]]&lt;25,"Normal",
IF(tbl_abs[[#This Row],[Body Mass Index]]&lt;30,"Overweight",
"Obese"))),"")</f>
        <v>Obese</v>
      </c>
      <c r="Z85" s="53" t="str">
        <f>IFERROR(
IF(tbl_abs[[#This Row],[Absenteeism time in hours]]&lt;=2,"0–2",
IF(tbl_abs[[#This Row],[Absenteeism time in hours]]&lt;=8,"3–8",
IF(tbl_abs[[#This Row],[Absenteeism time in hours]]&lt;=16,"9–16",
"17+"))),"")</f>
        <v>3–8</v>
      </c>
    </row>
    <row r="86" spans="1:26" ht="15" customHeight="1" x14ac:dyDescent="0.3">
      <c r="A86">
        <v>24</v>
      </c>
      <c r="B86">
        <v>23</v>
      </c>
      <c r="C86" s="1">
        <v>2</v>
      </c>
      <c r="D86">
        <v>3</v>
      </c>
      <c r="E86">
        <v>2</v>
      </c>
      <c r="F86">
        <v>246</v>
      </c>
      <c r="G86" s="1">
        <v>25</v>
      </c>
      <c r="H86">
        <v>16</v>
      </c>
      <c r="I86" s="1">
        <v>41</v>
      </c>
      <c r="J86" s="2">
        <v>251818</v>
      </c>
      <c r="K86">
        <v>96</v>
      </c>
      <c r="L86">
        <v>0</v>
      </c>
      <c r="M86">
        <v>1</v>
      </c>
      <c r="N86">
        <v>0</v>
      </c>
      <c r="O86">
        <v>1</v>
      </c>
      <c r="P86">
        <v>0</v>
      </c>
      <c r="Q86">
        <v>0</v>
      </c>
      <c r="R86">
        <v>67</v>
      </c>
      <c r="S86">
        <v>170</v>
      </c>
      <c r="T86">
        <v>23</v>
      </c>
      <c r="U86">
        <v>2</v>
      </c>
      <c r="V86" s="53" t="str">
        <f>IFERROR(
IF(tbl_abs[[#This Row],[Month of absence]]=0,"Unknown",
CHOOSE(tbl_abs[[#This Row],[Month of absence]],
"Jan","Feb","Mar","Apr","May","Jun","Jul","Aug","Sep","Oct","Nov","Dec")),"")</f>
        <v>Feb</v>
      </c>
      <c r="W86" s="53" t="str">
        <f>IFERROR(
IF(tbl_abs[[#This Row],[Age]]&lt;30,"&lt;30",
IF(tbl_abs[[#This Row],[Age]]&lt;40,"30–39",
IF(tbl_abs[[#This Row],[Age]]&lt;50,"40–49",
IF(tbl_abs[[#This Row],[Age]]&lt;60,"50–59",
"60+")))),"")</f>
        <v>40–49</v>
      </c>
      <c r="X86" s="53" t="str">
        <f>IFERROR(
IF(tbl_abs[[#This Row],[Distance from Residence to Work]]&lt;=5,"0–5",
IF(tbl_abs[[#This Row],[Distance from Residence to Work]]&lt;=10,"6–10",
IF(tbl_abs[[#This Row],[Distance from Residence to Work]]&lt;=20,"11–20",
"21+"))),"")</f>
        <v>21+</v>
      </c>
      <c r="Y86" s="53" t="str">
        <f>IFERROR(
IF(tbl_abs[[#This Row],[Body Mass Index]]&lt;18.5,"Underweight",
IF(tbl_abs[[#This Row],[Body Mass Index]]&lt;25,"Normal",
IF(tbl_abs[[#This Row],[Body Mass Index]]&lt;30,"Overweight",
"Obese"))),"")</f>
        <v>Normal</v>
      </c>
      <c r="Z86" s="53" t="str">
        <f>IFERROR(
IF(tbl_abs[[#This Row],[Absenteeism time in hours]]&lt;=2,"0–2",
IF(tbl_abs[[#This Row],[Absenteeism time in hours]]&lt;=8,"3–8",
IF(tbl_abs[[#This Row],[Absenteeism time in hours]]&lt;=16,"9–16",
"17+"))),"")</f>
        <v>0–2</v>
      </c>
    </row>
    <row r="87" spans="1:26" ht="15" customHeight="1" x14ac:dyDescent="0.3">
      <c r="A87">
        <v>15</v>
      </c>
      <c r="B87">
        <v>23</v>
      </c>
      <c r="C87" s="1">
        <v>2</v>
      </c>
      <c r="D87">
        <v>3</v>
      </c>
      <c r="E87">
        <v>2</v>
      </c>
      <c r="F87">
        <v>291</v>
      </c>
      <c r="G87" s="1">
        <v>31</v>
      </c>
      <c r="H87">
        <v>12</v>
      </c>
      <c r="I87" s="1">
        <v>40</v>
      </c>
      <c r="J87" s="2">
        <v>251818</v>
      </c>
      <c r="K87">
        <v>96</v>
      </c>
      <c r="L87">
        <v>0</v>
      </c>
      <c r="M87">
        <v>1</v>
      </c>
      <c r="N87">
        <v>1</v>
      </c>
      <c r="O87">
        <v>1</v>
      </c>
      <c r="P87">
        <v>0</v>
      </c>
      <c r="Q87">
        <v>1</v>
      </c>
      <c r="R87">
        <v>73</v>
      </c>
      <c r="S87">
        <v>171</v>
      </c>
      <c r="T87">
        <v>25</v>
      </c>
      <c r="U87">
        <v>2</v>
      </c>
      <c r="V87" s="53" t="str">
        <f>IFERROR(
IF(tbl_abs[[#This Row],[Month of absence]]=0,"Unknown",
CHOOSE(tbl_abs[[#This Row],[Month of absence]],
"Jan","Feb","Mar","Apr","May","Jun","Jul","Aug","Sep","Oct","Nov","Dec")),"")</f>
        <v>Feb</v>
      </c>
      <c r="W87" s="53" t="str">
        <f>IFERROR(
IF(tbl_abs[[#This Row],[Age]]&lt;30,"&lt;30",
IF(tbl_abs[[#This Row],[Age]]&lt;40,"30–39",
IF(tbl_abs[[#This Row],[Age]]&lt;50,"40–49",
IF(tbl_abs[[#This Row],[Age]]&lt;60,"50–59",
"60+")))),"")</f>
        <v>40–49</v>
      </c>
      <c r="X87" s="53" t="str">
        <f>IFERROR(
IF(tbl_abs[[#This Row],[Distance from Residence to Work]]&lt;=5,"0–5",
IF(tbl_abs[[#This Row],[Distance from Residence to Work]]&lt;=10,"6–10",
IF(tbl_abs[[#This Row],[Distance from Residence to Work]]&lt;=20,"11–20",
"21+"))),"")</f>
        <v>21+</v>
      </c>
      <c r="Y87" s="53" t="str">
        <f>IFERROR(
IF(tbl_abs[[#This Row],[Body Mass Index]]&lt;18.5,"Underweight",
IF(tbl_abs[[#This Row],[Body Mass Index]]&lt;25,"Normal",
IF(tbl_abs[[#This Row],[Body Mass Index]]&lt;30,"Overweight",
"Obese"))),"")</f>
        <v>Overweight</v>
      </c>
      <c r="Z87" s="53" t="str">
        <f>IFERROR(
IF(tbl_abs[[#This Row],[Absenteeism time in hours]]&lt;=2,"0–2",
IF(tbl_abs[[#This Row],[Absenteeism time in hours]]&lt;=8,"3–8",
IF(tbl_abs[[#This Row],[Absenteeism time in hours]]&lt;=16,"9–16",
"17+"))),"")</f>
        <v>0–2</v>
      </c>
    </row>
    <row r="88" spans="1:26" ht="15" customHeight="1" x14ac:dyDescent="0.3">
      <c r="A88">
        <v>30</v>
      </c>
      <c r="B88">
        <v>11</v>
      </c>
      <c r="C88" s="1">
        <v>2</v>
      </c>
      <c r="D88">
        <v>4</v>
      </c>
      <c r="E88">
        <v>2</v>
      </c>
      <c r="F88">
        <v>157</v>
      </c>
      <c r="G88" s="1">
        <v>27</v>
      </c>
      <c r="H88">
        <v>6</v>
      </c>
      <c r="I88" s="1">
        <v>29</v>
      </c>
      <c r="J88" s="2">
        <v>251818</v>
      </c>
      <c r="K88">
        <v>96</v>
      </c>
      <c r="L88">
        <v>0</v>
      </c>
      <c r="M88">
        <v>1</v>
      </c>
      <c r="N88">
        <v>0</v>
      </c>
      <c r="O88">
        <v>1</v>
      </c>
      <c r="P88">
        <v>1</v>
      </c>
      <c r="Q88">
        <v>0</v>
      </c>
      <c r="R88">
        <v>75</v>
      </c>
      <c r="S88">
        <v>185</v>
      </c>
      <c r="T88">
        <v>22</v>
      </c>
      <c r="U88">
        <v>16</v>
      </c>
      <c r="V88" s="53" t="str">
        <f>IFERROR(
IF(tbl_abs[[#This Row],[Month of absence]]=0,"Unknown",
CHOOSE(tbl_abs[[#This Row],[Month of absence]],
"Jan","Feb","Mar","Apr","May","Jun","Jul","Aug","Sep","Oct","Nov","Dec")),"")</f>
        <v>Feb</v>
      </c>
      <c r="W88" s="53" t="str">
        <f>IFERROR(
IF(tbl_abs[[#This Row],[Age]]&lt;30,"&lt;30",
IF(tbl_abs[[#This Row],[Age]]&lt;40,"30–39",
IF(tbl_abs[[#This Row],[Age]]&lt;50,"40–49",
IF(tbl_abs[[#This Row],[Age]]&lt;60,"50–59",
"60+")))),"")</f>
        <v>&lt;30</v>
      </c>
      <c r="X88" s="53" t="str">
        <f>IFERROR(
IF(tbl_abs[[#This Row],[Distance from Residence to Work]]&lt;=5,"0–5",
IF(tbl_abs[[#This Row],[Distance from Residence to Work]]&lt;=10,"6–10",
IF(tbl_abs[[#This Row],[Distance from Residence to Work]]&lt;=20,"11–20",
"21+"))),"")</f>
        <v>21+</v>
      </c>
      <c r="Y88" s="53" t="str">
        <f>IFERROR(
IF(tbl_abs[[#This Row],[Body Mass Index]]&lt;18.5,"Underweight",
IF(tbl_abs[[#This Row],[Body Mass Index]]&lt;25,"Normal",
IF(tbl_abs[[#This Row],[Body Mass Index]]&lt;30,"Overweight",
"Obese"))),"")</f>
        <v>Normal</v>
      </c>
      <c r="Z88" s="53" t="str">
        <f>IFERROR(
IF(tbl_abs[[#This Row],[Absenteeism time in hours]]&lt;=2,"0–2",
IF(tbl_abs[[#This Row],[Absenteeism time in hours]]&lt;=8,"3–8",
IF(tbl_abs[[#This Row],[Absenteeism time in hours]]&lt;=16,"9–16",
"17+"))),"")</f>
        <v>9–16</v>
      </c>
    </row>
    <row r="89" spans="1:26" ht="15" customHeight="1" x14ac:dyDescent="0.3">
      <c r="A89">
        <v>3</v>
      </c>
      <c r="B89">
        <v>27</v>
      </c>
      <c r="C89" s="1">
        <v>2</v>
      </c>
      <c r="D89">
        <v>4</v>
      </c>
      <c r="E89">
        <v>2</v>
      </c>
      <c r="F89">
        <v>179</v>
      </c>
      <c r="G89" s="1">
        <v>51</v>
      </c>
      <c r="H89">
        <v>18</v>
      </c>
      <c r="I89" s="1">
        <v>38</v>
      </c>
      <c r="J89" s="2">
        <v>251818</v>
      </c>
      <c r="K89">
        <v>96</v>
      </c>
      <c r="L89">
        <v>0</v>
      </c>
      <c r="M89">
        <v>1</v>
      </c>
      <c r="N89">
        <v>0</v>
      </c>
      <c r="O89">
        <v>1</v>
      </c>
      <c r="P89">
        <v>0</v>
      </c>
      <c r="Q89">
        <v>0</v>
      </c>
      <c r="R89">
        <v>89</v>
      </c>
      <c r="S89">
        <v>170</v>
      </c>
      <c r="T89">
        <v>31</v>
      </c>
      <c r="U89">
        <v>3</v>
      </c>
      <c r="V89" s="53" t="str">
        <f>IFERROR(
IF(tbl_abs[[#This Row],[Month of absence]]=0,"Unknown",
CHOOSE(tbl_abs[[#This Row],[Month of absence]],
"Jan","Feb","Mar","Apr","May","Jun","Jul","Aug","Sep","Oct","Nov","Dec")),"")</f>
        <v>Feb</v>
      </c>
      <c r="W89" s="53" t="str">
        <f>IFERROR(
IF(tbl_abs[[#This Row],[Age]]&lt;30,"&lt;30",
IF(tbl_abs[[#This Row],[Age]]&lt;40,"30–39",
IF(tbl_abs[[#This Row],[Age]]&lt;50,"40–49",
IF(tbl_abs[[#This Row],[Age]]&lt;60,"50–59",
"60+")))),"")</f>
        <v>30–39</v>
      </c>
      <c r="X89" s="53" t="str">
        <f>IFERROR(
IF(tbl_abs[[#This Row],[Distance from Residence to Work]]&lt;=5,"0–5",
IF(tbl_abs[[#This Row],[Distance from Residence to Work]]&lt;=10,"6–10",
IF(tbl_abs[[#This Row],[Distance from Residence to Work]]&lt;=20,"11–20",
"21+"))),"")</f>
        <v>21+</v>
      </c>
      <c r="Y89" s="53" t="str">
        <f>IFERROR(
IF(tbl_abs[[#This Row],[Body Mass Index]]&lt;18.5,"Underweight",
IF(tbl_abs[[#This Row],[Body Mass Index]]&lt;25,"Normal",
IF(tbl_abs[[#This Row],[Body Mass Index]]&lt;30,"Overweight",
"Obese"))),"")</f>
        <v>Obese</v>
      </c>
      <c r="Z89" s="53" t="str">
        <f>IFERROR(
IF(tbl_abs[[#This Row],[Absenteeism time in hours]]&lt;=2,"0–2",
IF(tbl_abs[[#This Row],[Absenteeism time in hours]]&lt;=8,"3–8",
IF(tbl_abs[[#This Row],[Absenteeism time in hours]]&lt;=16,"9–16",
"17+"))),"")</f>
        <v>3–8</v>
      </c>
    </row>
    <row r="90" spans="1:26" ht="15" customHeight="1" x14ac:dyDescent="0.3">
      <c r="A90">
        <v>3</v>
      </c>
      <c r="B90">
        <v>27</v>
      </c>
      <c r="C90" s="1">
        <v>2</v>
      </c>
      <c r="D90">
        <v>6</v>
      </c>
      <c r="E90">
        <v>2</v>
      </c>
      <c r="F90">
        <v>179</v>
      </c>
      <c r="G90" s="1">
        <v>51</v>
      </c>
      <c r="H90">
        <v>18</v>
      </c>
      <c r="I90" s="1">
        <v>38</v>
      </c>
      <c r="J90" s="2">
        <v>251818</v>
      </c>
      <c r="K90">
        <v>96</v>
      </c>
      <c r="L90">
        <v>0</v>
      </c>
      <c r="M90">
        <v>1</v>
      </c>
      <c r="N90">
        <v>0</v>
      </c>
      <c r="O90">
        <v>1</v>
      </c>
      <c r="P90">
        <v>0</v>
      </c>
      <c r="Q90">
        <v>0</v>
      </c>
      <c r="R90">
        <v>89</v>
      </c>
      <c r="S90">
        <v>170</v>
      </c>
      <c r="T90">
        <v>31</v>
      </c>
      <c r="U90">
        <v>3</v>
      </c>
      <c r="V90" s="53" t="str">
        <f>IFERROR(
IF(tbl_abs[[#This Row],[Month of absence]]=0,"Unknown",
CHOOSE(tbl_abs[[#This Row],[Month of absence]],
"Jan","Feb","Mar","Apr","May","Jun","Jul","Aug","Sep","Oct","Nov","Dec")),"")</f>
        <v>Feb</v>
      </c>
      <c r="W90" s="53" t="str">
        <f>IFERROR(
IF(tbl_abs[[#This Row],[Age]]&lt;30,"&lt;30",
IF(tbl_abs[[#This Row],[Age]]&lt;40,"30–39",
IF(tbl_abs[[#This Row],[Age]]&lt;50,"40–49",
IF(tbl_abs[[#This Row],[Age]]&lt;60,"50–59",
"60+")))),"")</f>
        <v>30–39</v>
      </c>
      <c r="X90" s="53" t="str">
        <f>IFERROR(
IF(tbl_abs[[#This Row],[Distance from Residence to Work]]&lt;=5,"0–5",
IF(tbl_abs[[#This Row],[Distance from Residence to Work]]&lt;=10,"6–10",
IF(tbl_abs[[#This Row],[Distance from Residence to Work]]&lt;=20,"11–20",
"21+"))),"")</f>
        <v>21+</v>
      </c>
      <c r="Y90" s="53" t="str">
        <f>IFERROR(
IF(tbl_abs[[#This Row],[Body Mass Index]]&lt;18.5,"Underweight",
IF(tbl_abs[[#This Row],[Body Mass Index]]&lt;25,"Normal",
IF(tbl_abs[[#This Row],[Body Mass Index]]&lt;30,"Overweight",
"Obese"))),"")</f>
        <v>Obese</v>
      </c>
      <c r="Z90" s="53" t="str">
        <f>IFERROR(
IF(tbl_abs[[#This Row],[Absenteeism time in hours]]&lt;=2,"0–2",
IF(tbl_abs[[#This Row],[Absenteeism time in hours]]&lt;=8,"3–8",
IF(tbl_abs[[#This Row],[Absenteeism time in hours]]&lt;=16,"9–16",
"17+"))),"")</f>
        <v>3–8</v>
      </c>
    </row>
    <row r="91" spans="1:26" ht="15" customHeight="1" x14ac:dyDescent="0.3">
      <c r="A91">
        <v>24</v>
      </c>
      <c r="B91">
        <v>10</v>
      </c>
      <c r="C91" s="1">
        <v>2</v>
      </c>
      <c r="D91">
        <v>6</v>
      </c>
      <c r="E91">
        <v>2</v>
      </c>
      <c r="F91">
        <v>246</v>
      </c>
      <c r="G91" s="1">
        <v>25</v>
      </c>
      <c r="H91">
        <v>16</v>
      </c>
      <c r="I91" s="1">
        <v>41</v>
      </c>
      <c r="J91" s="2">
        <v>251818</v>
      </c>
      <c r="K91">
        <v>96</v>
      </c>
      <c r="L91">
        <v>0</v>
      </c>
      <c r="M91">
        <v>1</v>
      </c>
      <c r="N91">
        <v>0</v>
      </c>
      <c r="O91">
        <v>1</v>
      </c>
      <c r="P91">
        <v>0</v>
      </c>
      <c r="Q91">
        <v>0</v>
      </c>
      <c r="R91">
        <v>67</v>
      </c>
      <c r="S91">
        <v>170</v>
      </c>
      <c r="T91">
        <v>23</v>
      </c>
      <c r="U91">
        <v>24</v>
      </c>
      <c r="V91" s="53" t="str">
        <f>IFERROR(
IF(tbl_abs[[#This Row],[Month of absence]]=0,"Unknown",
CHOOSE(tbl_abs[[#This Row],[Month of absence]],
"Jan","Feb","Mar","Apr","May","Jun","Jul","Aug","Sep","Oct","Nov","Dec")),"")</f>
        <v>Feb</v>
      </c>
      <c r="W91" s="53" t="str">
        <f>IFERROR(
IF(tbl_abs[[#This Row],[Age]]&lt;30,"&lt;30",
IF(tbl_abs[[#This Row],[Age]]&lt;40,"30–39",
IF(tbl_abs[[#This Row],[Age]]&lt;50,"40–49",
IF(tbl_abs[[#This Row],[Age]]&lt;60,"50–59",
"60+")))),"")</f>
        <v>40–49</v>
      </c>
      <c r="X91" s="53" t="str">
        <f>IFERROR(
IF(tbl_abs[[#This Row],[Distance from Residence to Work]]&lt;=5,"0–5",
IF(tbl_abs[[#This Row],[Distance from Residence to Work]]&lt;=10,"6–10",
IF(tbl_abs[[#This Row],[Distance from Residence to Work]]&lt;=20,"11–20",
"21+"))),"")</f>
        <v>21+</v>
      </c>
      <c r="Y91" s="53" t="str">
        <f>IFERROR(
IF(tbl_abs[[#This Row],[Body Mass Index]]&lt;18.5,"Underweight",
IF(tbl_abs[[#This Row],[Body Mass Index]]&lt;25,"Normal",
IF(tbl_abs[[#This Row],[Body Mass Index]]&lt;30,"Overweight",
"Obese"))),"")</f>
        <v>Normal</v>
      </c>
      <c r="Z91" s="53" t="str">
        <f>IFERROR(
IF(tbl_abs[[#This Row],[Absenteeism time in hours]]&lt;=2,"0–2",
IF(tbl_abs[[#This Row],[Absenteeism time in hours]]&lt;=8,"3–8",
IF(tbl_abs[[#This Row],[Absenteeism time in hours]]&lt;=16,"9–16",
"17+"))),"")</f>
        <v>17+</v>
      </c>
    </row>
    <row r="92" spans="1:26" ht="15" customHeight="1" x14ac:dyDescent="0.3">
      <c r="A92">
        <v>3</v>
      </c>
      <c r="B92">
        <v>27</v>
      </c>
      <c r="C92" s="1">
        <v>2</v>
      </c>
      <c r="D92">
        <v>4</v>
      </c>
      <c r="E92">
        <v>2</v>
      </c>
      <c r="F92">
        <v>179</v>
      </c>
      <c r="G92" s="1">
        <v>51</v>
      </c>
      <c r="H92">
        <v>18</v>
      </c>
      <c r="I92" s="1">
        <v>38</v>
      </c>
      <c r="J92" s="2">
        <v>251818</v>
      </c>
      <c r="K92">
        <v>96</v>
      </c>
      <c r="L92">
        <v>0</v>
      </c>
      <c r="M92">
        <v>1</v>
      </c>
      <c r="N92">
        <v>0</v>
      </c>
      <c r="O92">
        <v>1</v>
      </c>
      <c r="P92">
        <v>0</v>
      </c>
      <c r="Q92">
        <v>0</v>
      </c>
      <c r="R92">
        <v>89</v>
      </c>
      <c r="S92">
        <v>170</v>
      </c>
      <c r="T92">
        <v>31</v>
      </c>
      <c r="U92">
        <v>3</v>
      </c>
      <c r="V92" s="53" t="str">
        <f>IFERROR(
IF(tbl_abs[[#This Row],[Month of absence]]=0,"Unknown",
CHOOSE(tbl_abs[[#This Row],[Month of absence]],
"Jan","Feb","Mar","Apr","May","Jun","Jul","Aug","Sep","Oct","Nov","Dec")),"")</f>
        <v>Feb</v>
      </c>
      <c r="W92" s="53" t="str">
        <f>IFERROR(
IF(tbl_abs[[#This Row],[Age]]&lt;30,"&lt;30",
IF(tbl_abs[[#This Row],[Age]]&lt;40,"30–39",
IF(tbl_abs[[#This Row],[Age]]&lt;50,"40–49",
IF(tbl_abs[[#This Row],[Age]]&lt;60,"50–59",
"60+")))),"")</f>
        <v>30–39</v>
      </c>
      <c r="X92" s="53" t="str">
        <f>IFERROR(
IF(tbl_abs[[#This Row],[Distance from Residence to Work]]&lt;=5,"0–5",
IF(tbl_abs[[#This Row],[Distance from Residence to Work]]&lt;=10,"6–10",
IF(tbl_abs[[#This Row],[Distance from Residence to Work]]&lt;=20,"11–20",
"21+"))),"")</f>
        <v>21+</v>
      </c>
      <c r="Y92" s="53" t="str">
        <f>IFERROR(
IF(tbl_abs[[#This Row],[Body Mass Index]]&lt;18.5,"Underweight",
IF(tbl_abs[[#This Row],[Body Mass Index]]&lt;25,"Normal",
IF(tbl_abs[[#This Row],[Body Mass Index]]&lt;30,"Overweight",
"Obese"))),"")</f>
        <v>Obese</v>
      </c>
      <c r="Z92" s="53" t="str">
        <f>IFERROR(
IF(tbl_abs[[#This Row],[Absenteeism time in hours]]&lt;=2,"0–2",
IF(tbl_abs[[#This Row],[Absenteeism time in hours]]&lt;=8,"3–8",
IF(tbl_abs[[#This Row],[Absenteeism time in hours]]&lt;=16,"9–16",
"17+"))),"")</f>
        <v>3–8</v>
      </c>
    </row>
    <row r="93" spans="1:26" ht="15" customHeight="1" x14ac:dyDescent="0.3">
      <c r="A93">
        <v>3</v>
      </c>
      <c r="B93">
        <v>27</v>
      </c>
      <c r="C93" s="1">
        <v>2</v>
      </c>
      <c r="D93">
        <v>6</v>
      </c>
      <c r="E93">
        <v>2</v>
      </c>
      <c r="F93">
        <v>179</v>
      </c>
      <c r="G93" s="1">
        <v>51</v>
      </c>
      <c r="H93">
        <v>18</v>
      </c>
      <c r="I93" s="1">
        <v>38</v>
      </c>
      <c r="J93" s="2">
        <v>251818</v>
      </c>
      <c r="K93">
        <v>96</v>
      </c>
      <c r="L93">
        <v>0</v>
      </c>
      <c r="M93">
        <v>1</v>
      </c>
      <c r="N93">
        <v>0</v>
      </c>
      <c r="O93">
        <v>1</v>
      </c>
      <c r="P93">
        <v>0</v>
      </c>
      <c r="Q93">
        <v>0</v>
      </c>
      <c r="R93">
        <v>89</v>
      </c>
      <c r="S93">
        <v>170</v>
      </c>
      <c r="T93">
        <v>31</v>
      </c>
      <c r="U93">
        <v>3</v>
      </c>
      <c r="V93" s="53" t="str">
        <f>IFERROR(
IF(tbl_abs[[#This Row],[Month of absence]]=0,"Unknown",
CHOOSE(tbl_abs[[#This Row],[Month of absence]],
"Jan","Feb","Mar","Apr","May","Jun","Jul","Aug","Sep","Oct","Nov","Dec")),"")</f>
        <v>Feb</v>
      </c>
      <c r="W93" s="53" t="str">
        <f>IFERROR(
IF(tbl_abs[[#This Row],[Age]]&lt;30,"&lt;30",
IF(tbl_abs[[#This Row],[Age]]&lt;40,"30–39",
IF(tbl_abs[[#This Row],[Age]]&lt;50,"40–49",
IF(tbl_abs[[#This Row],[Age]]&lt;60,"50–59",
"60+")))),"")</f>
        <v>30–39</v>
      </c>
      <c r="X93" s="53" t="str">
        <f>IFERROR(
IF(tbl_abs[[#This Row],[Distance from Residence to Work]]&lt;=5,"0–5",
IF(tbl_abs[[#This Row],[Distance from Residence to Work]]&lt;=10,"6–10",
IF(tbl_abs[[#This Row],[Distance from Residence to Work]]&lt;=20,"11–20",
"21+"))),"")</f>
        <v>21+</v>
      </c>
      <c r="Y93" s="53" t="str">
        <f>IFERROR(
IF(tbl_abs[[#This Row],[Body Mass Index]]&lt;18.5,"Underweight",
IF(tbl_abs[[#This Row],[Body Mass Index]]&lt;25,"Normal",
IF(tbl_abs[[#This Row],[Body Mass Index]]&lt;30,"Overweight",
"Obese"))),"")</f>
        <v>Obese</v>
      </c>
      <c r="Z93" s="53" t="str">
        <f>IFERROR(
IF(tbl_abs[[#This Row],[Absenteeism time in hours]]&lt;=2,"0–2",
IF(tbl_abs[[#This Row],[Absenteeism time in hours]]&lt;=8,"3–8",
IF(tbl_abs[[#This Row],[Absenteeism time in hours]]&lt;=16,"9–16",
"17+"))),"")</f>
        <v>3–8</v>
      </c>
    </row>
    <row r="94" spans="1:26" ht="15" customHeight="1" x14ac:dyDescent="0.3">
      <c r="A94">
        <v>3</v>
      </c>
      <c r="B94">
        <v>13</v>
      </c>
      <c r="C94" s="1">
        <v>2</v>
      </c>
      <c r="D94">
        <v>3</v>
      </c>
      <c r="E94">
        <v>2</v>
      </c>
      <c r="F94">
        <v>179</v>
      </c>
      <c r="G94" s="1">
        <v>51</v>
      </c>
      <c r="H94">
        <v>18</v>
      </c>
      <c r="I94" s="1">
        <v>38</v>
      </c>
      <c r="J94" s="2">
        <v>264249</v>
      </c>
      <c r="K94">
        <v>97</v>
      </c>
      <c r="L94">
        <v>0</v>
      </c>
      <c r="M94">
        <v>1</v>
      </c>
      <c r="N94">
        <v>0</v>
      </c>
      <c r="O94">
        <v>1</v>
      </c>
      <c r="P94">
        <v>0</v>
      </c>
      <c r="Q94">
        <v>0</v>
      </c>
      <c r="R94">
        <v>89</v>
      </c>
      <c r="S94">
        <v>170</v>
      </c>
      <c r="T94">
        <v>31</v>
      </c>
      <c r="U94">
        <v>8</v>
      </c>
      <c r="V94" s="53" t="str">
        <f>IFERROR(
IF(tbl_abs[[#This Row],[Month of absence]]=0,"Unknown",
CHOOSE(tbl_abs[[#This Row],[Month of absence]],
"Jan","Feb","Mar","Apr","May","Jun","Jul","Aug","Sep","Oct","Nov","Dec")),"")</f>
        <v>Feb</v>
      </c>
      <c r="W94" s="53" t="str">
        <f>IFERROR(
IF(tbl_abs[[#This Row],[Age]]&lt;30,"&lt;30",
IF(tbl_abs[[#This Row],[Age]]&lt;40,"30–39",
IF(tbl_abs[[#This Row],[Age]]&lt;50,"40–49",
IF(tbl_abs[[#This Row],[Age]]&lt;60,"50–59",
"60+")))),"")</f>
        <v>30–39</v>
      </c>
      <c r="X94" s="53" t="str">
        <f>IFERROR(
IF(tbl_abs[[#This Row],[Distance from Residence to Work]]&lt;=5,"0–5",
IF(tbl_abs[[#This Row],[Distance from Residence to Work]]&lt;=10,"6–10",
IF(tbl_abs[[#This Row],[Distance from Residence to Work]]&lt;=20,"11–20",
"21+"))),"")</f>
        <v>21+</v>
      </c>
      <c r="Y94" s="53" t="str">
        <f>IFERROR(
IF(tbl_abs[[#This Row],[Body Mass Index]]&lt;18.5,"Underweight",
IF(tbl_abs[[#This Row],[Body Mass Index]]&lt;25,"Normal",
IF(tbl_abs[[#This Row],[Body Mass Index]]&lt;30,"Overweight",
"Obese"))),"")</f>
        <v>Obese</v>
      </c>
      <c r="Z94" s="53" t="str">
        <f>IFERROR(
IF(tbl_abs[[#This Row],[Absenteeism time in hours]]&lt;=2,"0–2",
IF(tbl_abs[[#This Row],[Absenteeism time in hours]]&lt;=8,"3–8",
IF(tbl_abs[[#This Row],[Absenteeism time in hours]]&lt;=16,"9–16",
"17+"))),"")</f>
        <v>3–8</v>
      </c>
    </row>
    <row r="95" spans="1:26" ht="15" customHeight="1" x14ac:dyDescent="0.3">
      <c r="A95">
        <v>28</v>
      </c>
      <c r="B95">
        <v>23</v>
      </c>
      <c r="C95" s="1">
        <v>2</v>
      </c>
      <c r="D95">
        <v>3</v>
      </c>
      <c r="E95">
        <v>2</v>
      </c>
      <c r="F95">
        <v>225</v>
      </c>
      <c r="G95" s="1">
        <v>26</v>
      </c>
      <c r="H95">
        <v>9</v>
      </c>
      <c r="I95" s="1">
        <v>28</v>
      </c>
      <c r="J95" s="2">
        <v>264249</v>
      </c>
      <c r="K95">
        <v>97</v>
      </c>
      <c r="L95">
        <v>0</v>
      </c>
      <c r="M95">
        <v>1</v>
      </c>
      <c r="N95">
        <v>1</v>
      </c>
      <c r="O95">
        <v>0</v>
      </c>
      <c r="P95">
        <v>0</v>
      </c>
      <c r="Q95">
        <v>2</v>
      </c>
      <c r="R95">
        <v>69</v>
      </c>
      <c r="S95">
        <v>169</v>
      </c>
      <c r="T95">
        <v>24</v>
      </c>
      <c r="U95">
        <v>3</v>
      </c>
      <c r="V95" s="53" t="str">
        <f>IFERROR(
IF(tbl_abs[[#This Row],[Month of absence]]=0,"Unknown",
CHOOSE(tbl_abs[[#This Row],[Month of absence]],
"Jan","Feb","Mar","Apr","May","Jun","Jul","Aug","Sep","Oct","Nov","Dec")),"")</f>
        <v>Feb</v>
      </c>
      <c r="W95" s="53" t="str">
        <f>IFERROR(
IF(tbl_abs[[#This Row],[Age]]&lt;30,"&lt;30",
IF(tbl_abs[[#This Row],[Age]]&lt;40,"30–39",
IF(tbl_abs[[#This Row],[Age]]&lt;50,"40–49",
IF(tbl_abs[[#This Row],[Age]]&lt;60,"50–59",
"60+")))),"")</f>
        <v>&lt;30</v>
      </c>
      <c r="X95" s="53" t="str">
        <f>IFERROR(
IF(tbl_abs[[#This Row],[Distance from Residence to Work]]&lt;=5,"0–5",
IF(tbl_abs[[#This Row],[Distance from Residence to Work]]&lt;=10,"6–10",
IF(tbl_abs[[#This Row],[Distance from Residence to Work]]&lt;=20,"11–20",
"21+"))),"")</f>
        <v>21+</v>
      </c>
      <c r="Y95" s="53" t="str">
        <f>IFERROR(
IF(tbl_abs[[#This Row],[Body Mass Index]]&lt;18.5,"Underweight",
IF(tbl_abs[[#This Row],[Body Mass Index]]&lt;25,"Normal",
IF(tbl_abs[[#This Row],[Body Mass Index]]&lt;30,"Overweight",
"Obese"))),"")</f>
        <v>Normal</v>
      </c>
      <c r="Z95" s="53" t="str">
        <f>IFERROR(
IF(tbl_abs[[#This Row],[Absenteeism time in hours]]&lt;=2,"0–2",
IF(tbl_abs[[#This Row],[Absenteeism time in hours]]&lt;=8,"3–8",
IF(tbl_abs[[#This Row],[Absenteeism time in hours]]&lt;=16,"9–16",
"17+"))),"")</f>
        <v>3–8</v>
      </c>
    </row>
    <row r="96" spans="1:26" ht="15" customHeight="1" x14ac:dyDescent="0.3">
      <c r="A96">
        <v>33</v>
      </c>
      <c r="B96">
        <v>1</v>
      </c>
      <c r="C96" s="1">
        <v>2</v>
      </c>
      <c r="D96">
        <v>4</v>
      </c>
      <c r="E96">
        <v>2</v>
      </c>
      <c r="F96">
        <v>248</v>
      </c>
      <c r="G96" s="1">
        <v>25</v>
      </c>
      <c r="H96">
        <v>14</v>
      </c>
      <c r="I96" s="1">
        <v>47</v>
      </c>
      <c r="J96" s="2">
        <v>264249</v>
      </c>
      <c r="K96">
        <v>97</v>
      </c>
      <c r="L96">
        <v>0</v>
      </c>
      <c r="M96">
        <v>1</v>
      </c>
      <c r="N96">
        <v>2</v>
      </c>
      <c r="O96">
        <v>0</v>
      </c>
      <c r="P96">
        <v>0</v>
      </c>
      <c r="Q96">
        <v>1</v>
      </c>
      <c r="R96">
        <v>86</v>
      </c>
      <c r="S96">
        <v>165</v>
      </c>
      <c r="T96">
        <v>32</v>
      </c>
      <c r="U96">
        <v>8</v>
      </c>
      <c r="V96" s="53" t="str">
        <f>IFERROR(
IF(tbl_abs[[#This Row],[Month of absence]]=0,"Unknown",
CHOOSE(tbl_abs[[#This Row],[Month of absence]],
"Jan","Feb","Mar","Apr","May","Jun","Jul","Aug","Sep","Oct","Nov","Dec")),"")</f>
        <v>Feb</v>
      </c>
      <c r="W96" s="53" t="str">
        <f>IFERROR(
IF(tbl_abs[[#This Row],[Age]]&lt;30,"&lt;30",
IF(tbl_abs[[#This Row],[Age]]&lt;40,"30–39",
IF(tbl_abs[[#This Row],[Age]]&lt;50,"40–49",
IF(tbl_abs[[#This Row],[Age]]&lt;60,"50–59",
"60+")))),"")</f>
        <v>40–49</v>
      </c>
      <c r="X96" s="53" t="str">
        <f>IFERROR(
IF(tbl_abs[[#This Row],[Distance from Residence to Work]]&lt;=5,"0–5",
IF(tbl_abs[[#This Row],[Distance from Residence to Work]]&lt;=10,"6–10",
IF(tbl_abs[[#This Row],[Distance from Residence to Work]]&lt;=20,"11–20",
"21+"))),"")</f>
        <v>21+</v>
      </c>
      <c r="Y96" s="53" t="str">
        <f>IFERROR(
IF(tbl_abs[[#This Row],[Body Mass Index]]&lt;18.5,"Underweight",
IF(tbl_abs[[#This Row],[Body Mass Index]]&lt;25,"Normal",
IF(tbl_abs[[#This Row],[Body Mass Index]]&lt;30,"Overweight",
"Obese"))),"")</f>
        <v>Obese</v>
      </c>
      <c r="Z96" s="53" t="str">
        <f>IFERROR(
IF(tbl_abs[[#This Row],[Absenteeism time in hours]]&lt;=2,"0–2",
IF(tbl_abs[[#This Row],[Absenteeism time in hours]]&lt;=8,"3–8",
IF(tbl_abs[[#This Row],[Absenteeism time in hours]]&lt;=16,"9–16",
"17+"))),"")</f>
        <v>3–8</v>
      </c>
    </row>
    <row r="97" spans="1:26" ht="15" customHeight="1" x14ac:dyDescent="0.3">
      <c r="A97">
        <v>3</v>
      </c>
      <c r="B97">
        <v>27</v>
      </c>
      <c r="C97" s="1">
        <v>2</v>
      </c>
      <c r="D97">
        <v>4</v>
      </c>
      <c r="E97">
        <v>2</v>
      </c>
      <c r="F97">
        <v>179</v>
      </c>
      <c r="G97" s="1">
        <v>51</v>
      </c>
      <c r="H97">
        <v>18</v>
      </c>
      <c r="I97" s="1">
        <v>38</v>
      </c>
      <c r="J97" s="2">
        <v>264249</v>
      </c>
      <c r="K97">
        <v>97</v>
      </c>
      <c r="L97">
        <v>0</v>
      </c>
      <c r="M97">
        <v>1</v>
      </c>
      <c r="N97">
        <v>0</v>
      </c>
      <c r="O97">
        <v>1</v>
      </c>
      <c r="P97">
        <v>0</v>
      </c>
      <c r="Q97">
        <v>0</v>
      </c>
      <c r="R97">
        <v>89</v>
      </c>
      <c r="S97">
        <v>170</v>
      </c>
      <c r="T97">
        <v>31</v>
      </c>
      <c r="U97">
        <v>2</v>
      </c>
      <c r="V97" s="53" t="str">
        <f>IFERROR(
IF(tbl_abs[[#This Row],[Month of absence]]=0,"Unknown",
CHOOSE(tbl_abs[[#This Row],[Month of absence]],
"Jan","Feb","Mar","Apr","May","Jun","Jul","Aug","Sep","Oct","Nov","Dec")),"")</f>
        <v>Feb</v>
      </c>
      <c r="W97" s="53" t="str">
        <f>IFERROR(
IF(tbl_abs[[#This Row],[Age]]&lt;30,"&lt;30",
IF(tbl_abs[[#This Row],[Age]]&lt;40,"30–39",
IF(tbl_abs[[#This Row],[Age]]&lt;50,"40–49",
IF(tbl_abs[[#This Row],[Age]]&lt;60,"50–59",
"60+")))),"")</f>
        <v>30–39</v>
      </c>
      <c r="X97" s="53" t="str">
        <f>IFERROR(
IF(tbl_abs[[#This Row],[Distance from Residence to Work]]&lt;=5,"0–5",
IF(tbl_abs[[#This Row],[Distance from Residence to Work]]&lt;=10,"6–10",
IF(tbl_abs[[#This Row],[Distance from Residence to Work]]&lt;=20,"11–20",
"21+"))),"")</f>
        <v>21+</v>
      </c>
      <c r="Y97" s="53" t="str">
        <f>IFERROR(
IF(tbl_abs[[#This Row],[Body Mass Index]]&lt;18.5,"Underweight",
IF(tbl_abs[[#This Row],[Body Mass Index]]&lt;25,"Normal",
IF(tbl_abs[[#This Row],[Body Mass Index]]&lt;30,"Overweight",
"Obese"))),"")</f>
        <v>Obese</v>
      </c>
      <c r="Z97" s="53" t="str">
        <f>IFERROR(
IF(tbl_abs[[#This Row],[Absenteeism time in hours]]&lt;=2,"0–2",
IF(tbl_abs[[#This Row],[Absenteeism time in hours]]&lt;=8,"3–8",
IF(tbl_abs[[#This Row],[Absenteeism time in hours]]&lt;=16,"9–16",
"17+"))),"")</f>
        <v>0–2</v>
      </c>
    </row>
    <row r="98" spans="1:26" ht="15" customHeight="1" x14ac:dyDescent="0.3">
      <c r="A98">
        <v>28</v>
      </c>
      <c r="B98">
        <v>28</v>
      </c>
      <c r="C98" s="1">
        <v>2</v>
      </c>
      <c r="D98">
        <v>5</v>
      </c>
      <c r="E98">
        <v>2</v>
      </c>
      <c r="F98">
        <v>225</v>
      </c>
      <c r="G98" s="1">
        <v>26</v>
      </c>
      <c r="H98">
        <v>9</v>
      </c>
      <c r="I98" s="1">
        <v>28</v>
      </c>
      <c r="J98" s="2">
        <v>264249</v>
      </c>
      <c r="K98">
        <v>97</v>
      </c>
      <c r="L98">
        <v>0</v>
      </c>
      <c r="M98">
        <v>1</v>
      </c>
      <c r="N98">
        <v>1</v>
      </c>
      <c r="O98">
        <v>0</v>
      </c>
      <c r="P98">
        <v>0</v>
      </c>
      <c r="Q98">
        <v>2</v>
      </c>
      <c r="R98">
        <v>69</v>
      </c>
      <c r="S98">
        <v>169</v>
      </c>
      <c r="T98">
        <v>24</v>
      </c>
      <c r="U98">
        <v>3</v>
      </c>
      <c r="V98" s="53" t="str">
        <f>IFERROR(
IF(tbl_abs[[#This Row],[Month of absence]]=0,"Unknown",
CHOOSE(tbl_abs[[#This Row],[Month of absence]],
"Jan","Feb","Mar","Apr","May","Jun","Jul","Aug","Sep","Oct","Nov","Dec")),"")</f>
        <v>Feb</v>
      </c>
      <c r="W98" s="53" t="str">
        <f>IFERROR(
IF(tbl_abs[[#This Row],[Age]]&lt;30,"&lt;30",
IF(tbl_abs[[#This Row],[Age]]&lt;40,"30–39",
IF(tbl_abs[[#This Row],[Age]]&lt;50,"40–49",
IF(tbl_abs[[#This Row],[Age]]&lt;60,"50–59",
"60+")))),"")</f>
        <v>&lt;30</v>
      </c>
      <c r="X98" s="53" t="str">
        <f>IFERROR(
IF(tbl_abs[[#This Row],[Distance from Residence to Work]]&lt;=5,"0–5",
IF(tbl_abs[[#This Row],[Distance from Residence to Work]]&lt;=10,"6–10",
IF(tbl_abs[[#This Row],[Distance from Residence to Work]]&lt;=20,"11–20",
"21+"))),"")</f>
        <v>21+</v>
      </c>
      <c r="Y98" s="53" t="str">
        <f>IFERROR(
IF(tbl_abs[[#This Row],[Body Mass Index]]&lt;18.5,"Underweight",
IF(tbl_abs[[#This Row],[Body Mass Index]]&lt;25,"Normal",
IF(tbl_abs[[#This Row],[Body Mass Index]]&lt;30,"Overweight",
"Obese"))),"")</f>
        <v>Normal</v>
      </c>
      <c r="Z98" s="53" t="str">
        <f>IFERROR(
IF(tbl_abs[[#This Row],[Absenteeism time in hours]]&lt;=2,"0–2",
IF(tbl_abs[[#This Row],[Absenteeism time in hours]]&lt;=8,"3–8",
IF(tbl_abs[[#This Row],[Absenteeism time in hours]]&lt;=16,"9–16",
"17+"))),"")</f>
        <v>3–8</v>
      </c>
    </row>
    <row r="99" spans="1:26" ht="15" customHeight="1" x14ac:dyDescent="0.3">
      <c r="A99">
        <v>3</v>
      </c>
      <c r="B99">
        <v>27</v>
      </c>
      <c r="C99" s="1">
        <v>2</v>
      </c>
      <c r="D99">
        <v>5</v>
      </c>
      <c r="E99">
        <v>2</v>
      </c>
      <c r="F99">
        <v>179</v>
      </c>
      <c r="G99" s="1">
        <v>51</v>
      </c>
      <c r="H99">
        <v>18</v>
      </c>
      <c r="I99" s="1">
        <v>38</v>
      </c>
      <c r="J99" s="2">
        <v>264249</v>
      </c>
      <c r="K99">
        <v>97</v>
      </c>
      <c r="L99">
        <v>0</v>
      </c>
      <c r="M99">
        <v>1</v>
      </c>
      <c r="N99">
        <v>0</v>
      </c>
      <c r="O99">
        <v>1</v>
      </c>
      <c r="P99">
        <v>0</v>
      </c>
      <c r="Q99">
        <v>0</v>
      </c>
      <c r="R99">
        <v>89</v>
      </c>
      <c r="S99">
        <v>170</v>
      </c>
      <c r="T99">
        <v>31</v>
      </c>
      <c r="U99">
        <v>2</v>
      </c>
      <c r="V99" s="53" t="str">
        <f>IFERROR(
IF(tbl_abs[[#This Row],[Month of absence]]=0,"Unknown",
CHOOSE(tbl_abs[[#This Row],[Month of absence]],
"Jan","Feb","Mar","Apr","May","Jun","Jul","Aug","Sep","Oct","Nov","Dec")),"")</f>
        <v>Feb</v>
      </c>
      <c r="W99" s="53" t="str">
        <f>IFERROR(
IF(tbl_abs[[#This Row],[Age]]&lt;30,"&lt;30",
IF(tbl_abs[[#This Row],[Age]]&lt;40,"30–39",
IF(tbl_abs[[#This Row],[Age]]&lt;50,"40–49",
IF(tbl_abs[[#This Row],[Age]]&lt;60,"50–59",
"60+")))),"")</f>
        <v>30–39</v>
      </c>
      <c r="X99" s="53" t="str">
        <f>IFERROR(
IF(tbl_abs[[#This Row],[Distance from Residence to Work]]&lt;=5,"0–5",
IF(tbl_abs[[#This Row],[Distance from Residence to Work]]&lt;=10,"6–10",
IF(tbl_abs[[#This Row],[Distance from Residence to Work]]&lt;=20,"11–20",
"21+"))),"")</f>
        <v>21+</v>
      </c>
      <c r="Y99" s="53" t="str">
        <f>IFERROR(
IF(tbl_abs[[#This Row],[Body Mass Index]]&lt;18.5,"Underweight",
IF(tbl_abs[[#This Row],[Body Mass Index]]&lt;25,"Normal",
IF(tbl_abs[[#This Row],[Body Mass Index]]&lt;30,"Overweight",
"Obese"))),"")</f>
        <v>Obese</v>
      </c>
      <c r="Z99" s="53" t="str">
        <f>IFERROR(
IF(tbl_abs[[#This Row],[Absenteeism time in hours]]&lt;=2,"0–2",
IF(tbl_abs[[#This Row],[Absenteeism time in hours]]&lt;=8,"3–8",
IF(tbl_abs[[#This Row],[Absenteeism time in hours]]&lt;=16,"9–16",
"17+"))),"")</f>
        <v>0–2</v>
      </c>
    </row>
    <row r="100" spans="1:26" ht="15" customHeight="1" x14ac:dyDescent="0.3">
      <c r="A100">
        <v>22</v>
      </c>
      <c r="B100">
        <v>27</v>
      </c>
      <c r="C100" s="1">
        <v>2</v>
      </c>
      <c r="D100">
        <v>5</v>
      </c>
      <c r="E100">
        <v>2</v>
      </c>
      <c r="F100">
        <v>179</v>
      </c>
      <c r="G100" s="1">
        <v>26</v>
      </c>
      <c r="H100">
        <v>9</v>
      </c>
      <c r="I100" s="1">
        <v>30</v>
      </c>
      <c r="J100" s="2">
        <v>264249</v>
      </c>
      <c r="K100">
        <v>97</v>
      </c>
      <c r="L100">
        <v>0</v>
      </c>
      <c r="M100">
        <v>3</v>
      </c>
      <c r="N100">
        <v>0</v>
      </c>
      <c r="O100">
        <v>0</v>
      </c>
      <c r="P100">
        <v>0</v>
      </c>
      <c r="Q100">
        <v>0</v>
      </c>
      <c r="R100">
        <v>56</v>
      </c>
      <c r="S100">
        <v>171</v>
      </c>
      <c r="T100">
        <v>19</v>
      </c>
      <c r="U100">
        <v>2</v>
      </c>
      <c r="V100" s="53" t="str">
        <f>IFERROR(
IF(tbl_abs[[#This Row],[Month of absence]]=0,"Unknown",
CHOOSE(tbl_abs[[#This Row],[Month of absence]],
"Jan","Feb","Mar","Apr","May","Jun","Jul","Aug","Sep","Oct","Nov","Dec")),"")</f>
        <v>Feb</v>
      </c>
      <c r="W100" s="53" t="str">
        <f>IFERROR(
IF(tbl_abs[[#This Row],[Age]]&lt;30,"&lt;30",
IF(tbl_abs[[#This Row],[Age]]&lt;40,"30–39",
IF(tbl_abs[[#This Row],[Age]]&lt;50,"40–49",
IF(tbl_abs[[#This Row],[Age]]&lt;60,"50–59",
"60+")))),"")</f>
        <v>30–39</v>
      </c>
      <c r="X100" s="53" t="str">
        <f>IFERROR(
IF(tbl_abs[[#This Row],[Distance from Residence to Work]]&lt;=5,"0–5",
IF(tbl_abs[[#This Row],[Distance from Residence to Work]]&lt;=10,"6–10",
IF(tbl_abs[[#This Row],[Distance from Residence to Work]]&lt;=20,"11–20",
"21+"))),"")</f>
        <v>21+</v>
      </c>
      <c r="Y100" s="53" t="str">
        <f>IFERROR(
IF(tbl_abs[[#This Row],[Body Mass Index]]&lt;18.5,"Underweight",
IF(tbl_abs[[#This Row],[Body Mass Index]]&lt;25,"Normal",
IF(tbl_abs[[#This Row],[Body Mass Index]]&lt;30,"Overweight",
"Obese"))),"")</f>
        <v>Normal</v>
      </c>
      <c r="Z100" s="53" t="str">
        <f>IFERROR(
IF(tbl_abs[[#This Row],[Absenteeism time in hours]]&lt;=2,"0–2",
IF(tbl_abs[[#This Row],[Absenteeism time in hours]]&lt;=8,"3–8",
IF(tbl_abs[[#This Row],[Absenteeism time in hours]]&lt;=16,"9–16",
"17+"))),"")</f>
        <v>0–2</v>
      </c>
    </row>
    <row r="101" spans="1:26" ht="15" customHeight="1" x14ac:dyDescent="0.3">
      <c r="A101">
        <v>29</v>
      </c>
      <c r="B101">
        <v>28</v>
      </c>
      <c r="C101" s="1">
        <v>2</v>
      </c>
      <c r="D101">
        <v>6</v>
      </c>
      <c r="E101">
        <v>2</v>
      </c>
      <c r="F101">
        <v>225</v>
      </c>
      <c r="G101" s="1">
        <v>15</v>
      </c>
      <c r="H101">
        <v>15</v>
      </c>
      <c r="I101" s="1">
        <v>41</v>
      </c>
      <c r="J101" s="2">
        <v>264249</v>
      </c>
      <c r="K101">
        <v>97</v>
      </c>
      <c r="L101">
        <v>0</v>
      </c>
      <c r="M101">
        <v>4</v>
      </c>
      <c r="N101">
        <v>2</v>
      </c>
      <c r="O101">
        <v>1</v>
      </c>
      <c r="P101">
        <v>0</v>
      </c>
      <c r="Q101">
        <v>2</v>
      </c>
      <c r="R101">
        <v>94</v>
      </c>
      <c r="S101">
        <v>182</v>
      </c>
      <c r="T101">
        <v>28</v>
      </c>
      <c r="U101">
        <v>2</v>
      </c>
      <c r="V101" s="53" t="str">
        <f>IFERROR(
IF(tbl_abs[[#This Row],[Month of absence]]=0,"Unknown",
CHOOSE(tbl_abs[[#This Row],[Month of absence]],
"Jan","Feb","Mar","Apr","May","Jun","Jul","Aug","Sep","Oct","Nov","Dec")),"")</f>
        <v>Feb</v>
      </c>
      <c r="W101" s="53" t="str">
        <f>IFERROR(
IF(tbl_abs[[#This Row],[Age]]&lt;30,"&lt;30",
IF(tbl_abs[[#This Row],[Age]]&lt;40,"30–39",
IF(tbl_abs[[#This Row],[Age]]&lt;50,"40–49",
IF(tbl_abs[[#This Row],[Age]]&lt;60,"50–59",
"60+")))),"")</f>
        <v>40–49</v>
      </c>
      <c r="X101" s="53" t="str">
        <f>IFERROR(
IF(tbl_abs[[#This Row],[Distance from Residence to Work]]&lt;=5,"0–5",
IF(tbl_abs[[#This Row],[Distance from Residence to Work]]&lt;=10,"6–10",
IF(tbl_abs[[#This Row],[Distance from Residence to Work]]&lt;=20,"11–20",
"21+"))),"")</f>
        <v>11–20</v>
      </c>
      <c r="Y101" s="53" t="str">
        <f>IFERROR(
IF(tbl_abs[[#This Row],[Body Mass Index]]&lt;18.5,"Underweight",
IF(tbl_abs[[#This Row],[Body Mass Index]]&lt;25,"Normal",
IF(tbl_abs[[#This Row],[Body Mass Index]]&lt;30,"Overweight",
"Obese"))),"")</f>
        <v>Overweight</v>
      </c>
      <c r="Z101" s="53" t="str">
        <f>IFERROR(
IF(tbl_abs[[#This Row],[Absenteeism time in hours]]&lt;=2,"0–2",
IF(tbl_abs[[#This Row],[Absenteeism time in hours]]&lt;=8,"3–8",
IF(tbl_abs[[#This Row],[Absenteeism time in hours]]&lt;=16,"9–16",
"17+"))),"")</f>
        <v>0–2</v>
      </c>
    </row>
    <row r="102" spans="1:26" ht="15" customHeight="1" x14ac:dyDescent="0.3">
      <c r="A102">
        <v>3</v>
      </c>
      <c r="B102">
        <v>27</v>
      </c>
      <c r="C102" s="1">
        <v>2</v>
      </c>
      <c r="D102">
        <v>6</v>
      </c>
      <c r="E102">
        <v>2</v>
      </c>
      <c r="F102">
        <v>179</v>
      </c>
      <c r="G102" s="1">
        <v>51</v>
      </c>
      <c r="H102">
        <v>18</v>
      </c>
      <c r="I102" s="1">
        <v>38</v>
      </c>
      <c r="J102" s="2">
        <v>264249</v>
      </c>
      <c r="K102">
        <v>97</v>
      </c>
      <c r="L102">
        <v>0</v>
      </c>
      <c r="M102">
        <v>1</v>
      </c>
      <c r="N102">
        <v>0</v>
      </c>
      <c r="O102">
        <v>1</v>
      </c>
      <c r="P102">
        <v>0</v>
      </c>
      <c r="Q102">
        <v>0</v>
      </c>
      <c r="R102">
        <v>89</v>
      </c>
      <c r="S102">
        <v>170</v>
      </c>
      <c r="T102">
        <v>31</v>
      </c>
      <c r="U102">
        <v>2</v>
      </c>
      <c r="V102" s="53" t="str">
        <f>IFERROR(
IF(tbl_abs[[#This Row],[Month of absence]]=0,"Unknown",
CHOOSE(tbl_abs[[#This Row],[Month of absence]],
"Jan","Feb","Mar","Apr","May","Jun","Jul","Aug","Sep","Oct","Nov","Dec")),"")</f>
        <v>Feb</v>
      </c>
      <c r="W102" s="53" t="str">
        <f>IFERROR(
IF(tbl_abs[[#This Row],[Age]]&lt;30,"&lt;30",
IF(tbl_abs[[#This Row],[Age]]&lt;40,"30–39",
IF(tbl_abs[[#This Row],[Age]]&lt;50,"40–49",
IF(tbl_abs[[#This Row],[Age]]&lt;60,"50–59",
"60+")))),"")</f>
        <v>30–39</v>
      </c>
      <c r="X102" s="53" t="str">
        <f>IFERROR(
IF(tbl_abs[[#This Row],[Distance from Residence to Work]]&lt;=5,"0–5",
IF(tbl_abs[[#This Row],[Distance from Residence to Work]]&lt;=10,"6–10",
IF(tbl_abs[[#This Row],[Distance from Residence to Work]]&lt;=20,"11–20",
"21+"))),"")</f>
        <v>21+</v>
      </c>
      <c r="Y102" s="53" t="str">
        <f>IFERROR(
IF(tbl_abs[[#This Row],[Body Mass Index]]&lt;18.5,"Underweight",
IF(tbl_abs[[#This Row],[Body Mass Index]]&lt;25,"Normal",
IF(tbl_abs[[#This Row],[Body Mass Index]]&lt;30,"Overweight",
"Obese"))),"")</f>
        <v>Obese</v>
      </c>
      <c r="Z102" s="53" t="str">
        <f>IFERROR(
IF(tbl_abs[[#This Row],[Absenteeism time in hours]]&lt;=2,"0–2",
IF(tbl_abs[[#This Row],[Absenteeism time in hours]]&lt;=8,"3–8",
IF(tbl_abs[[#This Row],[Absenteeism time in hours]]&lt;=16,"9–16",
"17+"))),"")</f>
        <v>0–2</v>
      </c>
    </row>
    <row r="103" spans="1:26" ht="15" customHeight="1" x14ac:dyDescent="0.3">
      <c r="A103">
        <v>12</v>
      </c>
      <c r="B103">
        <v>19</v>
      </c>
      <c r="C103" s="1">
        <v>2</v>
      </c>
      <c r="D103">
        <v>2</v>
      </c>
      <c r="E103">
        <v>2</v>
      </c>
      <c r="F103">
        <v>233</v>
      </c>
      <c r="G103" s="1">
        <v>51</v>
      </c>
      <c r="H103">
        <v>1</v>
      </c>
      <c r="I103" s="1">
        <v>31</v>
      </c>
      <c r="J103" s="2">
        <v>264249</v>
      </c>
      <c r="K103">
        <v>97</v>
      </c>
      <c r="L103">
        <v>0</v>
      </c>
      <c r="M103">
        <v>2</v>
      </c>
      <c r="N103">
        <v>1</v>
      </c>
      <c r="O103">
        <v>1</v>
      </c>
      <c r="P103">
        <v>0</v>
      </c>
      <c r="Q103">
        <v>8</v>
      </c>
      <c r="R103">
        <v>68</v>
      </c>
      <c r="S103">
        <v>178</v>
      </c>
      <c r="T103">
        <v>21</v>
      </c>
      <c r="U103">
        <v>2</v>
      </c>
      <c r="V103" s="53" t="str">
        <f>IFERROR(
IF(tbl_abs[[#This Row],[Month of absence]]=0,"Unknown",
CHOOSE(tbl_abs[[#This Row],[Month of absence]],
"Jan","Feb","Mar","Apr","May","Jun","Jul","Aug","Sep","Oct","Nov","Dec")),"")</f>
        <v>Feb</v>
      </c>
      <c r="W103" s="53" t="str">
        <f>IFERROR(
IF(tbl_abs[[#This Row],[Age]]&lt;30,"&lt;30",
IF(tbl_abs[[#This Row],[Age]]&lt;40,"30–39",
IF(tbl_abs[[#This Row],[Age]]&lt;50,"40–49",
IF(tbl_abs[[#This Row],[Age]]&lt;60,"50–59",
"60+")))),"")</f>
        <v>30–39</v>
      </c>
      <c r="X103" s="53" t="str">
        <f>IFERROR(
IF(tbl_abs[[#This Row],[Distance from Residence to Work]]&lt;=5,"0–5",
IF(tbl_abs[[#This Row],[Distance from Residence to Work]]&lt;=10,"6–10",
IF(tbl_abs[[#This Row],[Distance from Residence to Work]]&lt;=20,"11–20",
"21+"))),"")</f>
        <v>21+</v>
      </c>
      <c r="Y103" s="53" t="str">
        <f>IFERROR(
IF(tbl_abs[[#This Row],[Body Mass Index]]&lt;18.5,"Underweight",
IF(tbl_abs[[#This Row],[Body Mass Index]]&lt;25,"Normal",
IF(tbl_abs[[#This Row],[Body Mass Index]]&lt;30,"Overweight",
"Obese"))),"")</f>
        <v>Normal</v>
      </c>
      <c r="Z103" s="53" t="str">
        <f>IFERROR(
IF(tbl_abs[[#This Row],[Absenteeism time in hours]]&lt;=2,"0–2",
IF(tbl_abs[[#This Row],[Absenteeism time in hours]]&lt;=8,"3–8",
IF(tbl_abs[[#This Row],[Absenteeism time in hours]]&lt;=16,"9–16",
"17+"))),"")</f>
        <v>0–2</v>
      </c>
    </row>
    <row r="104" spans="1:26" ht="15" customHeight="1" x14ac:dyDescent="0.3">
      <c r="A104">
        <v>3</v>
      </c>
      <c r="B104">
        <v>27</v>
      </c>
      <c r="C104" s="1">
        <v>2</v>
      </c>
      <c r="D104">
        <v>2</v>
      </c>
      <c r="E104">
        <v>2</v>
      </c>
      <c r="F104">
        <v>179</v>
      </c>
      <c r="G104" s="1">
        <v>51</v>
      </c>
      <c r="H104">
        <v>18</v>
      </c>
      <c r="I104" s="1">
        <v>38</v>
      </c>
      <c r="J104" s="2">
        <v>264249</v>
      </c>
      <c r="K104">
        <v>97</v>
      </c>
      <c r="L104">
        <v>0</v>
      </c>
      <c r="M104">
        <v>1</v>
      </c>
      <c r="N104">
        <v>0</v>
      </c>
      <c r="O104">
        <v>1</v>
      </c>
      <c r="P104">
        <v>0</v>
      </c>
      <c r="Q104">
        <v>0</v>
      </c>
      <c r="R104">
        <v>89</v>
      </c>
      <c r="S104">
        <v>170</v>
      </c>
      <c r="T104">
        <v>31</v>
      </c>
      <c r="U104">
        <v>2</v>
      </c>
      <c r="V104" s="53" t="str">
        <f>IFERROR(
IF(tbl_abs[[#This Row],[Month of absence]]=0,"Unknown",
CHOOSE(tbl_abs[[#This Row],[Month of absence]],
"Jan","Feb","Mar","Apr","May","Jun","Jul","Aug","Sep","Oct","Nov","Dec")),"")</f>
        <v>Feb</v>
      </c>
      <c r="W104" s="53" t="str">
        <f>IFERROR(
IF(tbl_abs[[#This Row],[Age]]&lt;30,"&lt;30",
IF(tbl_abs[[#This Row],[Age]]&lt;40,"30–39",
IF(tbl_abs[[#This Row],[Age]]&lt;50,"40–49",
IF(tbl_abs[[#This Row],[Age]]&lt;60,"50–59",
"60+")))),"")</f>
        <v>30–39</v>
      </c>
      <c r="X104" s="53" t="str">
        <f>IFERROR(
IF(tbl_abs[[#This Row],[Distance from Residence to Work]]&lt;=5,"0–5",
IF(tbl_abs[[#This Row],[Distance from Residence to Work]]&lt;=10,"6–10",
IF(tbl_abs[[#This Row],[Distance from Residence to Work]]&lt;=20,"11–20",
"21+"))),"")</f>
        <v>21+</v>
      </c>
      <c r="Y104" s="53" t="str">
        <f>IFERROR(
IF(tbl_abs[[#This Row],[Body Mass Index]]&lt;18.5,"Underweight",
IF(tbl_abs[[#This Row],[Body Mass Index]]&lt;25,"Normal",
IF(tbl_abs[[#This Row],[Body Mass Index]]&lt;30,"Overweight",
"Obese"))),"")</f>
        <v>Obese</v>
      </c>
      <c r="Z104" s="53" t="str">
        <f>IFERROR(
IF(tbl_abs[[#This Row],[Absenteeism time in hours]]&lt;=2,"0–2",
IF(tbl_abs[[#This Row],[Absenteeism time in hours]]&lt;=8,"3–8",
IF(tbl_abs[[#This Row],[Absenteeism time in hours]]&lt;=16,"9–16",
"17+"))),"")</f>
        <v>0–2</v>
      </c>
    </row>
    <row r="105" spans="1:26" ht="15" customHeight="1" x14ac:dyDescent="0.3">
      <c r="A105">
        <v>28</v>
      </c>
      <c r="B105">
        <v>7</v>
      </c>
      <c r="C105" s="1">
        <v>2</v>
      </c>
      <c r="D105">
        <v>3</v>
      </c>
      <c r="E105">
        <v>2</v>
      </c>
      <c r="F105">
        <v>225</v>
      </c>
      <c r="G105" s="1">
        <v>26</v>
      </c>
      <c r="H105">
        <v>9</v>
      </c>
      <c r="I105" s="1">
        <v>28</v>
      </c>
      <c r="J105" s="2">
        <v>264249</v>
      </c>
      <c r="K105">
        <v>97</v>
      </c>
      <c r="L105">
        <v>0</v>
      </c>
      <c r="M105">
        <v>1</v>
      </c>
      <c r="N105">
        <v>1</v>
      </c>
      <c r="O105">
        <v>0</v>
      </c>
      <c r="P105">
        <v>0</v>
      </c>
      <c r="Q105">
        <v>2</v>
      </c>
      <c r="R105">
        <v>69</v>
      </c>
      <c r="S105">
        <v>169</v>
      </c>
      <c r="T105">
        <v>24</v>
      </c>
      <c r="U105">
        <v>8</v>
      </c>
      <c r="V105" s="53" t="str">
        <f>IFERROR(
IF(tbl_abs[[#This Row],[Month of absence]]=0,"Unknown",
CHOOSE(tbl_abs[[#This Row],[Month of absence]],
"Jan","Feb","Mar","Apr","May","Jun","Jul","Aug","Sep","Oct","Nov","Dec")),"")</f>
        <v>Feb</v>
      </c>
      <c r="W105" s="53" t="str">
        <f>IFERROR(
IF(tbl_abs[[#This Row],[Age]]&lt;30,"&lt;30",
IF(tbl_abs[[#This Row],[Age]]&lt;40,"30–39",
IF(tbl_abs[[#This Row],[Age]]&lt;50,"40–49",
IF(tbl_abs[[#This Row],[Age]]&lt;60,"50–59",
"60+")))),"")</f>
        <v>&lt;30</v>
      </c>
      <c r="X105" s="53" t="str">
        <f>IFERROR(
IF(tbl_abs[[#This Row],[Distance from Residence to Work]]&lt;=5,"0–5",
IF(tbl_abs[[#This Row],[Distance from Residence to Work]]&lt;=10,"6–10",
IF(tbl_abs[[#This Row],[Distance from Residence to Work]]&lt;=20,"11–20",
"21+"))),"")</f>
        <v>21+</v>
      </c>
      <c r="Y105" s="53" t="str">
        <f>IFERROR(
IF(tbl_abs[[#This Row],[Body Mass Index]]&lt;18.5,"Underweight",
IF(tbl_abs[[#This Row],[Body Mass Index]]&lt;25,"Normal",
IF(tbl_abs[[#This Row],[Body Mass Index]]&lt;30,"Overweight",
"Obese"))),"")</f>
        <v>Normal</v>
      </c>
      <c r="Z105" s="53" t="str">
        <f>IFERROR(
IF(tbl_abs[[#This Row],[Absenteeism time in hours]]&lt;=2,"0–2",
IF(tbl_abs[[#This Row],[Absenteeism time in hours]]&lt;=8,"3–8",
IF(tbl_abs[[#This Row],[Absenteeism time in hours]]&lt;=16,"9–16",
"17+"))),"")</f>
        <v>3–8</v>
      </c>
    </row>
    <row r="106" spans="1:26" ht="15" customHeight="1" x14ac:dyDescent="0.3">
      <c r="A106">
        <v>3</v>
      </c>
      <c r="B106">
        <v>27</v>
      </c>
      <c r="C106" s="1">
        <v>2</v>
      </c>
      <c r="D106">
        <v>4</v>
      </c>
      <c r="E106">
        <v>2</v>
      </c>
      <c r="F106">
        <v>179</v>
      </c>
      <c r="G106" s="1">
        <v>51</v>
      </c>
      <c r="H106">
        <v>18</v>
      </c>
      <c r="I106" s="1">
        <v>38</v>
      </c>
      <c r="J106" s="2">
        <v>264249</v>
      </c>
      <c r="K106">
        <v>97</v>
      </c>
      <c r="L106">
        <v>0</v>
      </c>
      <c r="M106">
        <v>1</v>
      </c>
      <c r="N106">
        <v>0</v>
      </c>
      <c r="O106">
        <v>1</v>
      </c>
      <c r="P106">
        <v>0</v>
      </c>
      <c r="Q106">
        <v>0</v>
      </c>
      <c r="R106">
        <v>89</v>
      </c>
      <c r="S106">
        <v>170</v>
      </c>
      <c r="T106">
        <v>31</v>
      </c>
      <c r="U106">
        <v>3</v>
      </c>
      <c r="V106" s="53" t="str">
        <f>IFERROR(
IF(tbl_abs[[#This Row],[Month of absence]]=0,"Unknown",
CHOOSE(tbl_abs[[#This Row],[Month of absence]],
"Jan","Feb","Mar","Apr","May","Jun","Jul","Aug","Sep","Oct","Nov","Dec")),"")</f>
        <v>Feb</v>
      </c>
      <c r="W106" s="53" t="str">
        <f>IFERROR(
IF(tbl_abs[[#This Row],[Age]]&lt;30,"&lt;30",
IF(tbl_abs[[#This Row],[Age]]&lt;40,"30–39",
IF(tbl_abs[[#This Row],[Age]]&lt;50,"40–49",
IF(tbl_abs[[#This Row],[Age]]&lt;60,"50–59",
"60+")))),"")</f>
        <v>30–39</v>
      </c>
      <c r="X106" s="53" t="str">
        <f>IFERROR(
IF(tbl_abs[[#This Row],[Distance from Residence to Work]]&lt;=5,"0–5",
IF(tbl_abs[[#This Row],[Distance from Residence to Work]]&lt;=10,"6–10",
IF(tbl_abs[[#This Row],[Distance from Residence to Work]]&lt;=20,"11–20",
"21+"))),"")</f>
        <v>21+</v>
      </c>
      <c r="Y106" s="53" t="str">
        <f>IFERROR(
IF(tbl_abs[[#This Row],[Body Mass Index]]&lt;18.5,"Underweight",
IF(tbl_abs[[#This Row],[Body Mass Index]]&lt;25,"Normal",
IF(tbl_abs[[#This Row],[Body Mass Index]]&lt;30,"Overweight",
"Obese"))),"")</f>
        <v>Obese</v>
      </c>
      <c r="Z106" s="53" t="str">
        <f>IFERROR(
IF(tbl_abs[[#This Row],[Absenteeism time in hours]]&lt;=2,"0–2",
IF(tbl_abs[[#This Row],[Absenteeism time in hours]]&lt;=8,"3–8",
IF(tbl_abs[[#This Row],[Absenteeism time in hours]]&lt;=16,"9–16",
"17+"))),"")</f>
        <v>3–8</v>
      </c>
    </row>
    <row r="107" spans="1:26" ht="15" customHeight="1" x14ac:dyDescent="0.3">
      <c r="A107">
        <v>3</v>
      </c>
      <c r="B107">
        <v>27</v>
      </c>
      <c r="C107" s="1">
        <v>2</v>
      </c>
      <c r="D107">
        <v>5</v>
      </c>
      <c r="E107">
        <v>2</v>
      </c>
      <c r="F107">
        <v>179</v>
      </c>
      <c r="G107" s="1">
        <v>51</v>
      </c>
      <c r="H107">
        <v>18</v>
      </c>
      <c r="I107" s="1">
        <v>38</v>
      </c>
      <c r="J107" s="2">
        <v>264249</v>
      </c>
      <c r="K107">
        <v>97</v>
      </c>
      <c r="L107">
        <v>0</v>
      </c>
      <c r="M107">
        <v>1</v>
      </c>
      <c r="N107">
        <v>0</v>
      </c>
      <c r="O107">
        <v>1</v>
      </c>
      <c r="P107">
        <v>0</v>
      </c>
      <c r="Q107">
        <v>0</v>
      </c>
      <c r="R107">
        <v>89</v>
      </c>
      <c r="S107">
        <v>170</v>
      </c>
      <c r="T107">
        <v>31</v>
      </c>
      <c r="U107">
        <v>3</v>
      </c>
      <c r="V107" s="53" t="str">
        <f>IFERROR(
IF(tbl_abs[[#This Row],[Month of absence]]=0,"Unknown",
CHOOSE(tbl_abs[[#This Row],[Month of absence]],
"Jan","Feb","Mar","Apr","May","Jun","Jul","Aug","Sep","Oct","Nov","Dec")),"")</f>
        <v>Feb</v>
      </c>
      <c r="W107" s="53" t="str">
        <f>IFERROR(
IF(tbl_abs[[#This Row],[Age]]&lt;30,"&lt;30",
IF(tbl_abs[[#This Row],[Age]]&lt;40,"30–39",
IF(tbl_abs[[#This Row],[Age]]&lt;50,"40–49",
IF(tbl_abs[[#This Row],[Age]]&lt;60,"50–59",
"60+")))),"")</f>
        <v>30–39</v>
      </c>
      <c r="X107" s="53" t="str">
        <f>IFERROR(
IF(tbl_abs[[#This Row],[Distance from Residence to Work]]&lt;=5,"0–5",
IF(tbl_abs[[#This Row],[Distance from Residence to Work]]&lt;=10,"6–10",
IF(tbl_abs[[#This Row],[Distance from Residence to Work]]&lt;=20,"11–20",
"21+"))),"")</f>
        <v>21+</v>
      </c>
      <c r="Y107" s="53" t="str">
        <f>IFERROR(
IF(tbl_abs[[#This Row],[Body Mass Index]]&lt;18.5,"Underweight",
IF(tbl_abs[[#This Row],[Body Mass Index]]&lt;25,"Normal",
IF(tbl_abs[[#This Row],[Body Mass Index]]&lt;30,"Overweight",
"Obese"))),"")</f>
        <v>Obese</v>
      </c>
      <c r="Z107" s="53" t="str">
        <f>IFERROR(
IF(tbl_abs[[#This Row],[Absenteeism time in hours]]&lt;=2,"0–2",
IF(tbl_abs[[#This Row],[Absenteeism time in hours]]&lt;=8,"3–8",
IF(tbl_abs[[#This Row],[Absenteeism time in hours]]&lt;=16,"9–16",
"17+"))),"")</f>
        <v>3–8</v>
      </c>
    </row>
    <row r="108" spans="1:26" ht="15" customHeight="1" x14ac:dyDescent="0.3">
      <c r="A108">
        <v>28</v>
      </c>
      <c r="B108">
        <v>25</v>
      </c>
      <c r="C108" s="1">
        <v>2</v>
      </c>
      <c r="D108">
        <v>5</v>
      </c>
      <c r="E108">
        <v>2</v>
      </c>
      <c r="F108">
        <v>225</v>
      </c>
      <c r="G108" s="1">
        <v>26</v>
      </c>
      <c r="H108">
        <v>9</v>
      </c>
      <c r="I108" s="1">
        <v>28</v>
      </c>
      <c r="J108" s="2">
        <v>264249</v>
      </c>
      <c r="K108">
        <v>97</v>
      </c>
      <c r="L108">
        <v>0</v>
      </c>
      <c r="M108">
        <v>1</v>
      </c>
      <c r="N108">
        <v>1</v>
      </c>
      <c r="O108">
        <v>0</v>
      </c>
      <c r="P108">
        <v>0</v>
      </c>
      <c r="Q108">
        <v>2</v>
      </c>
      <c r="R108">
        <v>69</v>
      </c>
      <c r="S108">
        <v>169</v>
      </c>
      <c r="T108">
        <v>24</v>
      </c>
      <c r="U108">
        <v>3</v>
      </c>
      <c r="V108" s="53" t="str">
        <f>IFERROR(
IF(tbl_abs[[#This Row],[Month of absence]]=0,"Unknown",
CHOOSE(tbl_abs[[#This Row],[Month of absence]],
"Jan","Feb","Mar","Apr","May","Jun","Jul","Aug","Sep","Oct","Nov","Dec")),"")</f>
        <v>Feb</v>
      </c>
      <c r="W108" s="53" t="str">
        <f>IFERROR(
IF(tbl_abs[[#This Row],[Age]]&lt;30,"&lt;30",
IF(tbl_abs[[#This Row],[Age]]&lt;40,"30–39",
IF(tbl_abs[[#This Row],[Age]]&lt;50,"40–49",
IF(tbl_abs[[#This Row],[Age]]&lt;60,"50–59",
"60+")))),"")</f>
        <v>&lt;30</v>
      </c>
      <c r="X108" s="53" t="str">
        <f>IFERROR(
IF(tbl_abs[[#This Row],[Distance from Residence to Work]]&lt;=5,"0–5",
IF(tbl_abs[[#This Row],[Distance from Residence to Work]]&lt;=10,"6–10",
IF(tbl_abs[[#This Row],[Distance from Residence to Work]]&lt;=20,"11–20",
"21+"))),"")</f>
        <v>21+</v>
      </c>
      <c r="Y108" s="53" t="str">
        <f>IFERROR(
IF(tbl_abs[[#This Row],[Body Mass Index]]&lt;18.5,"Underweight",
IF(tbl_abs[[#This Row],[Body Mass Index]]&lt;25,"Normal",
IF(tbl_abs[[#This Row],[Body Mass Index]]&lt;30,"Overweight",
"Obese"))),"")</f>
        <v>Normal</v>
      </c>
      <c r="Z108" s="53" t="str">
        <f>IFERROR(
IF(tbl_abs[[#This Row],[Absenteeism time in hours]]&lt;=2,"0–2",
IF(tbl_abs[[#This Row],[Absenteeism time in hours]]&lt;=8,"3–8",
IF(tbl_abs[[#This Row],[Absenteeism time in hours]]&lt;=16,"9–16",
"17+"))),"")</f>
        <v>3–8</v>
      </c>
    </row>
    <row r="109" spans="1:26" ht="15" customHeight="1" x14ac:dyDescent="0.3">
      <c r="A109">
        <v>22</v>
      </c>
      <c r="B109">
        <v>13</v>
      </c>
      <c r="C109" s="1">
        <v>2</v>
      </c>
      <c r="D109">
        <v>5</v>
      </c>
      <c r="E109">
        <v>2</v>
      </c>
      <c r="F109">
        <v>179</v>
      </c>
      <c r="G109" s="1">
        <v>26</v>
      </c>
      <c r="H109">
        <v>9</v>
      </c>
      <c r="I109" s="1">
        <v>30</v>
      </c>
      <c r="J109" s="2">
        <v>264249</v>
      </c>
      <c r="K109">
        <v>97</v>
      </c>
      <c r="L109">
        <v>0</v>
      </c>
      <c r="M109">
        <v>3</v>
      </c>
      <c r="N109">
        <v>0</v>
      </c>
      <c r="O109">
        <v>0</v>
      </c>
      <c r="P109">
        <v>0</v>
      </c>
      <c r="Q109">
        <v>0</v>
      </c>
      <c r="R109">
        <v>56</v>
      </c>
      <c r="S109">
        <v>171</v>
      </c>
      <c r="T109">
        <v>19</v>
      </c>
      <c r="U109">
        <v>2</v>
      </c>
      <c r="V109" s="53" t="str">
        <f>IFERROR(
IF(tbl_abs[[#This Row],[Month of absence]]=0,"Unknown",
CHOOSE(tbl_abs[[#This Row],[Month of absence]],
"Jan","Feb","Mar","Apr","May","Jun","Jul","Aug","Sep","Oct","Nov","Dec")),"")</f>
        <v>Feb</v>
      </c>
      <c r="W109" s="53" t="str">
        <f>IFERROR(
IF(tbl_abs[[#This Row],[Age]]&lt;30,"&lt;30",
IF(tbl_abs[[#This Row],[Age]]&lt;40,"30–39",
IF(tbl_abs[[#This Row],[Age]]&lt;50,"40–49",
IF(tbl_abs[[#This Row],[Age]]&lt;60,"50–59",
"60+")))),"")</f>
        <v>30–39</v>
      </c>
      <c r="X109" s="53" t="str">
        <f>IFERROR(
IF(tbl_abs[[#This Row],[Distance from Residence to Work]]&lt;=5,"0–5",
IF(tbl_abs[[#This Row],[Distance from Residence to Work]]&lt;=10,"6–10",
IF(tbl_abs[[#This Row],[Distance from Residence to Work]]&lt;=20,"11–20",
"21+"))),"")</f>
        <v>21+</v>
      </c>
      <c r="Y109" s="53" t="str">
        <f>IFERROR(
IF(tbl_abs[[#This Row],[Body Mass Index]]&lt;18.5,"Underweight",
IF(tbl_abs[[#This Row],[Body Mass Index]]&lt;25,"Normal",
IF(tbl_abs[[#This Row],[Body Mass Index]]&lt;30,"Overweight",
"Obese"))),"")</f>
        <v>Normal</v>
      </c>
      <c r="Z109" s="53" t="str">
        <f>IFERROR(
IF(tbl_abs[[#This Row],[Absenteeism time in hours]]&lt;=2,"0–2",
IF(tbl_abs[[#This Row],[Absenteeism time in hours]]&lt;=8,"3–8",
IF(tbl_abs[[#This Row],[Absenteeism time in hours]]&lt;=16,"9–16",
"17+"))),"")</f>
        <v>0–2</v>
      </c>
    </row>
    <row r="110" spans="1:26" ht="15" customHeight="1" x14ac:dyDescent="0.3">
      <c r="A110">
        <v>17</v>
      </c>
      <c r="B110">
        <v>23</v>
      </c>
      <c r="C110" s="1">
        <v>2</v>
      </c>
      <c r="D110">
        <v>6</v>
      </c>
      <c r="E110">
        <v>2</v>
      </c>
      <c r="F110">
        <v>179</v>
      </c>
      <c r="G110" s="1">
        <v>22</v>
      </c>
      <c r="H110">
        <v>17</v>
      </c>
      <c r="I110" s="1">
        <v>40</v>
      </c>
      <c r="J110" s="2">
        <v>264249</v>
      </c>
      <c r="K110">
        <v>97</v>
      </c>
      <c r="L110">
        <v>0</v>
      </c>
      <c r="M110">
        <v>2</v>
      </c>
      <c r="N110">
        <v>2</v>
      </c>
      <c r="O110">
        <v>0</v>
      </c>
      <c r="P110">
        <v>1</v>
      </c>
      <c r="Q110">
        <v>0</v>
      </c>
      <c r="R110">
        <v>63</v>
      </c>
      <c r="S110">
        <v>170</v>
      </c>
      <c r="T110">
        <v>22</v>
      </c>
      <c r="U110">
        <v>2</v>
      </c>
      <c r="V110" s="53" t="str">
        <f>IFERROR(
IF(tbl_abs[[#This Row],[Month of absence]]=0,"Unknown",
CHOOSE(tbl_abs[[#This Row],[Month of absence]],
"Jan","Feb","Mar","Apr","May","Jun","Jul","Aug","Sep","Oct","Nov","Dec")),"")</f>
        <v>Feb</v>
      </c>
      <c r="W110" s="53" t="str">
        <f>IFERROR(
IF(tbl_abs[[#This Row],[Age]]&lt;30,"&lt;30",
IF(tbl_abs[[#This Row],[Age]]&lt;40,"30–39",
IF(tbl_abs[[#This Row],[Age]]&lt;50,"40–49",
IF(tbl_abs[[#This Row],[Age]]&lt;60,"50–59",
"60+")))),"")</f>
        <v>40–49</v>
      </c>
      <c r="X110" s="53" t="str">
        <f>IFERROR(
IF(tbl_abs[[#This Row],[Distance from Residence to Work]]&lt;=5,"0–5",
IF(tbl_abs[[#This Row],[Distance from Residence to Work]]&lt;=10,"6–10",
IF(tbl_abs[[#This Row],[Distance from Residence to Work]]&lt;=20,"11–20",
"21+"))),"")</f>
        <v>21+</v>
      </c>
      <c r="Y110" s="53" t="str">
        <f>IFERROR(
IF(tbl_abs[[#This Row],[Body Mass Index]]&lt;18.5,"Underweight",
IF(tbl_abs[[#This Row],[Body Mass Index]]&lt;25,"Normal",
IF(tbl_abs[[#This Row],[Body Mass Index]]&lt;30,"Overweight",
"Obese"))),"")</f>
        <v>Normal</v>
      </c>
      <c r="Z110" s="53" t="str">
        <f>IFERROR(
IF(tbl_abs[[#This Row],[Absenteeism time in hours]]&lt;=2,"0–2",
IF(tbl_abs[[#This Row],[Absenteeism time in hours]]&lt;=8,"3–8",
IF(tbl_abs[[#This Row],[Absenteeism time in hours]]&lt;=16,"9–16",
"17+"))),"")</f>
        <v>0–2</v>
      </c>
    </row>
    <row r="111" spans="1:26" ht="15" customHeight="1" x14ac:dyDescent="0.3">
      <c r="A111">
        <v>3</v>
      </c>
      <c r="B111">
        <v>27</v>
      </c>
      <c r="C111" s="1">
        <v>2</v>
      </c>
      <c r="D111">
        <v>6</v>
      </c>
      <c r="E111">
        <v>2</v>
      </c>
      <c r="F111">
        <v>179</v>
      </c>
      <c r="G111" s="1">
        <v>51</v>
      </c>
      <c r="H111">
        <v>18</v>
      </c>
      <c r="I111" s="1">
        <v>38</v>
      </c>
      <c r="J111" s="2">
        <v>264249</v>
      </c>
      <c r="K111">
        <v>97</v>
      </c>
      <c r="L111">
        <v>0</v>
      </c>
      <c r="M111">
        <v>1</v>
      </c>
      <c r="N111">
        <v>0</v>
      </c>
      <c r="O111">
        <v>1</v>
      </c>
      <c r="P111">
        <v>0</v>
      </c>
      <c r="Q111">
        <v>0</v>
      </c>
      <c r="R111">
        <v>89</v>
      </c>
      <c r="S111">
        <v>170</v>
      </c>
      <c r="T111">
        <v>31</v>
      </c>
      <c r="U111">
        <v>3</v>
      </c>
      <c r="V111" s="53" t="str">
        <f>IFERROR(
IF(tbl_abs[[#This Row],[Month of absence]]=0,"Unknown",
CHOOSE(tbl_abs[[#This Row],[Month of absence]],
"Jan","Feb","Mar","Apr","May","Jun","Jul","Aug","Sep","Oct","Nov","Dec")),"")</f>
        <v>Feb</v>
      </c>
      <c r="W111" s="53" t="str">
        <f>IFERROR(
IF(tbl_abs[[#This Row],[Age]]&lt;30,"&lt;30",
IF(tbl_abs[[#This Row],[Age]]&lt;40,"30–39",
IF(tbl_abs[[#This Row],[Age]]&lt;50,"40–49",
IF(tbl_abs[[#This Row],[Age]]&lt;60,"50–59",
"60+")))),"")</f>
        <v>30–39</v>
      </c>
      <c r="X111" s="53" t="str">
        <f>IFERROR(
IF(tbl_abs[[#This Row],[Distance from Residence to Work]]&lt;=5,"0–5",
IF(tbl_abs[[#This Row],[Distance from Residence to Work]]&lt;=10,"6–10",
IF(tbl_abs[[#This Row],[Distance from Residence to Work]]&lt;=20,"11–20",
"21+"))),"")</f>
        <v>21+</v>
      </c>
      <c r="Y111" s="53" t="str">
        <f>IFERROR(
IF(tbl_abs[[#This Row],[Body Mass Index]]&lt;18.5,"Underweight",
IF(tbl_abs[[#This Row],[Body Mass Index]]&lt;25,"Normal",
IF(tbl_abs[[#This Row],[Body Mass Index]]&lt;30,"Overweight",
"Obese"))),"")</f>
        <v>Obese</v>
      </c>
      <c r="Z111" s="53" t="str">
        <f>IFERROR(
IF(tbl_abs[[#This Row],[Absenteeism time in hours]]&lt;=2,"0–2",
IF(tbl_abs[[#This Row],[Absenteeism time in hours]]&lt;=8,"3–8",
IF(tbl_abs[[#This Row],[Absenteeism time in hours]]&lt;=16,"9–16",
"17+"))),"")</f>
        <v>3–8</v>
      </c>
    </row>
    <row r="112" spans="1:26" ht="15" customHeight="1" x14ac:dyDescent="0.3">
      <c r="A112">
        <v>12</v>
      </c>
      <c r="B112">
        <v>12</v>
      </c>
      <c r="C112" s="1">
        <v>2</v>
      </c>
      <c r="D112">
        <v>4</v>
      </c>
      <c r="E112">
        <v>2</v>
      </c>
      <c r="F112">
        <v>233</v>
      </c>
      <c r="G112" s="1">
        <v>51</v>
      </c>
      <c r="H112">
        <v>1</v>
      </c>
      <c r="I112" s="1">
        <v>31</v>
      </c>
      <c r="J112" s="2">
        <v>264249</v>
      </c>
      <c r="K112">
        <v>97</v>
      </c>
      <c r="L112">
        <v>0</v>
      </c>
      <c r="M112">
        <v>2</v>
      </c>
      <c r="N112">
        <v>1</v>
      </c>
      <c r="O112">
        <v>1</v>
      </c>
      <c r="P112">
        <v>0</v>
      </c>
      <c r="Q112">
        <v>8</v>
      </c>
      <c r="R112">
        <v>68</v>
      </c>
      <c r="S112">
        <v>178</v>
      </c>
      <c r="T112">
        <v>21</v>
      </c>
      <c r="U112">
        <v>3</v>
      </c>
      <c r="V112" s="53" t="str">
        <f>IFERROR(
IF(tbl_abs[[#This Row],[Month of absence]]=0,"Unknown",
CHOOSE(tbl_abs[[#This Row],[Month of absence]],
"Jan","Feb","Mar","Apr","May","Jun","Jul","Aug","Sep","Oct","Nov","Dec")),"")</f>
        <v>Feb</v>
      </c>
      <c r="W112" s="53" t="str">
        <f>IFERROR(
IF(tbl_abs[[#This Row],[Age]]&lt;30,"&lt;30",
IF(tbl_abs[[#This Row],[Age]]&lt;40,"30–39",
IF(tbl_abs[[#This Row],[Age]]&lt;50,"40–49",
IF(tbl_abs[[#This Row],[Age]]&lt;60,"50–59",
"60+")))),"")</f>
        <v>30–39</v>
      </c>
      <c r="X112" s="53" t="str">
        <f>IFERROR(
IF(tbl_abs[[#This Row],[Distance from Residence to Work]]&lt;=5,"0–5",
IF(tbl_abs[[#This Row],[Distance from Residence to Work]]&lt;=10,"6–10",
IF(tbl_abs[[#This Row],[Distance from Residence to Work]]&lt;=20,"11–20",
"21+"))),"")</f>
        <v>21+</v>
      </c>
      <c r="Y112" s="53" t="str">
        <f>IFERROR(
IF(tbl_abs[[#This Row],[Body Mass Index]]&lt;18.5,"Underweight",
IF(tbl_abs[[#This Row],[Body Mass Index]]&lt;25,"Normal",
IF(tbl_abs[[#This Row],[Body Mass Index]]&lt;30,"Overweight",
"Obese"))),"")</f>
        <v>Normal</v>
      </c>
      <c r="Z112" s="53" t="str">
        <f>IFERROR(
IF(tbl_abs[[#This Row],[Absenteeism time in hours]]&lt;=2,"0–2",
IF(tbl_abs[[#This Row],[Absenteeism time in hours]]&lt;=8,"3–8",
IF(tbl_abs[[#This Row],[Absenteeism time in hours]]&lt;=16,"9–16",
"17+"))),"")</f>
        <v>3–8</v>
      </c>
    </row>
    <row r="113" spans="1:26" ht="15" customHeight="1" x14ac:dyDescent="0.3">
      <c r="A113">
        <v>22</v>
      </c>
      <c r="B113">
        <v>27</v>
      </c>
      <c r="C113" s="1">
        <v>2</v>
      </c>
      <c r="D113">
        <v>4</v>
      </c>
      <c r="E113">
        <v>2</v>
      </c>
      <c r="F113">
        <v>179</v>
      </c>
      <c r="G113" s="1">
        <v>26</v>
      </c>
      <c r="H113">
        <v>9</v>
      </c>
      <c r="I113" s="1">
        <v>30</v>
      </c>
      <c r="J113" s="2">
        <v>264249</v>
      </c>
      <c r="K113">
        <v>97</v>
      </c>
      <c r="L113">
        <v>0</v>
      </c>
      <c r="M113">
        <v>3</v>
      </c>
      <c r="N113">
        <v>0</v>
      </c>
      <c r="O113">
        <v>0</v>
      </c>
      <c r="P113">
        <v>0</v>
      </c>
      <c r="Q113">
        <v>0</v>
      </c>
      <c r="R113">
        <v>56</v>
      </c>
      <c r="S113">
        <v>171</v>
      </c>
      <c r="T113">
        <v>19</v>
      </c>
      <c r="U113">
        <v>2</v>
      </c>
      <c r="V113" s="53" t="str">
        <f>IFERROR(
IF(tbl_abs[[#This Row],[Month of absence]]=0,"Unknown",
CHOOSE(tbl_abs[[#This Row],[Month of absence]],
"Jan","Feb","Mar","Apr","May","Jun","Jul","Aug","Sep","Oct","Nov","Dec")),"")</f>
        <v>Feb</v>
      </c>
      <c r="W113" s="53" t="str">
        <f>IFERROR(
IF(tbl_abs[[#This Row],[Age]]&lt;30,"&lt;30",
IF(tbl_abs[[#This Row],[Age]]&lt;40,"30–39",
IF(tbl_abs[[#This Row],[Age]]&lt;50,"40–49",
IF(tbl_abs[[#This Row],[Age]]&lt;60,"50–59",
"60+")))),"")</f>
        <v>30–39</v>
      </c>
      <c r="X113" s="53" t="str">
        <f>IFERROR(
IF(tbl_abs[[#This Row],[Distance from Residence to Work]]&lt;=5,"0–5",
IF(tbl_abs[[#This Row],[Distance from Residence to Work]]&lt;=10,"6–10",
IF(tbl_abs[[#This Row],[Distance from Residence to Work]]&lt;=20,"11–20",
"21+"))),"")</f>
        <v>21+</v>
      </c>
      <c r="Y113" s="53" t="str">
        <f>IFERROR(
IF(tbl_abs[[#This Row],[Body Mass Index]]&lt;18.5,"Underweight",
IF(tbl_abs[[#This Row],[Body Mass Index]]&lt;25,"Normal",
IF(tbl_abs[[#This Row],[Body Mass Index]]&lt;30,"Overweight",
"Obese"))),"")</f>
        <v>Normal</v>
      </c>
      <c r="Z113" s="53" t="str">
        <f>IFERROR(
IF(tbl_abs[[#This Row],[Absenteeism time in hours]]&lt;=2,"0–2",
IF(tbl_abs[[#This Row],[Absenteeism time in hours]]&lt;=8,"3–8",
IF(tbl_abs[[#This Row],[Absenteeism time in hours]]&lt;=16,"9–16",
"17+"))),"")</f>
        <v>0–2</v>
      </c>
    </row>
    <row r="114" spans="1:26" ht="15" customHeight="1" x14ac:dyDescent="0.3">
      <c r="A114">
        <v>3</v>
      </c>
      <c r="B114">
        <v>27</v>
      </c>
      <c r="C114" s="1">
        <v>2</v>
      </c>
      <c r="D114">
        <v>4</v>
      </c>
      <c r="E114">
        <v>2</v>
      </c>
      <c r="F114">
        <v>179</v>
      </c>
      <c r="G114" s="1">
        <v>51</v>
      </c>
      <c r="H114">
        <v>18</v>
      </c>
      <c r="I114" s="1">
        <v>38</v>
      </c>
      <c r="J114" s="2">
        <v>264249</v>
      </c>
      <c r="K114">
        <v>97</v>
      </c>
      <c r="L114">
        <v>0</v>
      </c>
      <c r="M114">
        <v>1</v>
      </c>
      <c r="N114">
        <v>0</v>
      </c>
      <c r="O114">
        <v>1</v>
      </c>
      <c r="P114">
        <v>0</v>
      </c>
      <c r="Q114">
        <v>0</v>
      </c>
      <c r="R114">
        <v>89</v>
      </c>
      <c r="S114">
        <v>170</v>
      </c>
      <c r="T114">
        <v>31</v>
      </c>
      <c r="U114">
        <v>2</v>
      </c>
      <c r="V114" s="53" t="str">
        <f>IFERROR(
IF(tbl_abs[[#This Row],[Month of absence]]=0,"Unknown",
CHOOSE(tbl_abs[[#This Row],[Month of absence]],
"Jan","Feb","Mar","Apr","May","Jun","Jul","Aug","Sep","Oct","Nov","Dec")),"")</f>
        <v>Feb</v>
      </c>
      <c r="W114" s="53" t="str">
        <f>IFERROR(
IF(tbl_abs[[#This Row],[Age]]&lt;30,"&lt;30",
IF(tbl_abs[[#This Row],[Age]]&lt;40,"30–39",
IF(tbl_abs[[#This Row],[Age]]&lt;50,"40–49",
IF(tbl_abs[[#This Row],[Age]]&lt;60,"50–59",
"60+")))),"")</f>
        <v>30–39</v>
      </c>
      <c r="X114" s="53" t="str">
        <f>IFERROR(
IF(tbl_abs[[#This Row],[Distance from Residence to Work]]&lt;=5,"0–5",
IF(tbl_abs[[#This Row],[Distance from Residence to Work]]&lt;=10,"6–10",
IF(tbl_abs[[#This Row],[Distance from Residence to Work]]&lt;=20,"11–20",
"21+"))),"")</f>
        <v>21+</v>
      </c>
      <c r="Y114" s="53" t="str">
        <f>IFERROR(
IF(tbl_abs[[#This Row],[Body Mass Index]]&lt;18.5,"Underweight",
IF(tbl_abs[[#This Row],[Body Mass Index]]&lt;25,"Normal",
IF(tbl_abs[[#This Row],[Body Mass Index]]&lt;30,"Overweight",
"Obese"))),"")</f>
        <v>Obese</v>
      </c>
      <c r="Z114" s="53" t="str">
        <f>IFERROR(
IF(tbl_abs[[#This Row],[Absenteeism time in hours]]&lt;=2,"0–2",
IF(tbl_abs[[#This Row],[Absenteeism time in hours]]&lt;=8,"3–8",
IF(tbl_abs[[#This Row],[Absenteeism time in hours]]&lt;=16,"9–16",
"17+"))),"")</f>
        <v>0–2</v>
      </c>
    </row>
    <row r="115" spans="1:26" ht="15" customHeight="1" x14ac:dyDescent="0.3">
      <c r="A115">
        <v>3</v>
      </c>
      <c r="B115">
        <v>13</v>
      </c>
      <c r="C115" s="1">
        <v>2</v>
      </c>
      <c r="D115">
        <v>5</v>
      </c>
      <c r="E115">
        <v>2</v>
      </c>
      <c r="F115">
        <v>179</v>
      </c>
      <c r="G115" s="1">
        <v>51</v>
      </c>
      <c r="H115">
        <v>18</v>
      </c>
      <c r="I115" s="1">
        <v>38</v>
      </c>
      <c r="J115" s="2">
        <v>264249</v>
      </c>
      <c r="K115">
        <v>97</v>
      </c>
      <c r="L115">
        <v>0</v>
      </c>
      <c r="M115">
        <v>1</v>
      </c>
      <c r="N115">
        <v>0</v>
      </c>
      <c r="O115">
        <v>1</v>
      </c>
      <c r="P115">
        <v>0</v>
      </c>
      <c r="Q115">
        <v>0</v>
      </c>
      <c r="R115">
        <v>89</v>
      </c>
      <c r="S115">
        <v>170</v>
      </c>
      <c r="T115">
        <v>31</v>
      </c>
      <c r="U115">
        <v>8</v>
      </c>
      <c r="V115" s="53" t="str">
        <f>IFERROR(
IF(tbl_abs[[#This Row],[Month of absence]]=0,"Unknown",
CHOOSE(tbl_abs[[#This Row],[Month of absence]],
"Jan","Feb","Mar","Apr","May","Jun","Jul","Aug","Sep","Oct","Nov","Dec")),"")</f>
        <v>Feb</v>
      </c>
      <c r="W115" s="53" t="str">
        <f>IFERROR(
IF(tbl_abs[[#This Row],[Age]]&lt;30,"&lt;30",
IF(tbl_abs[[#This Row],[Age]]&lt;40,"30–39",
IF(tbl_abs[[#This Row],[Age]]&lt;50,"40–49",
IF(tbl_abs[[#This Row],[Age]]&lt;60,"50–59",
"60+")))),"")</f>
        <v>30–39</v>
      </c>
      <c r="X115" s="53" t="str">
        <f>IFERROR(
IF(tbl_abs[[#This Row],[Distance from Residence to Work]]&lt;=5,"0–5",
IF(tbl_abs[[#This Row],[Distance from Residence to Work]]&lt;=10,"6–10",
IF(tbl_abs[[#This Row],[Distance from Residence to Work]]&lt;=20,"11–20",
"21+"))),"")</f>
        <v>21+</v>
      </c>
      <c r="Y115" s="53" t="str">
        <f>IFERROR(
IF(tbl_abs[[#This Row],[Body Mass Index]]&lt;18.5,"Underweight",
IF(tbl_abs[[#This Row],[Body Mass Index]]&lt;25,"Normal",
IF(tbl_abs[[#This Row],[Body Mass Index]]&lt;30,"Overweight",
"Obese"))),"")</f>
        <v>Obese</v>
      </c>
      <c r="Z115" s="53" t="str">
        <f>IFERROR(
IF(tbl_abs[[#This Row],[Absenteeism time in hours]]&lt;=2,"0–2",
IF(tbl_abs[[#This Row],[Absenteeism time in hours]]&lt;=8,"3–8",
IF(tbl_abs[[#This Row],[Absenteeism time in hours]]&lt;=16,"9–16",
"17+"))),"")</f>
        <v>3–8</v>
      </c>
    </row>
    <row r="116" spans="1:26" ht="15" customHeight="1" x14ac:dyDescent="0.3">
      <c r="A116">
        <v>3</v>
      </c>
      <c r="B116">
        <v>27</v>
      </c>
      <c r="C116" s="1">
        <v>2</v>
      </c>
      <c r="D116">
        <v>6</v>
      </c>
      <c r="E116">
        <v>2</v>
      </c>
      <c r="F116">
        <v>179</v>
      </c>
      <c r="G116" s="1">
        <v>51</v>
      </c>
      <c r="H116">
        <v>18</v>
      </c>
      <c r="I116" s="1">
        <v>38</v>
      </c>
      <c r="J116" s="2">
        <v>264249</v>
      </c>
      <c r="K116">
        <v>97</v>
      </c>
      <c r="L116">
        <v>0</v>
      </c>
      <c r="M116">
        <v>1</v>
      </c>
      <c r="N116">
        <v>0</v>
      </c>
      <c r="O116">
        <v>1</v>
      </c>
      <c r="P116">
        <v>0</v>
      </c>
      <c r="Q116">
        <v>0</v>
      </c>
      <c r="R116">
        <v>89</v>
      </c>
      <c r="S116">
        <v>170</v>
      </c>
      <c r="T116">
        <v>31</v>
      </c>
      <c r="U116">
        <v>2</v>
      </c>
      <c r="V116" s="53" t="str">
        <f>IFERROR(
IF(tbl_abs[[#This Row],[Month of absence]]=0,"Unknown",
CHOOSE(tbl_abs[[#This Row],[Month of absence]],
"Jan","Feb","Mar","Apr","May","Jun","Jul","Aug","Sep","Oct","Nov","Dec")),"")</f>
        <v>Feb</v>
      </c>
      <c r="W116" s="53" t="str">
        <f>IFERROR(
IF(tbl_abs[[#This Row],[Age]]&lt;30,"&lt;30",
IF(tbl_abs[[#This Row],[Age]]&lt;40,"30–39",
IF(tbl_abs[[#This Row],[Age]]&lt;50,"40–49",
IF(tbl_abs[[#This Row],[Age]]&lt;60,"50–59",
"60+")))),"")</f>
        <v>30–39</v>
      </c>
      <c r="X116" s="53" t="str">
        <f>IFERROR(
IF(tbl_abs[[#This Row],[Distance from Residence to Work]]&lt;=5,"0–5",
IF(tbl_abs[[#This Row],[Distance from Residence to Work]]&lt;=10,"6–10",
IF(tbl_abs[[#This Row],[Distance from Residence to Work]]&lt;=20,"11–20",
"21+"))),"")</f>
        <v>21+</v>
      </c>
      <c r="Y116" s="53" t="str">
        <f>IFERROR(
IF(tbl_abs[[#This Row],[Body Mass Index]]&lt;18.5,"Underweight",
IF(tbl_abs[[#This Row],[Body Mass Index]]&lt;25,"Normal",
IF(tbl_abs[[#This Row],[Body Mass Index]]&lt;30,"Overweight",
"Obese"))),"")</f>
        <v>Obese</v>
      </c>
      <c r="Z116" s="53" t="str">
        <f>IFERROR(
IF(tbl_abs[[#This Row],[Absenteeism time in hours]]&lt;=2,"0–2",
IF(tbl_abs[[#This Row],[Absenteeism time in hours]]&lt;=8,"3–8",
IF(tbl_abs[[#This Row],[Absenteeism time in hours]]&lt;=16,"9–16",
"17+"))),"")</f>
        <v>0–2</v>
      </c>
    </row>
    <row r="117" spans="1:26" ht="15" customHeight="1" x14ac:dyDescent="0.3">
      <c r="A117">
        <v>14</v>
      </c>
      <c r="B117">
        <v>25</v>
      </c>
      <c r="C117" s="1">
        <v>2</v>
      </c>
      <c r="D117">
        <v>2</v>
      </c>
      <c r="E117">
        <v>2</v>
      </c>
      <c r="F117">
        <v>155</v>
      </c>
      <c r="G117" s="1">
        <v>12</v>
      </c>
      <c r="H117">
        <v>14</v>
      </c>
      <c r="I117" s="1">
        <v>34</v>
      </c>
      <c r="J117" s="2">
        <v>264249</v>
      </c>
      <c r="K117">
        <v>97</v>
      </c>
      <c r="L117">
        <v>0</v>
      </c>
      <c r="M117">
        <v>1</v>
      </c>
      <c r="N117">
        <v>2</v>
      </c>
      <c r="O117">
        <v>1</v>
      </c>
      <c r="P117">
        <v>0</v>
      </c>
      <c r="Q117">
        <v>0</v>
      </c>
      <c r="R117">
        <v>95</v>
      </c>
      <c r="S117">
        <v>196</v>
      </c>
      <c r="T117">
        <v>25</v>
      </c>
      <c r="U117">
        <v>5</v>
      </c>
      <c r="V117" s="53" t="str">
        <f>IFERROR(
IF(tbl_abs[[#This Row],[Month of absence]]=0,"Unknown",
CHOOSE(tbl_abs[[#This Row],[Month of absence]],
"Jan","Feb","Mar","Apr","May","Jun","Jul","Aug","Sep","Oct","Nov","Dec")),"")</f>
        <v>Feb</v>
      </c>
      <c r="W117" s="53" t="str">
        <f>IFERROR(
IF(tbl_abs[[#This Row],[Age]]&lt;30,"&lt;30",
IF(tbl_abs[[#This Row],[Age]]&lt;40,"30–39",
IF(tbl_abs[[#This Row],[Age]]&lt;50,"40–49",
IF(tbl_abs[[#This Row],[Age]]&lt;60,"50–59",
"60+")))),"")</f>
        <v>30–39</v>
      </c>
      <c r="X117" s="53" t="str">
        <f>IFERROR(
IF(tbl_abs[[#This Row],[Distance from Residence to Work]]&lt;=5,"0–5",
IF(tbl_abs[[#This Row],[Distance from Residence to Work]]&lt;=10,"6–10",
IF(tbl_abs[[#This Row],[Distance from Residence to Work]]&lt;=20,"11–20",
"21+"))),"")</f>
        <v>11–20</v>
      </c>
      <c r="Y117" s="53" t="str">
        <f>IFERROR(
IF(tbl_abs[[#This Row],[Body Mass Index]]&lt;18.5,"Underweight",
IF(tbl_abs[[#This Row],[Body Mass Index]]&lt;25,"Normal",
IF(tbl_abs[[#This Row],[Body Mass Index]]&lt;30,"Overweight",
"Obese"))),"")</f>
        <v>Overweight</v>
      </c>
      <c r="Z117" s="53" t="str">
        <f>IFERROR(
IF(tbl_abs[[#This Row],[Absenteeism time in hours]]&lt;=2,"0–2",
IF(tbl_abs[[#This Row],[Absenteeism time in hours]]&lt;=8,"3–8",
IF(tbl_abs[[#This Row],[Absenteeism time in hours]]&lt;=16,"9–16",
"17+"))),"")</f>
        <v>3–8</v>
      </c>
    </row>
    <row r="118" spans="1:26" ht="15" customHeight="1" x14ac:dyDescent="0.3">
      <c r="A118">
        <v>25</v>
      </c>
      <c r="B118">
        <v>25</v>
      </c>
      <c r="C118" s="1">
        <v>2</v>
      </c>
      <c r="D118">
        <v>2</v>
      </c>
      <c r="E118">
        <v>2</v>
      </c>
      <c r="F118">
        <v>235</v>
      </c>
      <c r="G118" s="1">
        <v>16</v>
      </c>
      <c r="H118">
        <v>8</v>
      </c>
      <c r="I118" s="1">
        <v>32</v>
      </c>
      <c r="J118" s="2">
        <v>264249</v>
      </c>
      <c r="K118">
        <v>97</v>
      </c>
      <c r="L118">
        <v>0</v>
      </c>
      <c r="M118">
        <v>3</v>
      </c>
      <c r="N118">
        <v>0</v>
      </c>
      <c r="O118">
        <v>0</v>
      </c>
      <c r="P118">
        <v>0</v>
      </c>
      <c r="Q118">
        <v>0</v>
      </c>
      <c r="R118">
        <v>75</v>
      </c>
      <c r="S118">
        <v>178</v>
      </c>
      <c r="T118">
        <v>25</v>
      </c>
      <c r="U118">
        <v>3</v>
      </c>
      <c r="V118" s="53" t="str">
        <f>IFERROR(
IF(tbl_abs[[#This Row],[Month of absence]]=0,"Unknown",
CHOOSE(tbl_abs[[#This Row],[Month of absence]],
"Jan","Feb","Mar","Apr","May","Jun","Jul","Aug","Sep","Oct","Nov","Dec")),"")</f>
        <v>Feb</v>
      </c>
      <c r="W118" s="53" t="str">
        <f>IFERROR(
IF(tbl_abs[[#This Row],[Age]]&lt;30,"&lt;30",
IF(tbl_abs[[#This Row],[Age]]&lt;40,"30–39",
IF(tbl_abs[[#This Row],[Age]]&lt;50,"40–49",
IF(tbl_abs[[#This Row],[Age]]&lt;60,"50–59",
"60+")))),"")</f>
        <v>30–39</v>
      </c>
      <c r="X118" s="53" t="str">
        <f>IFERROR(
IF(tbl_abs[[#This Row],[Distance from Residence to Work]]&lt;=5,"0–5",
IF(tbl_abs[[#This Row],[Distance from Residence to Work]]&lt;=10,"6–10",
IF(tbl_abs[[#This Row],[Distance from Residence to Work]]&lt;=20,"11–20",
"21+"))),"")</f>
        <v>11–20</v>
      </c>
      <c r="Y118" s="53" t="str">
        <f>IFERROR(
IF(tbl_abs[[#This Row],[Body Mass Index]]&lt;18.5,"Underweight",
IF(tbl_abs[[#This Row],[Body Mass Index]]&lt;25,"Normal",
IF(tbl_abs[[#This Row],[Body Mass Index]]&lt;30,"Overweight",
"Obese"))),"")</f>
        <v>Overweight</v>
      </c>
      <c r="Z118" s="53" t="str">
        <f>IFERROR(
IF(tbl_abs[[#This Row],[Absenteeism time in hours]]&lt;=2,"0–2",
IF(tbl_abs[[#This Row],[Absenteeism time in hours]]&lt;=8,"3–8",
IF(tbl_abs[[#This Row],[Absenteeism time in hours]]&lt;=16,"9–16",
"17+"))),"")</f>
        <v>3–8</v>
      </c>
    </row>
    <row r="119" spans="1:26" ht="15" customHeight="1" x14ac:dyDescent="0.3">
      <c r="A119">
        <v>3</v>
      </c>
      <c r="B119">
        <v>27</v>
      </c>
      <c r="C119" s="1">
        <v>2</v>
      </c>
      <c r="D119">
        <v>2</v>
      </c>
      <c r="E119">
        <v>2</v>
      </c>
      <c r="F119">
        <v>179</v>
      </c>
      <c r="G119" s="1">
        <v>51</v>
      </c>
      <c r="H119">
        <v>18</v>
      </c>
      <c r="I119" s="1">
        <v>38</v>
      </c>
      <c r="J119" s="2">
        <v>264249</v>
      </c>
      <c r="K119">
        <v>97</v>
      </c>
      <c r="L119">
        <v>0</v>
      </c>
      <c r="M119">
        <v>1</v>
      </c>
      <c r="N119">
        <v>0</v>
      </c>
      <c r="O119">
        <v>1</v>
      </c>
      <c r="P119">
        <v>0</v>
      </c>
      <c r="Q119">
        <v>0</v>
      </c>
      <c r="R119">
        <v>89</v>
      </c>
      <c r="S119">
        <v>170</v>
      </c>
      <c r="T119">
        <v>31</v>
      </c>
      <c r="U119">
        <v>2</v>
      </c>
      <c r="V119" s="53" t="str">
        <f>IFERROR(
IF(tbl_abs[[#This Row],[Month of absence]]=0,"Unknown",
CHOOSE(tbl_abs[[#This Row],[Month of absence]],
"Jan","Feb","Mar","Apr","May","Jun","Jul","Aug","Sep","Oct","Nov","Dec")),"")</f>
        <v>Feb</v>
      </c>
      <c r="W119" s="53" t="str">
        <f>IFERROR(
IF(tbl_abs[[#This Row],[Age]]&lt;30,"&lt;30",
IF(tbl_abs[[#This Row],[Age]]&lt;40,"30–39",
IF(tbl_abs[[#This Row],[Age]]&lt;50,"40–49",
IF(tbl_abs[[#This Row],[Age]]&lt;60,"50–59",
"60+")))),"")</f>
        <v>30–39</v>
      </c>
      <c r="X119" s="53" t="str">
        <f>IFERROR(
IF(tbl_abs[[#This Row],[Distance from Residence to Work]]&lt;=5,"0–5",
IF(tbl_abs[[#This Row],[Distance from Residence to Work]]&lt;=10,"6–10",
IF(tbl_abs[[#This Row],[Distance from Residence to Work]]&lt;=20,"11–20",
"21+"))),"")</f>
        <v>21+</v>
      </c>
      <c r="Y119" s="53" t="str">
        <f>IFERROR(
IF(tbl_abs[[#This Row],[Body Mass Index]]&lt;18.5,"Underweight",
IF(tbl_abs[[#This Row],[Body Mass Index]]&lt;25,"Normal",
IF(tbl_abs[[#This Row],[Body Mass Index]]&lt;30,"Overweight",
"Obese"))),"")</f>
        <v>Obese</v>
      </c>
      <c r="Z119" s="53" t="str">
        <f>IFERROR(
IF(tbl_abs[[#This Row],[Absenteeism time in hours]]&lt;=2,"0–2",
IF(tbl_abs[[#This Row],[Absenteeism time in hours]]&lt;=8,"3–8",
IF(tbl_abs[[#This Row],[Absenteeism time in hours]]&lt;=16,"9–16",
"17+"))),"")</f>
        <v>0–2</v>
      </c>
    </row>
    <row r="120" spans="1:26" ht="15" customHeight="1" x14ac:dyDescent="0.3">
      <c r="A120">
        <v>28</v>
      </c>
      <c r="B120">
        <v>7</v>
      </c>
      <c r="C120" s="1">
        <v>2</v>
      </c>
      <c r="D120">
        <v>2</v>
      </c>
      <c r="E120">
        <v>2</v>
      </c>
      <c r="F120">
        <v>225</v>
      </c>
      <c r="G120" s="1">
        <v>26</v>
      </c>
      <c r="H120">
        <v>9</v>
      </c>
      <c r="I120" s="1">
        <v>28</v>
      </c>
      <c r="J120" s="2">
        <v>264249</v>
      </c>
      <c r="K120">
        <v>97</v>
      </c>
      <c r="L120">
        <v>0</v>
      </c>
      <c r="M120">
        <v>1</v>
      </c>
      <c r="N120">
        <v>1</v>
      </c>
      <c r="O120">
        <v>0</v>
      </c>
      <c r="P120">
        <v>0</v>
      </c>
      <c r="Q120">
        <v>2</v>
      </c>
      <c r="R120">
        <v>69</v>
      </c>
      <c r="S120">
        <v>169</v>
      </c>
      <c r="T120">
        <v>24</v>
      </c>
      <c r="U120">
        <v>2</v>
      </c>
      <c r="V120" s="53" t="str">
        <f>IFERROR(
IF(tbl_abs[[#This Row],[Month of absence]]=0,"Unknown",
CHOOSE(tbl_abs[[#This Row],[Month of absence]],
"Jan","Feb","Mar","Apr","May","Jun","Jul","Aug","Sep","Oct","Nov","Dec")),"")</f>
        <v>Feb</v>
      </c>
      <c r="W120" s="53" t="str">
        <f>IFERROR(
IF(tbl_abs[[#This Row],[Age]]&lt;30,"&lt;30",
IF(tbl_abs[[#This Row],[Age]]&lt;40,"30–39",
IF(tbl_abs[[#This Row],[Age]]&lt;50,"40–49",
IF(tbl_abs[[#This Row],[Age]]&lt;60,"50–59",
"60+")))),"")</f>
        <v>&lt;30</v>
      </c>
      <c r="X120" s="53" t="str">
        <f>IFERROR(
IF(tbl_abs[[#This Row],[Distance from Residence to Work]]&lt;=5,"0–5",
IF(tbl_abs[[#This Row],[Distance from Residence to Work]]&lt;=10,"6–10",
IF(tbl_abs[[#This Row],[Distance from Residence to Work]]&lt;=20,"11–20",
"21+"))),"")</f>
        <v>21+</v>
      </c>
      <c r="Y120" s="53" t="str">
        <f>IFERROR(
IF(tbl_abs[[#This Row],[Body Mass Index]]&lt;18.5,"Underweight",
IF(tbl_abs[[#This Row],[Body Mass Index]]&lt;25,"Normal",
IF(tbl_abs[[#This Row],[Body Mass Index]]&lt;30,"Overweight",
"Obese"))),"")</f>
        <v>Normal</v>
      </c>
      <c r="Z120" s="53" t="str">
        <f>IFERROR(
IF(tbl_abs[[#This Row],[Absenteeism time in hours]]&lt;=2,"0–2",
IF(tbl_abs[[#This Row],[Absenteeism time in hours]]&lt;=8,"3–8",
IF(tbl_abs[[#This Row],[Absenteeism time in hours]]&lt;=16,"9–16",
"17+"))),"")</f>
        <v>0–2</v>
      </c>
    </row>
    <row r="121" spans="1:26" ht="15" customHeight="1" x14ac:dyDescent="0.3">
      <c r="A121">
        <v>3</v>
      </c>
      <c r="B121">
        <v>27</v>
      </c>
      <c r="C121" s="1">
        <v>2</v>
      </c>
      <c r="D121">
        <v>3</v>
      </c>
      <c r="E121">
        <v>2</v>
      </c>
      <c r="F121">
        <v>179</v>
      </c>
      <c r="G121" s="1">
        <v>51</v>
      </c>
      <c r="H121">
        <v>18</v>
      </c>
      <c r="I121" s="1">
        <v>38</v>
      </c>
      <c r="J121" s="2">
        <v>264249</v>
      </c>
      <c r="K121">
        <v>97</v>
      </c>
      <c r="L121">
        <v>0</v>
      </c>
      <c r="M121">
        <v>1</v>
      </c>
      <c r="N121">
        <v>0</v>
      </c>
      <c r="O121">
        <v>1</v>
      </c>
      <c r="P121">
        <v>0</v>
      </c>
      <c r="Q121">
        <v>0</v>
      </c>
      <c r="R121">
        <v>89</v>
      </c>
      <c r="S121">
        <v>170</v>
      </c>
      <c r="T121">
        <v>31</v>
      </c>
      <c r="U121">
        <v>2</v>
      </c>
      <c r="V121" s="53" t="str">
        <f>IFERROR(
IF(tbl_abs[[#This Row],[Month of absence]]=0,"Unknown",
CHOOSE(tbl_abs[[#This Row],[Month of absence]],
"Jan","Feb","Mar","Apr","May","Jun","Jul","Aug","Sep","Oct","Nov","Dec")),"")</f>
        <v>Feb</v>
      </c>
      <c r="W121" s="53" t="str">
        <f>IFERROR(
IF(tbl_abs[[#This Row],[Age]]&lt;30,"&lt;30",
IF(tbl_abs[[#This Row],[Age]]&lt;40,"30–39",
IF(tbl_abs[[#This Row],[Age]]&lt;50,"40–49",
IF(tbl_abs[[#This Row],[Age]]&lt;60,"50–59",
"60+")))),"")</f>
        <v>30–39</v>
      </c>
      <c r="X121" s="53" t="str">
        <f>IFERROR(
IF(tbl_abs[[#This Row],[Distance from Residence to Work]]&lt;=5,"0–5",
IF(tbl_abs[[#This Row],[Distance from Residence to Work]]&lt;=10,"6–10",
IF(tbl_abs[[#This Row],[Distance from Residence to Work]]&lt;=20,"11–20",
"21+"))),"")</f>
        <v>21+</v>
      </c>
      <c r="Y121" s="53" t="str">
        <f>IFERROR(
IF(tbl_abs[[#This Row],[Body Mass Index]]&lt;18.5,"Underweight",
IF(tbl_abs[[#This Row],[Body Mass Index]]&lt;25,"Normal",
IF(tbl_abs[[#This Row],[Body Mass Index]]&lt;30,"Overweight",
"Obese"))),"")</f>
        <v>Obese</v>
      </c>
      <c r="Z121" s="53" t="str">
        <f>IFERROR(
IF(tbl_abs[[#This Row],[Absenteeism time in hours]]&lt;=2,"0–2",
IF(tbl_abs[[#This Row],[Absenteeism time in hours]]&lt;=8,"3–8",
IF(tbl_abs[[#This Row],[Absenteeism time in hours]]&lt;=16,"9–16",
"17+"))),"")</f>
        <v>0–2</v>
      </c>
    </row>
    <row r="122" spans="1:26" ht="15" customHeight="1" x14ac:dyDescent="0.3">
      <c r="A122">
        <v>33</v>
      </c>
      <c r="B122">
        <v>23</v>
      </c>
      <c r="C122" s="1">
        <v>2</v>
      </c>
      <c r="D122">
        <v>3</v>
      </c>
      <c r="E122">
        <v>2</v>
      </c>
      <c r="F122">
        <v>248</v>
      </c>
      <c r="G122" s="1">
        <v>25</v>
      </c>
      <c r="H122">
        <v>14</v>
      </c>
      <c r="I122" s="1">
        <v>47</v>
      </c>
      <c r="J122" s="2">
        <v>264249</v>
      </c>
      <c r="K122">
        <v>97</v>
      </c>
      <c r="L122">
        <v>0</v>
      </c>
      <c r="M122">
        <v>1</v>
      </c>
      <c r="N122">
        <v>2</v>
      </c>
      <c r="O122">
        <v>0</v>
      </c>
      <c r="P122">
        <v>0</v>
      </c>
      <c r="Q122">
        <v>1</v>
      </c>
      <c r="R122">
        <v>86</v>
      </c>
      <c r="S122">
        <v>165</v>
      </c>
      <c r="T122">
        <v>32</v>
      </c>
      <c r="U122">
        <v>2</v>
      </c>
      <c r="V122" s="53" t="str">
        <f>IFERROR(
IF(tbl_abs[[#This Row],[Month of absence]]=0,"Unknown",
CHOOSE(tbl_abs[[#This Row],[Month of absence]],
"Jan","Feb","Mar","Apr","May","Jun","Jul","Aug","Sep","Oct","Nov","Dec")),"")</f>
        <v>Feb</v>
      </c>
      <c r="W122" s="53" t="str">
        <f>IFERROR(
IF(tbl_abs[[#This Row],[Age]]&lt;30,"&lt;30",
IF(tbl_abs[[#This Row],[Age]]&lt;40,"30–39",
IF(tbl_abs[[#This Row],[Age]]&lt;50,"40–49",
IF(tbl_abs[[#This Row],[Age]]&lt;60,"50–59",
"60+")))),"")</f>
        <v>40–49</v>
      </c>
      <c r="X122" s="53" t="str">
        <f>IFERROR(
IF(tbl_abs[[#This Row],[Distance from Residence to Work]]&lt;=5,"0–5",
IF(tbl_abs[[#This Row],[Distance from Residence to Work]]&lt;=10,"6–10",
IF(tbl_abs[[#This Row],[Distance from Residence to Work]]&lt;=20,"11–20",
"21+"))),"")</f>
        <v>21+</v>
      </c>
      <c r="Y122" s="53" t="str">
        <f>IFERROR(
IF(tbl_abs[[#This Row],[Body Mass Index]]&lt;18.5,"Underweight",
IF(tbl_abs[[#This Row],[Body Mass Index]]&lt;25,"Normal",
IF(tbl_abs[[#This Row],[Body Mass Index]]&lt;30,"Overweight",
"Obese"))),"")</f>
        <v>Obese</v>
      </c>
      <c r="Z122" s="53" t="str">
        <f>IFERROR(
IF(tbl_abs[[#This Row],[Absenteeism time in hours]]&lt;=2,"0–2",
IF(tbl_abs[[#This Row],[Absenteeism time in hours]]&lt;=8,"3–8",
IF(tbl_abs[[#This Row],[Absenteeism time in hours]]&lt;=16,"9–16",
"17+"))),"")</f>
        <v>0–2</v>
      </c>
    </row>
    <row r="123" spans="1:26" ht="15" customHeight="1" x14ac:dyDescent="0.3">
      <c r="A123">
        <v>28</v>
      </c>
      <c r="B123">
        <v>25</v>
      </c>
      <c r="C123" s="1">
        <v>2</v>
      </c>
      <c r="D123">
        <v>3</v>
      </c>
      <c r="E123">
        <v>2</v>
      </c>
      <c r="F123">
        <v>225</v>
      </c>
      <c r="G123" s="1">
        <v>26</v>
      </c>
      <c r="H123">
        <v>9</v>
      </c>
      <c r="I123" s="1">
        <v>28</v>
      </c>
      <c r="J123" s="2">
        <v>264249</v>
      </c>
      <c r="K123">
        <v>97</v>
      </c>
      <c r="L123">
        <v>0</v>
      </c>
      <c r="M123">
        <v>1</v>
      </c>
      <c r="N123">
        <v>1</v>
      </c>
      <c r="O123">
        <v>0</v>
      </c>
      <c r="P123">
        <v>0</v>
      </c>
      <c r="Q123">
        <v>2</v>
      </c>
      <c r="R123">
        <v>69</v>
      </c>
      <c r="S123">
        <v>169</v>
      </c>
      <c r="T123">
        <v>24</v>
      </c>
      <c r="U123">
        <v>2</v>
      </c>
      <c r="V123" s="53" t="str">
        <f>IFERROR(
IF(tbl_abs[[#This Row],[Month of absence]]=0,"Unknown",
CHOOSE(tbl_abs[[#This Row],[Month of absence]],
"Jan","Feb","Mar","Apr","May","Jun","Jul","Aug","Sep","Oct","Nov","Dec")),"")</f>
        <v>Feb</v>
      </c>
      <c r="W123" s="53" t="str">
        <f>IFERROR(
IF(tbl_abs[[#This Row],[Age]]&lt;30,"&lt;30",
IF(tbl_abs[[#This Row],[Age]]&lt;40,"30–39",
IF(tbl_abs[[#This Row],[Age]]&lt;50,"40–49",
IF(tbl_abs[[#This Row],[Age]]&lt;60,"50–59",
"60+")))),"")</f>
        <v>&lt;30</v>
      </c>
      <c r="X123" s="53" t="str">
        <f>IFERROR(
IF(tbl_abs[[#This Row],[Distance from Residence to Work]]&lt;=5,"0–5",
IF(tbl_abs[[#This Row],[Distance from Residence to Work]]&lt;=10,"6–10",
IF(tbl_abs[[#This Row],[Distance from Residence to Work]]&lt;=20,"11–20",
"21+"))),"")</f>
        <v>21+</v>
      </c>
      <c r="Y123" s="53" t="str">
        <f>IFERROR(
IF(tbl_abs[[#This Row],[Body Mass Index]]&lt;18.5,"Underweight",
IF(tbl_abs[[#This Row],[Body Mass Index]]&lt;25,"Normal",
IF(tbl_abs[[#This Row],[Body Mass Index]]&lt;30,"Overweight",
"Obese"))),"")</f>
        <v>Normal</v>
      </c>
      <c r="Z123" s="53" t="str">
        <f>IFERROR(
IF(tbl_abs[[#This Row],[Absenteeism time in hours]]&lt;=2,"0–2",
IF(tbl_abs[[#This Row],[Absenteeism time in hours]]&lt;=8,"3–8",
IF(tbl_abs[[#This Row],[Absenteeism time in hours]]&lt;=16,"9–16",
"17+"))),"")</f>
        <v>0–2</v>
      </c>
    </row>
    <row r="124" spans="1:26" ht="15" customHeight="1" x14ac:dyDescent="0.3">
      <c r="A124">
        <v>3</v>
      </c>
      <c r="B124">
        <v>27</v>
      </c>
      <c r="C124" s="1">
        <v>2</v>
      </c>
      <c r="D124">
        <v>4</v>
      </c>
      <c r="E124">
        <v>2</v>
      </c>
      <c r="F124">
        <v>179</v>
      </c>
      <c r="G124" s="1">
        <v>51</v>
      </c>
      <c r="H124">
        <v>18</v>
      </c>
      <c r="I124" s="1">
        <v>38</v>
      </c>
      <c r="J124" s="2">
        <v>264249</v>
      </c>
      <c r="K124">
        <v>97</v>
      </c>
      <c r="L124">
        <v>0</v>
      </c>
      <c r="M124">
        <v>1</v>
      </c>
      <c r="N124">
        <v>0</v>
      </c>
      <c r="O124">
        <v>1</v>
      </c>
      <c r="P124">
        <v>0</v>
      </c>
      <c r="Q124">
        <v>0</v>
      </c>
      <c r="R124">
        <v>89</v>
      </c>
      <c r="S124">
        <v>170</v>
      </c>
      <c r="T124">
        <v>31</v>
      </c>
      <c r="U124">
        <v>2</v>
      </c>
      <c r="V124" s="53" t="str">
        <f>IFERROR(
IF(tbl_abs[[#This Row],[Month of absence]]=0,"Unknown",
CHOOSE(tbl_abs[[#This Row],[Month of absence]],
"Jan","Feb","Mar","Apr","May","Jun","Jul","Aug","Sep","Oct","Nov","Dec")),"")</f>
        <v>Feb</v>
      </c>
      <c r="W124" s="53" t="str">
        <f>IFERROR(
IF(tbl_abs[[#This Row],[Age]]&lt;30,"&lt;30",
IF(tbl_abs[[#This Row],[Age]]&lt;40,"30–39",
IF(tbl_abs[[#This Row],[Age]]&lt;50,"40–49",
IF(tbl_abs[[#This Row],[Age]]&lt;60,"50–59",
"60+")))),"")</f>
        <v>30–39</v>
      </c>
      <c r="X124" s="53" t="str">
        <f>IFERROR(
IF(tbl_abs[[#This Row],[Distance from Residence to Work]]&lt;=5,"0–5",
IF(tbl_abs[[#This Row],[Distance from Residence to Work]]&lt;=10,"6–10",
IF(tbl_abs[[#This Row],[Distance from Residence to Work]]&lt;=20,"11–20",
"21+"))),"")</f>
        <v>21+</v>
      </c>
      <c r="Y124" s="53" t="str">
        <f>IFERROR(
IF(tbl_abs[[#This Row],[Body Mass Index]]&lt;18.5,"Underweight",
IF(tbl_abs[[#This Row],[Body Mass Index]]&lt;25,"Normal",
IF(tbl_abs[[#This Row],[Body Mass Index]]&lt;30,"Overweight",
"Obese"))),"")</f>
        <v>Obese</v>
      </c>
      <c r="Z124" s="53" t="str">
        <f>IFERROR(
IF(tbl_abs[[#This Row],[Absenteeism time in hours]]&lt;=2,"0–2",
IF(tbl_abs[[#This Row],[Absenteeism time in hours]]&lt;=8,"3–8",
IF(tbl_abs[[#This Row],[Absenteeism time in hours]]&lt;=16,"9–16",
"17+"))),"")</f>
        <v>0–2</v>
      </c>
    </row>
    <row r="125" spans="1:26" ht="15" customHeight="1" x14ac:dyDescent="0.3">
      <c r="A125">
        <v>3</v>
      </c>
      <c r="B125">
        <v>27</v>
      </c>
      <c r="C125" s="1">
        <v>2</v>
      </c>
      <c r="D125">
        <v>5</v>
      </c>
      <c r="E125">
        <v>2</v>
      </c>
      <c r="F125">
        <v>179</v>
      </c>
      <c r="G125" s="1">
        <v>51</v>
      </c>
      <c r="H125">
        <v>18</v>
      </c>
      <c r="I125" s="1">
        <v>38</v>
      </c>
      <c r="J125" s="2">
        <v>264249</v>
      </c>
      <c r="K125">
        <v>97</v>
      </c>
      <c r="L125">
        <v>0</v>
      </c>
      <c r="M125">
        <v>1</v>
      </c>
      <c r="N125">
        <v>0</v>
      </c>
      <c r="O125">
        <v>1</v>
      </c>
      <c r="P125">
        <v>0</v>
      </c>
      <c r="Q125">
        <v>0</v>
      </c>
      <c r="R125">
        <v>89</v>
      </c>
      <c r="S125">
        <v>170</v>
      </c>
      <c r="T125">
        <v>31</v>
      </c>
      <c r="U125">
        <v>2</v>
      </c>
      <c r="V125" s="53" t="str">
        <f>IFERROR(
IF(tbl_abs[[#This Row],[Month of absence]]=0,"Unknown",
CHOOSE(tbl_abs[[#This Row],[Month of absence]],
"Jan","Feb","Mar","Apr","May","Jun","Jul","Aug","Sep","Oct","Nov","Dec")),"")</f>
        <v>Feb</v>
      </c>
      <c r="W125" s="53" t="str">
        <f>IFERROR(
IF(tbl_abs[[#This Row],[Age]]&lt;30,"&lt;30",
IF(tbl_abs[[#This Row],[Age]]&lt;40,"30–39",
IF(tbl_abs[[#This Row],[Age]]&lt;50,"40–49",
IF(tbl_abs[[#This Row],[Age]]&lt;60,"50–59",
"60+")))),"")</f>
        <v>30–39</v>
      </c>
      <c r="X125" s="53" t="str">
        <f>IFERROR(
IF(tbl_abs[[#This Row],[Distance from Residence to Work]]&lt;=5,"0–5",
IF(tbl_abs[[#This Row],[Distance from Residence to Work]]&lt;=10,"6–10",
IF(tbl_abs[[#This Row],[Distance from Residence to Work]]&lt;=20,"11–20",
"21+"))),"")</f>
        <v>21+</v>
      </c>
      <c r="Y125" s="53" t="str">
        <f>IFERROR(
IF(tbl_abs[[#This Row],[Body Mass Index]]&lt;18.5,"Underweight",
IF(tbl_abs[[#This Row],[Body Mass Index]]&lt;25,"Normal",
IF(tbl_abs[[#This Row],[Body Mass Index]]&lt;30,"Overweight",
"Obese"))),"")</f>
        <v>Obese</v>
      </c>
      <c r="Z125" s="53" t="str">
        <f>IFERROR(
IF(tbl_abs[[#This Row],[Absenteeism time in hours]]&lt;=2,"0–2",
IF(tbl_abs[[#This Row],[Absenteeism time in hours]]&lt;=8,"3–8",
IF(tbl_abs[[#This Row],[Absenteeism time in hours]]&lt;=16,"9–16",
"17+"))),"")</f>
        <v>0–2</v>
      </c>
    </row>
    <row r="126" spans="1:26" ht="15" customHeight="1" x14ac:dyDescent="0.3">
      <c r="A126">
        <v>25</v>
      </c>
      <c r="B126">
        <v>25</v>
      </c>
      <c r="C126" s="1">
        <v>2</v>
      </c>
      <c r="D126">
        <v>6</v>
      </c>
      <c r="E126">
        <v>2</v>
      </c>
      <c r="F126">
        <v>235</v>
      </c>
      <c r="G126" s="1">
        <v>16</v>
      </c>
      <c r="H126">
        <v>8</v>
      </c>
      <c r="I126" s="1">
        <v>32</v>
      </c>
      <c r="J126" s="2">
        <v>264249</v>
      </c>
      <c r="K126">
        <v>97</v>
      </c>
      <c r="L126">
        <v>0</v>
      </c>
      <c r="M126">
        <v>3</v>
      </c>
      <c r="N126">
        <v>0</v>
      </c>
      <c r="O126">
        <v>0</v>
      </c>
      <c r="P126">
        <v>0</v>
      </c>
      <c r="Q126">
        <v>0</v>
      </c>
      <c r="R126">
        <v>75</v>
      </c>
      <c r="S126">
        <v>178</v>
      </c>
      <c r="T126">
        <v>25</v>
      </c>
      <c r="U126">
        <v>2</v>
      </c>
      <c r="V126" s="53" t="str">
        <f>IFERROR(
IF(tbl_abs[[#This Row],[Month of absence]]=0,"Unknown",
CHOOSE(tbl_abs[[#This Row],[Month of absence]],
"Jan","Feb","Mar","Apr","May","Jun","Jul","Aug","Sep","Oct","Nov","Dec")),"")</f>
        <v>Feb</v>
      </c>
      <c r="W126" s="53" t="str">
        <f>IFERROR(
IF(tbl_abs[[#This Row],[Age]]&lt;30,"&lt;30",
IF(tbl_abs[[#This Row],[Age]]&lt;40,"30–39",
IF(tbl_abs[[#This Row],[Age]]&lt;50,"40–49",
IF(tbl_abs[[#This Row],[Age]]&lt;60,"50–59",
"60+")))),"")</f>
        <v>30–39</v>
      </c>
      <c r="X126" s="53" t="str">
        <f>IFERROR(
IF(tbl_abs[[#This Row],[Distance from Residence to Work]]&lt;=5,"0–5",
IF(tbl_abs[[#This Row],[Distance from Residence to Work]]&lt;=10,"6–10",
IF(tbl_abs[[#This Row],[Distance from Residence to Work]]&lt;=20,"11–20",
"21+"))),"")</f>
        <v>11–20</v>
      </c>
      <c r="Y126" s="53" t="str">
        <f>IFERROR(
IF(tbl_abs[[#This Row],[Body Mass Index]]&lt;18.5,"Underweight",
IF(tbl_abs[[#This Row],[Body Mass Index]]&lt;25,"Normal",
IF(tbl_abs[[#This Row],[Body Mass Index]]&lt;30,"Overweight",
"Obese"))),"")</f>
        <v>Overweight</v>
      </c>
      <c r="Z126" s="53" t="str">
        <f>IFERROR(
IF(tbl_abs[[#This Row],[Absenteeism time in hours]]&lt;=2,"0–2",
IF(tbl_abs[[#This Row],[Absenteeism time in hours]]&lt;=8,"3–8",
IF(tbl_abs[[#This Row],[Absenteeism time in hours]]&lt;=16,"9–16",
"17+"))),"")</f>
        <v>0–2</v>
      </c>
    </row>
    <row r="127" spans="1:26" ht="15" customHeight="1" x14ac:dyDescent="0.3">
      <c r="A127">
        <v>19</v>
      </c>
      <c r="B127">
        <v>28</v>
      </c>
      <c r="C127" s="1">
        <v>3</v>
      </c>
      <c r="D127">
        <v>3</v>
      </c>
      <c r="E127">
        <v>2</v>
      </c>
      <c r="F127">
        <v>291</v>
      </c>
      <c r="G127" s="1">
        <v>50</v>
      </c>
      <c r="H127">
        <v>12</v>
      </c>
      <c r="I127" s="1">
        <v>32</v>
      </c>
      <c r="J127" s="2">
        <v>343253</v>
      </c>
      <c r="K127">
        <v>95</v>
      </c>
      <c r="L127">
        <v>0</v>
      </c>
      <c r="M127">
        <v>1</v>
      </c>
      <c r="N127">
        <v>0</v>
      </c>
      <c r="O127">
        <v>1</v>
      </c>
      <c r="P127">
        <v>0</v>
      </c>
      <c r="Q127">
        <v>0</v>
      </c>
      <c r="R127">
        <v>65</v>
      </c>
      <c r="S127">
        <v>169</v>
      </c>
      <c r="T127">
        <v>23</v>
      </c>
      <c r="U127">
        <v>2</v>
      </c>
      <c r="V127" s="53" t="str">
        <f>IFERROR(
IF(tbl_abs[[#This Row],[Month of absence]]=0,"Unknown",
CHOOSE(tbl_abs[[#This Row],[Month of absence]],
"Jan","Feb","Mar","Apr","May","Jun","Jul","Aug","Sep","Oct","Nov","Dec")),"")</f>
        <v>Mar</v>
      </c>
      <c r="W127" s="53" t="str">
        <f>IFERROR(
IF(tbl_abs[[#This Row],[Age]]&lt;30,"&lt;30",
IF(tbl_abs[[#This Row],[Age]]&lt;40,"30–39",
IF(tbl_abs[[#This Row],[Age]]&lt;50,"40–49",
IF(tbl_abs[[#This Row],[Age]]&lt;60,"50–59",
"60+")))),"")</f>
        <v>30–39</v>
      </c>
      <c r="X127" s="53" t="str">
        <f>IFERROR(
IF(tbl_abs[[#This Row],[Distance from Residence to Work]]&lt;=5,"0–5",
IF(tbl_abs[[#This Row],[Distance from Residence to Work]]&lt;=10,"6–10",
IF(tbl_abs[[#This Row],[Distance from Residence to Work]]&lt;=20,"11–20",
"21+"))),"")</f>
        <v>21+</v>
      </c>
      <c r="Y127" s="53" t="str">
        <f>IFERROR(
IF(tbl_abs[[#This Row],[Body Mass Index]]&lt;18.5,"Underweight",
IF(tbl_abs[[#This Row],[Body Mass Index]]&lt;25,"Normal",
IF(tbl_abs[[#This Row],[Body Mass Index]]&lt;30,"Overweight",
"Obese"))),"")</f>
        <v>Normal</v>
      </c>
      <c r="Z127" s="53" t="str">
        <f>IFERROR(
IF(tbl_abs[[#This Row],[Absenteeism time in hours]]&lt;=2,"0–2",
IF(tbl_abs[[#This Row],[Absenteeism time in hours]]&lt;=8,"3–8",
IF(tbl_abs[[#This Row],[Absenteeism time in hours]]&lt;=16,"9–16",
"17+"))),"")</f>
        <v>0–2</v>
      </c>
    </row>
    <row r="128" spans="1:26" ht="15" customHeight="1" x14ac:dyDescent="0.3">
      <c r="A128">
        <v>20</v>
      </c>
      <c r="B128">
        <v>19</v>
      </c>
      <c r="C128" s="1">
        <v>3</v>
      </c>
      <c r="D128">
        <v>3</v>
      </c>
      <c r="E128">
        <v>2</v>
      </c>
      <c r="F128">
        <v>260</v>
      </c>
      <c r="G128" s="1">
        <v>50</v>
      </c>
      <c r="H128">
        <v>11</v>
      </c>
      <c r="I128" s="1">
        <v>36</v>
      </c>
      <c r="J128" s="2">
        <v>343253</v>
      </c>
      <c r="K128">
        <v>95</v>
      </c>
      <c r="L128">
        <v>0</v>
      </c>
      <c r="M128">
        <v>1</v>
      </c>
      <c r="N128">
        <v>4</v>
      </c>
      <c r="O128">
        <v>1</v>
      </c>
      <c r="P128">
        <v>0</v>
      </c>
      <c r="Q128">
        <v>0</v>
      </c>
      <c r="R128">
        <v>65</v>
      </c>
      <c r="S128">
        <v>168</v>
      </c>
      <c r="T128">
        <v>23</v>
      </c>
      <c r="U128">
        <v>8</v>
      </c>
      <c r="V128" s="53" t="str">
        <f>IFERROR(
IF(tbl_abs[[#This Row],[Month of absence]]=0,"Unknown",
CHOOSE(tbl_abs[[#This Row],[Month of absence]],
"Jan","Feb","Mar","Apr","May","Jun","Jul","Aug","Sep","Oct","Nov","Dec")),"")</f>
        <v>Mar</v>
      </c>
      <c r="W128" s="53" t="str">
        <f>IFERROR(
IF(tbl_abs[[#This Row],[Age]]&lt;30,"&lt;30",
IF(tbl_abs[[#This Row],[Age]]&lt;40,"30–39",
IF(tbl_abs[[#This Row],[Age]]&lt;50,"40–49",
IF(tbl_abs[[#This Row],[Age]]&lt;60,"50–59",
"60+")))),"")</f>
        <v>30–39</v>
      </c>
      <c r="X128" s="53" t="str">
        <f>IFERROR(
IF(tbl_abs[[#This Row],[Distance from Residence to Work]]&lt;=5,"0–5",
IF(tbl_abs[[#This Row],[Distance from Residence to Work]]&lt;=10,"6–10",
IF(tbl_abs[[#This Row],[Distance from Residence to Work]]&lt;=20,"11–20",
"21+"))),"")</f>
        <v>21+</v>
      </c>
      <c r="Y128" s="53" t="str">
        <f>IFERROR(
IF(tbl_abs[[#This Row],[Body Mass Index]]&lt;18.5,"Underweight",
IF(tbl_abs[[#This Row],[Body Mass Index]]&lt;25,"Normal",
IF(tbl_abs[[#This Row],[Body Mass Index]]&lt;30,"Overweight",
"Obese"))),"")</f>
        <v>Normal</v>
      </c>
      <c r="Z128" s="53" t="str">
        <f>IFERROR(
IF(tbl_abs[[#This Row],[Absenteeism time in hours]]&lt;=2,"0–2",
IF(tbl_abs[[#This Row],[Absenteeism time in hours]]&lt;=8,"3–8",
IF(tbl_abs[[#This Row],[Absenteeism time in hours]]&lt;=16,"9–16",
"17+"))),"")</f>
        <v>3–8</v>
      </c>
    </row>
    <row r="129" spans="1:26" ht="15" customHeight="1" x14ac:dyDescent="0.3">
      <c r="A129">
        <v>30</v>
      </c>
      <c r="B129">
        <v>19</v>
      </c>
      <c r="C129" s="1">
        <v>3</v>
      </c>
      <c r="D129">
        <v>3</v>
      </c>
      <c r="E129">
        <v>2</v>
      </c>
      <c r="F129">
        <v>157</v>
      </c>
      <c r="G129" s="1">
        <v>27</v>
      </c>
      <c r="H129">
        <v>6</v>
      </c>
      <c r="I129" s="1">
        <v>29</v>
      </c>
      <c r="J129" s="2">
        <v>343253</v>
      </c>
      <c r="K129">
        <v>95</v>
      </c>
      <c r="L129">
        <v>0</v>
      </c>
      <c r="M129">
        <v>1</v>
      </c>
      <c r="N129">
        <v>0</v>
      </c>
      <c r="O129">
        <v>1</v>
      </c>
      <c r="P129">
        <v>1</v>
      </c>
      <c r="Q129">
        <v>0</v>
      </c>
      <c r="R129">
        <v>75</v>
      </c>
      <c r="S129">
        <v>185</v>
      </c>
      <c r="T129">
        <v>22</v>
      </c>
      <c r="U129">
        <v>3</v>
      </c>
      <c r="V129" s="53" t="str">
        <f>IFERROR(
IF(tbl_abs[[#This Row],[Month of absence]]=0,"Unknown",
CHOOSE(tbl_abs[[#This Row],[Month of absence]],
"Jan","Feb","Mar","Apr","May","Jun","Jul","Aug","Sep","Oct","Nov","Dec")),"")</f>
        <v>Mar</v>
      </c>
      <c r="W129" s="53" t="str">
        <f>IFERROR(
IF(tbl_abs[[#This Row],[Age]]&lt;30,"&lt;30",
IF(tbl_abs[[#This Row],[Age]]&lt;40,"30–39",
IF(tbl_abs[[#This Row],[Age]]&lt;50,"40–49",
IF(tbl_abs[[#This Row],[Age]]&lt;60,"50–59",
"60+")))),"")</f>
        <v>&lt;30</v>
      </c>
      <c r="X129" s="53" t="str">
        <f>IFERROR(
IF(tbl_abs[[#This Row],[Distance from Residence to Work]]&lt;=5,"0–5",
IF(tbl_abs[[#This Row],[Distance from Residence to Work]]&lt;=10,"6–10",
IF(tbl_abs[[#This Row],[Distance from Residence to Work]]&lt;=20,"11–20",
"21+"))),"")</f>
        <v>21+</v>
      </c>
      <c r="Y129" s="53" t="str">
        <f>IFERROR(
IF(tbl_abs[[#This Row],[Body Mass Index]]&lt;18.5,"Underweight",
IF(tbl_abs[[#This Row],[Body Mass Index]]&lt;25,"Normal",
IF(tbl_abs[[#This Row],[Body Mass Index]]&lt;30,"Overweight",
"Obese"))),"")</f>
        <v>Normal</v>
      </c>
      <c r="Z129" s="53" t="str">
        <f>IFERROR(
IF(tbl_abs[[#This Row],[Absenteeism time in hours]]&lt;=2,"0–2",
IF(tbl_abs[[#This Row],[Absenteeism time in hours]]&lt;=8,"3–8",
IF(tbl_abs[[#This Row],[Absenteeism time in hours]]&lt;=16,"9–16",
"17+"))),"")</f>
        <v>3–8</v>
      </c>
    </row>
    <row r="130" spans="1:26" ht="15" customHeight="1" x14ac:dyDescent="0.3">
      <c r="A130">
        <v>17</v>
      </c>
      <c r="B130">
        <v>17</v>
      </c>
      <c r="C130" s="1">
        <v>3</v>
      </c>
      <c r="D130">
        <v>3</v>
      </c>
      <c r="E130">
        <v>2</v>
      </c>
      <c r="F130">
        <v>179</v>
      </c>
      <c r="G130" s="1">
        <v>22</v>
      </c>
      <c r="H130">
        <v>17</v>
      </c>
      <c r="I130" s="1">
        <v>40</v>
      </c>
      <c r="J130" s="2">
        <v>343253</v>
      </c>
      <c r="K130">
        <v>95</v>
      </c>
      <c r="L130">
        <v>0</v>
      </c>
      <c r="M130">
        <v>2</v>
      </c>
      <c r="N130">
        <v>2</v>
      </c>
      <c r="O130">
        <v>0</v>
      </c>
      <c r="P130">
        <v>1</v>
      </c>
      <c r="Q130">
        <v>0</v>
      </c>
      <c r="R130">
        <v>63</v>
      </c>
      <c r="S130">
        <v>170</v>
      </c>
      <c r="U130">
        <v>8</v>
      </c>
      <c r="V130" s="53" t="str">
        <f>IFERROR(
IF(tbl_abs[[#This Row],[Month of absence]]=0,"Unknown",
CHOOSE(tbl_abs[[#This Row],[Month of absence]],
"Jan","Feb","Mar","Apr","May","Jun","Jul","Aug","Sep","Oct","Nov","Dec")),"")</f>
        <v>Mar</v>
      </c>
      <c r="W130" s="53" t="str">
        <f>IFERROR(
IF(tbl_abs[[#This Row],[Age]]&lt;30,"&lt;30",
IF(tbl_abs[[#This Row],[Age]]&lt;40,"30–39",
IF(tbl_abs[[#This Row],[Age]]&lt;50,"40–49",
IF(tbl_abs[[#This Row],[Age]]&lt;60,"50–59",
"60+")))),"")</f>
        <v>40–49</v>
      </c>
      <c r="X130" s="53" t="str">
        <f>IFERROR(
IF(tbl_abs[[#This Row],[Distance from Residence to Work]]&lt;=5,"0–5",
IF(tbl_abs[[#This Row],[Distance from Residence to Work]]&lt;=10,"6–10",
IF(tbl_abs[[#This Row],[Distance from Residence to Work]]&lt;=20,"11–20",
"21+"))),"")</f>
        <v>21+</v>
      </c>
      <c r="Y130" s="53" t="str">
        <f>IFERROR(
IF(tbl_abs[[#This Row],[Body Mass Index]]&lt;18.5,"Underweight",
IF(tbl_abs[[#This Row],[Body Mass Index]]&lt;25,"Normal",
IF(tbl_abs[[#This Row],[Body Mass Index]]&lt;30,"Overweight",
"Obese"))),"")</f>
        <v>Underweight</v>
      </c>
      <c r="Z130" s="53" t="str">
        <f>IFERROR(
IF(tbl_abs[[#This Row],[Absenteeism time in hours]]&lt;=2,"0–2",
IF(tbl_abs[[#This Row],[Absenteeism time in hours]]&lt;=8,"3–8",
IF(tbl_abs[[#This Row],[Absenteeism time in hours]]&lt;=16,"9–16",
"17+"))),"")</f>
        <v>3–8</v>
      </c>
    </row>
    <row r="131" spans="1:26" ht="15" customHeight="1" x14ac:dyDescent="0.3">
      <c r="A131">
        <v>15</v>
      </c>
      <c r="B131">
        <v>22</v>
      </c>
      <c r="C131" s="1">
        <v>3</v>
      </c>
      <c r="D131">
        <v>4</v>
      </c>
      <c r="E131">
        <v>2</v>
      </c>
      <c r="F131">
        <v>291</v>
      </c>
      <c r="G131" s="1">
        <v>31</v>
      </c>
      <c r="H131">
        <v>12</v>
      </c>
      <c r="I131" s="1">
        <v>40</v>
      </c>
      <c r="J131" s="2">
        <v>343253</v>
      </c>
      <c r="K131">
        <v>95</v>
      </c>
      <c r="L131">
        <v>0</v>
      </c>
      <c r="M131">
        <v>1</v>
      </c>
      <c r="N131">
        <v>1</v>
      </c>
      <c r="O131">
        <v>1</v>
      </c>
      <c r="P131">
        <v>0</v>
      </c>
      <c r="Q131">
        <v>1</v>
      </c>
      <c r="R131">
        <v>73</v>
      </c>
      <c r="S131">
        <v>171</v>
      </c>
      <c r="U131">
        <v>8</v>
      </c>
      <c r="V131" s="53" t="str">
        <f>IFERROR(
IF(tbl_abs[[#This Row],[Month of absence]]=0,"Unknown",
CHOOSE(tbl_abs[[#This Row],[Month of absence]],
"Jan","Feb","Mar","Apr","May","Jun","Jul","Aug","Sep","Oct","Nov","Dec")),"")</f>
        <v>Mar</v>
      </c>
      <c r="W131" s="53" t="str">
        <f>IFERROR(
IF(tbl_abs[[#This Row],[Age]]&lt;30,"&lt;30",
IF(tbl_abs[[#This Row],[Age]]&lt;40,"30–39",
IF(tbl_abs[[#This Row],[Age]]&lt;50,"40–49",
IF(tbl_abs[[#This Row],[Age]]&lt;60,"50–59",
"60+")))),"")</f>
        <v>40–49</v>
      </c>
      <c r="X131" s="53" t="str">
        <f>IFERROR(
IF(tbl_abs[[#This Row],[Distance from Residence to Work]]&lt;=5,"0–5",
IF(tbl_abs[[#This Row],[Distance from Residence to Work]]&lt;=10,"6–10",
IF(tbl_abs[[#This Row],[Distance from Residence to Work]]&lt;=20,"11–20",
"21+"))),"")</f>
        <v>21+</v>
      </c>
      <c r="Y131" s="53" t="str">
        <f>IFERROR(
IF(tbl_abs[[#This Row],[Body Mass Index]]&lt;18.5,"Underweight",
IF(tbl_abs[[#This Row],[Body Mass Index]]&lt;25,"Normal",
IF(tbl_abs[[#This Row],[Body Mass Index]]&lt;30,"Overweight",
"Obese"))),"")</f>
        <v>Underweight</v>
      </c>
      <c r="Z131" s="53" t="str">
        <f>IFERROR(
IF(tbl_abs[[#This Row],[Absenteeism time in hours]]&lt;=2,"0–2",
IF(tbl_abs[[#This Row],[Absenteeism time in hours]]&lt;=8,"3–8",
IF(tbl_abs[[#This Row],[Absenteeism time in hours]]&lt;=16,"9–16",
"17+"))),"")</f>
        <v>3–8</v>
      </c>
    </row>
    <row r="132" spans="1:26" ht="15" customHeight="1" x14ac:dyDescent="0.3">
      <c r="A132">
        <v>20</v>
      </c>
      <c r="B132">
        <v>13</v>
      </c>
      <c r="C132" s="1">
        <v>3</v>
      </c>
      <c r="D132">
        <v>4</v>
      </c>
      <c r="E132">
        <v>2</v>
      </c>
      <c r="F132">
        <v>260</v>
      </c>
      <c r="G132" s="1">
        <v>50</v>
      </c>
      <c r="H132">
        <v>11</v>
      </c>
      <c r="I132" s="1">
        <v>36</v>
      </c>
      <c r="J132" s="2">
        <v>343253</v>
      </c>
      <c r="K132">
        <v>95</v>
      </c>
      <c r="L132">
        <v>0</v>
      </c>
      <c r="M132">
        <v>1</v>
      </c>
      <c r="N132">
        <v>4</v>
      </c>
      <c r="O132">
        <v>1</v>
      </c>
      <c r="P132">
        <v>0</v>
      </c>
      <c r="Q132">
        <v>0</v>
      </c>
      <c r="R132">
        <v>65</v>
      </c>
      <c r="S132">
        <v>168</v>
      </c>
      <c r="U132">
        <v>8</v>
      </c>
      <c r="V132" s="53" t="str">
        <f>IFERROR(
IF(tbl_abs[[#This Row],[Month of absence]]=0,"Unknown",
CHOOSE(tbl_abs[[#This Row],[Month of absence]],
"Jan","Feb","Mar","Apr","May","Jun","Jul","Aug","Sep","Oct","Nov","Dec")),"")</f>
        <v>Mar</v>
      </c>
      <c r="W132" s="53" t="str">
        <f>IFERROR(
IF(tbl_abs[[#This Row],[Age]]&lt;30,"&lt;30",
IF(tbl_abs[[#This Row],[Age]]&lt;40,"30–39",
IF(tbl_abs[[#This Row],[Age]]&lt;50,"40–49",
IF(tbl_abs[[#This Row],[Age]]&lt;60,"50–59",
"60+")))),"")</f>
        <v>30–39</v>
      </c>
      <c r="X132" s="53" t="str">
        <f>IFERROR(
IF(tbl_abs[[#This Row],[Distance from Residence to Work]]&lt;=5,"0–5",
IF(tbl_abs[[#This Row],[Distance from Residence to Work]]&lt;=10,"6–10",
IF(tbl_abs[[#This Row],[Distance from Residence to Work]]&lt;=20,"11–20",
"21+"))),"")</f>
        <v>21+</v>
      </c>
      <c r="Y132" s="53" t="str">
        <f>IFERROR(
IF(tbl_abs[[#This Row],[Body Mass Index]]&lt;18.5,"Underweight",
IF(tbl_abs[[#This Row],[Body Mass Index]]&lt;25,"Normal",
IF(tbl_abs[[#This Row],[Body Mass Index]]&lt;30,"Overweight",
"Obese"))),"")</f>
        <v>Underweight</v>
      </c>
      <c r="Z132" s="53" t="str">
        <f>IFERROR(
IF(tbl_abs[[#This Row],[Absenteeism time in hours]]&lt;=2,"0–2",
IF(tbl_abs[[#This Row],[Absenteeism time in hours]]&lt;=8,"3–8",
IF(tbl_abs[[#This Row],[Absenteeism time in hours]]&lt;=16,"9–16",
"17+"))),"")</f>
        <v>3–8</v>
      </c>
    </row>
    <row r="133" spans="1:26" ht="15" customHeight="1" x14ac:dyDescent="0.3">
      <c r="A133">
        <v>22</v>
      </c>
      <c r="B133">
        <v>13</v>
      </c>
      <c r="C133" s="1">
        <v>3</v>
      </c>
      <c r="D133">
        <v>5</v>
      </c>
      <c r="E133">
        <v>2</v>
      </c>
      <c r="F133">
        <v>179</v>
      </c>
      <c r="G133" s="1">
        <v>26</v>
      </c>
      <c r="H133">
        <v>9</v>
      </c>
      <c r="I133" s="1">
        <v>30</v>
      </c>
      <c r="J133" s="2">
        <v>343253</v>
      </c>
      <c r="K133">
        <v>95</v>
      </c>
      <c r="L133">
        <v>0</v>
      </c>
      <c r="M133">
        <v>3</v>
      </c>
      <c r="N133">
        <v>0</v>
      </c>
      <c r="O133">
        <v>0</v>
      </c>
      <c r="P133">
        <v>0</v>
      </c>
      <c r="Q133">
        <v>0</v>
      </c>
      <c r="R133">
        <v>56</v>
      </c>
      <c r="S133">
        <v>171</v>
      </c>
      <c r="U133">
        <v>8</v>
      </c>
      <c r="V133" s="53" t="str">
        <f>IFERROR(
IF(tbl_abs[[#This Row],[Month of absence]]=0,"Unknown",
CHOOSE(tbl_abs[[#This Row],[Month of absence]],
"Jan","Feb","Mar","Apr","May","Jun","Jul","Aug","Sep","Oct","Nov","Dec")),"")</f>
        <v>Mar</v>
      </c>
      <c r="W133" s="53" t="str">
        <f>IFERROR(
IF(tbl_abs[[#This Row],[Age]]&lt;30,"&lt;30",
IF(tbl_abs[[#This Row],[Age]]&lt;40,"30–39",
IF(tbl_abs[[#This Row],[Age]]&lt;50,"40–49",
IF(tbl_abs[[#This Row],[Age]]&lt;60,"50–59",
"60+")))),"")</f>
        <v>30–39</v>
      </c>
      <c r="X133" s="53" t="str">
        <f>IFERROR(
IF(tbl_abs[[#This Row],[Distance from Residence to Work]]&lt;=5,"0–5",
IF(tbl_abs[[#This Row],[Distance from Residence to Work]]&lt;=10,"6–10",
IF(tbl_abs[[#This Row],[Distance from Residence to Work]]&lt;=20,"11–20",
"21+"))),"")</f>
        <v>21+</v>
      </c>
      <c r="Y133" s="53" t="str">
        <f>IFERROR(
IF(tbl_abs[[#This Row],[Body Mass Index]]&lt;18.5,"Underweight",
IF(tbl_abs[[#This Row],[Body Mass Index]]&lt;25,"Normal",
IF(tbl_abs[[#This Row],[Body Mass Index]]&lt;30,"Overweight",
"Obese"))),"")</f>
        <v>Underweight</v>
      </c>
      <c r="Z133" s="53" t="str">
        <f>IFERROR(
IF(tbl_abs[[#This Row],[Absenteeism time in hours]]&lt;=2,"0–2",
IF(tbl_abs[[#This Row],[Absenteeism time in hours]]&lt;=8,"3–8",
IF(tbl_abs[[#This Row],[Absenteeism time in hours]]&lt;=16,"9–16",
"17+"))),"")</f>
        <v>3–8</v>
      </c>
    </row>
    <row r="134" spans="1:26" ht="15" customHeight="1" x14ac:dyDescent="0.3">
      <c r="A134">
        <v>33</v>
      </c>
      <c r="B134">
        <v>14</v>
      </c>
      <c r="C134" s="1">
        <v>3</v>
      </c>
      <c r="D134">
        <v>6</v>
      </c>
      <c r="E134">
        <v>2</v>
      </c>
      <c r="F134">
        <v>248</v>
      </c>
      <c r="G134" s="1">
        <v>25</v>
      </c>
      <c r="H134">
        <v>14</v>
      </c>
      <c r="I134" s="1">
        <v>47</v>
      </c>
      <c r="J134" s="2">
        <v>343253</v>
      </c>
      <c r="K134">
        <v>95</v>
      </c>
      <c r="L134">
        <v>0</v>
      </c>
      <c r="M134">
        <v>1</v>
      </c>
      <c r="N134">
        <v>2</v>
      </c>
      <c r="O134">
        <v>0</v>
      </c>
      <c r="P134">
        <v>0</v>
      </c>
      <c r="Q134">
        <v>1</v>
      </c>
      <c r="R134">
        <v>86</v>
      </c>
      <c r="S134">
        <v>165</v>
      </c>
      <c r="T134">
        <v>32</v>
      </c>
      <c r="U134">
        <v>3</v>
      </c>
      <c r="V134" s="53" t="str">
        <f>IFERROR(
IF(tbl_abs[[#This Row],[Month of absence]]=0,"Unknown",
CHOOSE(tbl_abs[[#This Row],[Month of absence]],
"Jan","Feb","Mar","Apr","May","Jun","Jul","Aug","Sep","Oct","Nov","Dec")),"")</f>
        <v>Mar</v>
      </c>
      <c r="W134" s="53" t="str">
        <f>IFERROR(
IF(tbl_abs[[#This Row],[Age]]&lt;30,"&lt;30",
IF(tbl_abs[[#This Row],[Age]]&lt;40,"30–39",
IF(tbl_abs[[#This Row],[Age]]&lt;50,"40–49",
IF(tbl_abs[[#This Row],[Age]]&lt;60,"50–59",
"60+")))),"")</f>
        <v>40–49</v>
      </c>
      <c r="X134" s="53" t="str">
        <f>IFERROR(
IF(tbl_abs[[#This Row],[Distance from Residence to Work]]&lt;=5,"0–5",
IF(tbl_abs[[#This Row],[Distance from Residence to Work]]&lt;=10,"6–10",
IF(tbl_abs[[#This Row],[Distance from Residence to Work]]&lt;=20,"11–20",
"21+"))),"")</f>
        <v>21+</v>
      </c>
      <c r="Y134" s="53" t="str">
        <f>IFERROR(
IF(tbl_abs[[#This Row],[Body Mass Index]]&lt;18.5,"Underweight",
IF(tbl_abs[[#This Row],[Body Mass Index]]&lt;25,"Normal",
IF(tbl_abs[[#This Row],[Body Mass Index]]&lt;30,"Overweight",
"Obese"))),"")</f>
        <v>Obese</v>
      </c>
      <c r="Z134" s="53" t="str">
        <f>IFERROR(
IF(tbl_abs[[#This Row],[Absenteeism time in hours]]&lt;=2,"0–2",
IF(tbl_abs[[#This Row],[Absenteeism time in hours]]&lt;=8,"3–8",
IF(tbl_abs[[#This Row],[Absenteeism time in hours]]&lt;=16,"9–16",
"17+"))),"")</f>
        <v>3–8</v>
      </c>
    </row>
    <row r="135" spans="1:26" ht="15" customHeight="1" x14ac:dyDescent="0.3">
      <c r="A135">
        <v>20</v>
      </c>
      <c r="B135">
        <v>13</v>
      </c>
      <c r="C135" s="1">
        <v>3</v>
      </c>
      <c r="D135">
        <v>6</v>
      </c>
      <c r="E135">
        <v>2</v>
      </c>
      <c r="F135">
        <v>260</v>
      </c>
      <c r="G135" s="1">
        <v>50</v>
      </c>
      <c r="H135">
        <v>11</v>
      </c>
      <c r="I135" s="1">
        <v>36</v>
      </c>
      <c r="J135" s="2">
        <v>343253</v>
      </c>
      <c r="K135">
        <v>95</v>
      </c>
      <c r="L135">
        <v>0</v>
      </c>
      <c r="M135">
        <v>1</v>
      </c>
      <c r="N135">
        <v>4</v>
      </c>
      <c r="O135">
        <v>1</v>
      </c>
      <c r="P135">
        <v>0</v>
      </c>
      <c r="Q135">
        <v>0</v>
      </c>
      <c r="R135">
        <v>65</v>
      </c>
      <c r="S135">
        <v>168</v>
      </c>
      <c r="T135">
        <v>23</v>
      </c>
      <c r="U135">
        <v>40</v>
      </c>
      <c r="V135" s="53" t="str">
        <f>IFERROR(
IF(tbl_abs[[#This Row],[Month of absence]]=0,"Unknown",
CHOOSE(tbl_abs[[#This Row],[Month of absence]],
"Jan","Feb","Mar","Apr","May","Jun","Jul","Aug","Sep","Oct","Nov","Dec")),"")</f>
        <v>Mar</v>
      </c>
      <c r="W135" s="53" t="str">
        <f>IFERROR(
IF(tbl_abs[[#This Row],[Age]]&lt;30,"&lt;30",
IF(tbl_abs[[#This Row],[Age]]&lt;40,"30–39",
IF(tbl_abs[[#This Row],[Age]]&lt;50,"40–49",
IF(tbl_abs[[#This Row],[Age]]&lt;60,"50–59",
"60+")))),"")</f>
        <v>30–39</v>
      </c>
      <c r="X135" s="53" t="str">
        <f>IFERROR(
IF(tbl_abs[[#This Row],[Distance from Residence to Work]]&lt;=5,"0–5",
IF(tbl_abs[[#This Row],[Distance from Residence to Work]]&lt;=10,"6–10",
IF(tbl_abs[[#This Row],[Distance from Residence to Work]]&lt;=20,"11–20",
"21+"))),"")</f>
        <v>21+</v>
      </c>
      <c r="Y135" s="53" t="str">
        <f>IFERROR(
IF(tbl_abs[[#This Row],[Body Mass Index]]&lt;18.5,"Underweight",
IF(tbl_abs[[#This Row],[Body Mass Index]]&lt;25,"Normal",
IF(tbl_abs[[#This Row],[Body Mass Index]]&lt;30,"Overweight",
"Obese"))),"")</f>
        <v>Normal</v>
      </c>
      <c r="Z135" s="53" t="str">
        <f>IFERROR(
IF(tbl_abs[[#This Row],[Absenteeism time in hours]]&lt;=2,"0–2",
IF(tbl_abs[[#This Row],[Absenteeism time in hours]]&lt;=8,"3–8",
IF(tbl_abs[[#This Row],[Absenteeism time in hours]]&lt;=16,"9–16",
"17+"))),"")</f>
        <v>17+</v>
      </c>
    </row>
    <row r="136" spans="1:26" ht="15" customHeight="1" x14ac:dyDescent="0.3">
      <c r="A136">
        <v>17</v>
      </c>
      <c r="B136">
        <v>11</v>
      </c>
      <c r="C136" s="1">
        <v>3</v>
      </c>
      <c r="D136">
        <v>2</v>
      </c>
      <c r="E136">
        <v>2</v>
      </c>
      <c r="F136">
        <v>179</v>
      </c>
      <c r="G136" s="1">
        <v>22</v>
      </c>
      <c r="H136">
        <v>17</v>
      </c>
      <c r="I136" s="1">
        <v>40</v>
      </c>
      <c r="J136" s="2">
        <v>343253</v>
      </c>
      <c r="K136">
        <v>95</v>
      </c>
      <c r="L136">
        <v>0</v>
      </c>
      <c r="M136">
        <v>2</v>
      </c>
      <c r="N136">
        <v>2</v>
      </c>
      <c r="O136">
        <v>0</v>
      </c>
      <c r="P136">
        <v>1</v>
      </c>
      <c r="Q136">
        <v>0</v>
      </c>
      <c r="R136">
        <v>63</v>
      </c>
      <c r="S136">
        <v>170</v>
      </c>
      <c r="T136">
        <v>22</v>
      </c>
      <c r="U136">
        <v>40</v>
      </c>
      <c r="V136" s="53" t="str">
        <f>IFERROR(
IF(tbl_abs[[#This Row],[Month of absence]]=0,"Unknown",
CHOOSE(tbl_abs[[#This Row],[Month of absence]],
"Jan","Feb","Mar","Apr","May","Jun","Jul","Aug","Sep","Oct","Nov","Dec")),"")</f>
        <v>Mar</v>
      </c>
      <c r="W136" s="53" t="str">
        <f>IFERROR(
IF(tbl_abs[[#This Row],[Age]]&lt;30,"&lt;30",
IF(tbl_abs[[#This Row],[Age]]&lt;40,"30–39",
IF(tbl_abs[[#This Row],[Age]]&lt;50,"40–49",
IF(tbl_abs[[#This Row],[Age]]&lt;60,"50–59",
"60+")))),"")</f>
        <v>40–49</v>
      </c>
      <c r="X136" s="53" t="str">
        <f>IFERROR(
IF(tbl_abs[[#This Row],[Distance from Residence to Work]]&lt;=5,"0–5",
IF(tbl_abs[[#This Row],[Distance from Residence to Work]]&lt;=10,"6–10",
IF(tbl_abs[[#This Row],[Distance from Residence to Work]]&lt;=20,"11–20",
"21+"))),"")</f>
        <v>21+</v>
      </c>
      <c r="Y136" s="53" t="str">
        <f>IFERROR(
IF(tbl_abs[[#This Row],[Body Mass Index]]&lt;18.5,"Underweight",
IF(tbl_abs[[#This Row],[Body Mass Index]]&lt;25,"Normal",
IF(tbl_abs[[#This Row],[Body Mass Index]]&lt;30,"Overweight",
"Obese"))),"")</f>
        <v>Normal</v>
      </c>
      <c r="Z136" s="53" t="str">
        <f>IFERROR(
IF(tbl_abs[[#This Row],[Absenteeism time in hours]]&lt;=2,"0–2",
IF(tbl_abs[[#This Row],[Absenteeism time in hours]]&lt;=8,"3–8",
IF(tbl_abs[[#This Row],[Absenteeism time in hours]]&lt;=16,"9–16",
"17+"))),"")</f>
        <v>17+</v>
      </c>
    </row>
    <row r="137" spans="1:26" ht="15" customHeight="1" x14ac:dyDescent="0.3">
      <c r="A137">
        <v>14</v>
      </c>
      <c r="B137">
        <v>1</v>
      </c>
      <c r="C137" s="1">
        <v>3</v>
      </c>
      <c r="D137">
        <v>2</v>
      </c>
      <c r="E137">
        <v>2</v>
      </c>
      <c r="F137">
        <v>155</v>
      </c>
      <c r="G137" s="1">
        <v>12</v>
      </c>
      <c r="H137">
        <v>14</v>
      </c>
      <c r="I137" s="1">
        <v>34</v>
      </c>
      <c r="J137" s="2">
        <v>343253</v>
      </c>
      <c r="K137">
        <v>95</v>
      </c>
      <c r="L137">
        <v>0</v>
      </c>
      <c r="M137">
        <v>1</v>
      </c>
      <c r="N137">
        <v>2</v>
      </c>
      <c r="O137">
        <v>1</v>
      </c>
      <c r="P137">
        <v>0</v>
      </c>
      <c r="Q137">
        <v>0</v>
      </c>
      <c r="R137">
        <v>95</v>
      </c>
      <c r="S137">
        <v>196</v>
      </c>
      <c r="T137">
        <v>25</v>
      </c>
      <c r="U137">
        <v>16</v>
      </c>
      <c r="V137" s="53" t="str">
        <f>IFERROR(
IF(tbl_abs[[#This Row],[Month of absence]]=0,"Unknown",
CHOOSE(tbl_abs[[#This Row],[Month of absence]],
"Jan","Feb","Mar","Apr","May","Jun","Jul","Aug","Sep","Oct","Nov","Dec")),"")</f>
        <v>Mar</v>
      </c>
      <c r="W137" s="53" t="str">
        <f>IFERROR(
IF(tbl_abs[[#This Row],[Age]]&lt;30,"&lt;30",
IF(tbl_abs[[#This Row],[Age]]&lt;40,"30–39",
IF(tbl_abs[[#This Row],[Age]]&lt;50,"40–49",
IF(tbl_abs[[#This Row],[Age]]&lt;60,"50–59",
"60+")))),"")</f>
        <v>30–39</v>
      </c>
      <c r="X137" s="53" t="str">
        <f>IFERROR(
IF(tbl_abs[[#This Row],[Distance from Residence to Work]]&lt;=5,"0–5",
IF(tbl_abs[[#This Row],[Distance from Residence to Work]]&lt;=10,"6–10",
IF(tbl_abs[[#This Row],[Distance from Residence to Work]]&lt;=20,"11–20",
"21+"))),"")</f>
        <v>11–20</v>
      </c>
      <c r="Y137" s="53" t="str">
        <f>IFERROR(
IF(tbl_abs[[#This Row],[Body Mass Index]]&lt;18.5,"Underweight",
IF(tbl_abs[[#This Row],[Body Mass Index]]&lt;25,"Normal",
IF(tbl_abs[[#This Row],[Body Mass Index]]&lt;30,"Overweight",
"Obese"))),"")</f>
        <v>Overweight</v>
      </c>
      <c r="Z137" s="53" t="str">
        <f>IFERROR(
IF(tbl_abs[[#This Row],[Absenteeism time in hours]]&lt;=2,"0–2",
IF(tbl_abs[[#This Row],[Absenteeism time in hours]]&lt;=8,"3–8",
IF(tbl_abs[[#This Row],[Absenteeism time in hours]]&lt;=16,"9–16",
"17+"))),"")</f>
        <v>9–16</v>
      </c>
    </row>
    <row r="138" spans="1:26" ht="15" customHeight="1" x14ac:dyDescent="0.3">
      <c r="A138">
        <v>20</v>
      </c>
      <c r="B138">
        <v>26</v>
      </c>
      <c r="C138" s="1">
        <v>3</v>
      </c>
      <c r="D138">
        <v>2</v>
      </c>
      <c r="E138">
        <v>2</v>
      </c>
      <c r="F138">
        <v>260</v>
      </c>
      <c r="G138" s="1">
        <v>50</v>
      </c>
      <c r="H138">
        <v>11</v>
      </c>
      <c r="I138" s="1">
        <v>36</v>
      </c>
      <c r="J138" s="2">
        <v>343253</v>
      </c>
      <c r="K138">
        <v>95</v>
      </c>
      <c r="L138">
        <v>0</v>
      </c>
      <c r="M138">
        <v>1</v>
      </c>
      <c r="N138">
        <v>4</v>
      </c>
      <c r="O138">
        <v>1</v>
      </c>
      <c r="P138">
        <v>0</v>
      </c>
      <c r="Q138">
        <v>0</v>
      </c>
      <c r="R138">
        <v>65</v>
      </c>
      <c r="S138">
        <v>168</v>
      </c>
      <c r="T138">
        <v>23</v>
      </c>
      <c r="U138">
        <v>16</v>
      </c>
      <c r="V138" s="53" t="str">
        <f>IFERROR(
IF(tbl_abs[[#This Row],[Month of absence]]=0,"Unknown",
CHOOSE(tbl_abs[[#This Row],[Month of absence]],
"Jan","Feb","Mar","Apr","May","Jun","Jul","Aug","Sep","Oct","Nov","Dec")),"")</f>
        <v>Mar</v>
      </c>
      <c r="W138" s="53" t="str">
        <f>IFERROR(
IF(tbl_abs[[#This Row],[Age]]&lt;30,"&lt;30",
IF(tbl_abs[[#This Row],[Age]]&lt;40,"30–39",
IF(tbl_abs[[#This Row],[Age]]&lt;50,"40–49",
IF(tbl_abs[[#This Row],[Age]]&lt;60,"50–59",
"60+")))),"")</f>
        <v>30–39</v>
      </c>
      <c r="X138" s="53" t="str">
        <f>IFERROR(
IF(tbl_abs[[#This Row],[Distance from Residence to Work]]&lt;=5,"0–5",
IF(tbl_abs[[#This Row],[Distance from Residence to Work]]&lt;=10,"6–10",
IF(tbl_abs[[#This Row],[Distance from Residence to Work]]&lt;=20,"11–20",
"21+"))),"")</f>
        <v>21+</v>
      </c>
      <c r="Y138" s="53" t="str">
        <f>IFERROR(
IF(tbl_abs[[#This Row],[Body Mass Index]]&lt;18.5,"Underweight",
IF(tbl_abs[[#This Row],[Body Mass Index]]&lt;25,"Normal",
IF(tbl_abs[[#This Row],[Body Mass Index]]&lt;30,"Overweight",
"Obese"))),"")</f>
        <v>Normal</v>
      </c>
      <c r="Z138" s="53" t="str">
        <f>IFERROR(
IF(tbl_abs[[#This Row],[Absenteeism time in hours]]&lt;=2,"0–2",
IF(tbl_abs[[#This Row],[Absenteeism time in hours]]&lt;=8,"3–8",
IF(tbl_abs[[#This Row],[Absenteeism time in hours]]&lt;=16,"9–16",
"17+"))),"")</f>
        <v>9–16</v>
      </c>
    </row>
    <row r="139" spans="1:26" ht="15" customHeight="1" x14ac:dyDescent="0.3">
      <c r="A139">
        <v>14</v>
      </c>
      <c r="B139">
        <v>13</v>
      </c>
      <c r="C139" s="1">
        <v>3</v>
      </c>
      <c r="D139">
        <v>3</v>
      </c>
      <c r="E139">
        <v>2</v>
      </c>
      <c r="F139">
        <v>155</v>
      </c>
      <c r="G139" s="1">
        <v>12</v>
      </c>
      <c r="H139">
        <v>14</v>
      </c>
      <c r="I139" s="1">
        <v>34</v>
      </c>
      <c r="J139" s="2">
        <v>343253</v>
      </c>
      <c r="K139">
        <v>95</v>
      </c>
      <c r="L139">
        <v>0</v>
      </c>
      <c r="M139">
        <v>1</v>
      </c>
      <c r="N139">
        <v>2</v>
      </c>
      <c r="O139">
        <v>1</v>
      </c>
      <c r="P139">
        <v>0</v>
      </c>
      <c r="Q139">
        <v>0</v>
      </c>
      <c r="R139">
        <v>95</v>
      </c>
      <c r="S139">
        <v>196</v>
      </c>
      <c r="T139">
        <v>25</v>
      </c>
      <c r="U139">
        <v>8</v>
      </c>
      <c r="V139" s="53" t="str">
        <f>IFERROR(
IF(tbl_abs[[#This Row],[Month of absence]]=0,"Unknown",
CHOOSE(tbl_abs[[#This Row],[Month of absence]],
"Jan","Feb","Mar","Apr","May","Jun","Jul","Aug","Sep","Oct","Nov","Dec")),"")</f>
        <v>Mar</v>
      </c>
      <c r="W139" s="53" t="str">
        <f>IFERROR(
IF(tbl_abs[[#This Row],[Age]]&lt;30,"&lt;30",
IF(tbl_abs[[#This Row],[Age]]&lt;40,"30–39",
IF(tbl_abs[[#This Row],[Age]]&lt;50,"40–49",
IF(tbl_abs[[#This Row],[Age]]&lt;60,"50–59",
"60+")))),"")</f>
        <v>30–39</v>
      </c>
      <c r="X139" s="53" t="str">
        <f>IFERROR(
IF(tbl_abs[[#This Row],[Distance from Residence to Work]]&lt;=5,"0–5",
IF(tbl_abs[[#This Row],[Distance from Residence to Work]]&lt;=10,"6–10",
IF(tbl_abs[[#This Row],[Distance from Residence to Work]]&lt;=20,"11–20",
"21+"))),"")</f>
        <v>11–20</v>
      </c>
      <c r="Y139" s="53" t="str">
        <f>IFERROR(
IF(tbl_abs[[#This Row],[Body Mass Index]]&lt;18.5,"Underweight",
IF(tbl_abs[[#This Row],[Body Mass Index]]&lt;25,"Normal",
IF(tbl_abs[[#This Row],[Body Mass Index]]&lt;30,"Overweight",
"Obese"))),"")</f>
        <v>Overweight</v>
      </c>
      <c r="Z139" s="53" t="str">
        <f>IFERROR(
IF(tbl_abs[[#This Row],[Absenteeism time in hours]]&lt;=2,"0–2",
IF(tbl_abs[[#This Row],[Absenteeism time in hours]]&lt;=8,"3–8",
IF(tbl_abs[[#This Row],[Absenteeism time in hours]]&lt;=16,"9–16",
"17+"))),"")</f>
        <v>3–8</v>
      </c>
    </row>
    <row r="140" spans="1:26" ht="15" customHeight="1" x14ac:dyDescent="0.3">
      <c r="A140">
        <v>11</v>
      </c>
      <c r="B140">
        <v>6</v>
      </c>
      <c r="C140" s="1">
        <v>3</v>
      </c>
      <c r="D140">
        <v>5</v>
      </c>
      <c r="E140">
        <v>2</v>
      </c>
      <c r="F140">
        <v>289</v>
      </c>
      <c r="G140" s="1">
        <v>36</v>
      </c>
      <c r="H140">
        <v>13</v>
      </c>
      <c r="I140" s="1">
        <v>33</v>
      </c>
      <c r="J140" s="2">
        <v>343253</v>
      </c>
      <c r="K140">
        <v>95</v>
      </c>
      <c r="L140">
        <v>0</v>
      </c>
      <c r="M140">
        <v>1</v>
      </c>
      <c r="N140">
        <v>2</v>
      </c>
      <c r="O140">
        <v>1</v>
      </c>
      <c r="P140">
        <v>0</v>
      </c>
      <c r="Q140">
        <v>1</v>
      </c>
      <c r="R140">
        <v>90</v>
      </c>
      <c r="S140">
        <v>172</v>
      </c>
      <c r="T140">
        <v>30</v>
      </c>
      <c r="U140">
        <v>8</v>
      </c>
      <c r="V140" s="53" t="str">
        <f>IFERROR(
IF(tbl_abs[[#This Row],[Month of absence]]=0,"Unknown",
CHOOSE(tbl_abs[[#This Row],[Month of absence]],
"Jan","Feb","Mar","Apr","May","Jun","Jul","Aug","Sep","Oct","Nov","Dec")),"")</f>
        <v>Mar</v>
      </c>
      <c r="W140" s="53" t="str">
        <f>IFERROR(
IF(tbl_abs[[#This Row],[Age]]&lt;30,"&lt;30",
IF(tbl_abs[[#This Row],[Age]]&lt;40,"30–39",
IF(tbl_abs[[#This Row],[Age]]&lt;50,"40–49",
IF(tbl_abs[[#This Row],[Age]]&lt;60,"50–59",
"60+")))),"")</f>
        <v>30–39</v>
      </c>
      <c r="X140" s="53" t="str">
        <f>IFERROR(
IF(tbl_abs[[#This Row],[Distance from Residence to Work]]&lt;=5,"0–5",
IF(tbl_abs[[#This Row],[Distance from Residence to Work]]&lt;=10,"6–10",
IF(tbl_abs[[#This Row],[Distance from Residence to Work]]&lt;=20,"11–20",
"21+"))),"")</f>
        <v>21+</v>
      </c>
      <c r="Y140" s="53" t="str">
        <f>IFERROR(
IF(tbl_abs[[#This Row],[Body Mass Index]]&lt;18.5,"Underweight",
IF(tbl_abs[[#This Row],[Body Mass Index]]&lt;25,"Normal",
IF(tbl_abs[[#This Row],[Body Mass Index]]&lt;30,"Overweight",
"Obese"))),"")</f>
        <v>Obese</v>
      </c>
      <c r="Z140" s="53" t="str">
        <f>IFERROR(
IF(tbl_abs[[#This Row],[Absenteeism time in hours]]&lt;=2,"0–2",
IF(tbl_abs[[#This Row],[Absenteeism time in hours]]&lt;=8,"3–8",
IF(tbl_abs[[#This Row],[Absenteeism time in hours]]&lt;=16,"9–16",
"17+"))),"")</f>
        <v>3–8</v>
      </c>
    </row>
    <row r="141" spans="1:26" ht="15" customHeight="1" x14ac:dyDescent="0.3">
      <c r="A141">
        <v>17</v>
      </c>
      <c r="B141">
        <v>8</v>
      </c>
      <c r="C141" s="1">
        <v>3</v>
      </c>
      <c r="D141">
        <v>5</v>
      </c>
      <c r="E141">
        <v>2</v>
      </c>
      <c r="F141">
        <v>179</v>
      </c>
      <c r="G141" s="1">
        <v>22</v>
      </c>
      <c r="H141">
        <v>17</v>
      </c>
      <c r="I141" s="1">
        <v>40</v>
      </c>
      <c r="J141" s="2">
        <v>343253</v>
      </c>
      <c r="K141">
        <v>95</v>
      </c>
      <c r="L141">
        <v>0</v>
      </c>
      <c r="M141">
        <v>2</v>
      </c>
      <c r="N141">
        <v>2</v>
      </c>
      <c r="O141">
        <v>0</v>
      </c>
      <c r="P141">
        <v>1</v>
      </c>
      <c r="Q141">
        <v>0</v>
      </c>
      <c r="R141">
        <v>63</v>
      </c>
      <c r="S141">
        <v>170</v>
      </c>
      <c r="T141">
        <v>22</v>
      </c>
      <c r="U141">
        <v>8</v>
      </c>
      <c r="V141" s="53" t="str">
        <f>IFERROR(
IF(tbl_abs[[#This Row],[Month of absence]]=0,"Unknown",
CHOOSE(tbl_abs[[#This Row],[Month of absence]],
"Jan","Feb","Mar","Apr","May","Jun","Jul","Aug","Sep","Oct","Nov","Dec")),"")</f>
        <v>Mar</v>
      </c>
      <c r="W141" s="53" t="str">
        <f>IFERROR(
IF(tbl_abs[[#This Row],[Age]]&lt;30,"&lt;30",
IF(tbl_abs[[#This Row],[Age]]&lt;40,"30–39",
IF(tbl_abs[[#This Row],[Age]]&lt;50,"40–49",
IF(tbl_abs[[#This Row],[Age]]&lt;60,"50–59",
"60+")))),"")</f>
        <v>40–49</v>
      </c>
      <c r="X141" s="53" t="str">
        <f>IFERROR(
IF(tbl_abs[[#This Row],[Distance from Residence to Work]]&lt;=5,"0–5",
IF(tbl_abs[[#This Row],[Distance from Residence to Work]]&lt;=10,"6–10",
IF(tbl_abs[[#This Row],[Distance from Residence to Work]]&lt;=20,"11–20",
"21+"))),"")</f>
        <v>21+</v>
      </c>
      <c r="Y141" s="53" t="str">
        <f>IFERROR(
IF(tbl_abs[[#This Row],[Body Mass Index]]&lt;18.5,"Underweight",
IF(tbl_abs[[#This Row],[Body Mass Index]]&lt;25,"Normal",
IF(tbl_abs[[#This Row],[Body Mass Index]]&lt;30,"Overweight",
"Obese"))),"")</f>
        <v>Normal</v>
      </c>
      <c r="Z141" s="53" t="str">
        <f>IFERROR(
IF(tbl_abs[[#This Row],[Absenteeism time in hours]]&lt;=2,"0–2",
IF(tbl_abs[[#This Row],[Absenteeism time in hours]]&lt;=8,"3–8",
IF(tbl_abs[[#This Row],[Absenteeism time in hours]]&lt;=16,"9–16",
"17+"))),"")</f>
        <v>3–8</v>
      </c>
    </row>
    <row r="142" spans="1:26" ht="15" customHeight="1" x14ac:dyDescent="0.3">
      <c r="A142">
        <v>20</v>
      </c>
      <c r="B142">
        <v>28</v>
      </c>
      <c r="C142" s="1">
        <v>3</v>
      </c>
      <c r="D142">
        <v>6</v>
      </c>
      <c r="E142">
        <v>2</v>
      </c>
      <c r="F142">
        <v>260</v>
      </c>
      <c r="G142" s="1">
        <v>50</v>
      </c>
      <c r="H142">
        <v>11</v>
      </c>
      <c r="I142" s="1">
        <v>36</v>
      </c>
      <c r="J142" s="2">
        <v>343253</v>
      </c>
      <c r="K142">
        <v>95</v>
      </c>
      <c r="L142">
        <v>0</v>
      </c>
      <c r="M142">
        <v>1</v>
      </c>
      <c r="N142">
        <v>4</v>
      </c>
      <c r="O142">
        <v>1</v>
      </c>
      <c r="P142">
        <v>0</v>
      </c>
      <c r="Q142">
        <v>0</v>
      </c>
      <c r="R142">
        <v>65</v>
      </c>
      <c r="S142">
        <v>168</v>
      </c>
      <c r="T142">
        <v>23</v>
      </c>
      <c r="U142">
        <v>4</v>
      </c>
      <c r="V142" s="53" t="str">
        <f>IFERROR(
IF(tbl_abs[[#This Row],[Month of absence]]=0,"Unknown",
CHOOSE(tbl_abs[[#This Row],[Month of absence]],
"Jan","Feb","Mar","Apr","May","Jun","Jul","Aug","Sep","Oct","Nov","Dec")),"")</f>
        <v>Mar</v>
      </c>
      <c r="W142" s="53" t="str">
        <f>IFERROR(
IF(tbl_abs[[#This Row],[Age]]&lt;30,"&lt;30",
IF(tbl_abs[[#This Row],[Age]]&lt;40,"30–39",
IF(tbl_abs[[#This Row],[Age]]&lt;50,"40–49",
IF(tbl_abs[[#This Row],[Age]]&lt;60,"50–59",
"60+")))),"")</f>
        <v>30–39</v>
      </c>
      <c r="X142" s="53" t="str">
        <f>IFERROR(
IF(tbl_abs[[#This Row],[Distance from Residence to Work]]&lt;=5,"0–5",
IF(tbl_abs[[#This Row],[Distance from Residence to Work]]&lt;=10,"6–10",
IF(tbl_abs[[#This Row],[Distance from Residence to Work]]&lt;=20,"11–20",
"21+"))),"")</f>
        <v>21+</v>
      </c>
      <c r="Y142" s="53" t="str">
        <f>IFERROR(
IF(tbl_abs[[#This Row],[Body Mass Index]]&lt;18.5,"Underweight",
IF(tbl_abs[[#This Row],[Body Mass Index]]&lt;25,"Normal",
IF(tbl_abs[[#This Row],[Body Mass Index]]&lt;30,"Overweight",
"Obese"))),"")</f>
        <v>Normal</v>
      </c>
      <c r="Z142" s="53" t="str">
        <f>IFERROR(
IF(tbl_abs[[#This Row],[Absenteeism time in hours]]&lt;=2,"0–2",
IF(tbl_abs[[#This Row],[Absenteeism time in hours]]&lt;=8,"3–8",
IF(tbl_abs[[#This Row],[Absenteeism time in hours]]&lt;=16,"9–16",
"17+"))),"")</f>
        <v>3–8</v>
      </c>
    </row>
    <row r="143" spans="1:26" ht="15" customHeight="1" x14ac:dyDescent="0.3">
      <c r="A143">
        <v>28</v>
      </c>
      <c r="B143">
        <v>23</v>
      </c>
      <c r="C143" s="1">
        <v>3</v>
      </c>
      <c r="D143">
        <v>6</v>
      </c>
      <c r="E143">
        <v>2</v>
      </c>
      <c r="F143">
        <v>225</v>
      </c>
      <c r="G143" s="1">
        <v>26</v>
      </c>
      <c r="H143">
        <v>9</v>
      </c>
      <c r="I143" s="1">
        <v>28</v>
      </c>
      <c r="J143" s="2">
        <v>343253</v>
      </c>
      <c r="K143">
        <v>95</v>
      </c>
      <c r="L143">
        <v>0</v>
      </c>
      <c r="M143">
        <v>1</v>
      </c>
      <c r="N143">
        <v>1</v>
      </c>
      <c r="O143">
        <v>0</v>
      </c>
      <c r="P143">
        <v>0</v>
      </c>
      <c r="Q143">
        <v>2</v>
      </c>
      <c r="R143">
        <v>69</v>
      </c>
      <c r="S143">
        <v>169</v>
      </c>
      <c r="T143">
        <v>24</v>
      </c>
      <c r="U143">
        <v>1</v>
      </c>
      <c r="V143" s="53" t="str">
        <f>IFERROR(
IF(tbl_abs[[#This Row],[Month of absence]]=0,"Unknown",
CHOOSE(tbl_abs[[#This Row],[Month of absence]],
"Jan","Feb","Mar","Apr","May","Jun","Jul","Aug","Sep","Oct","Nov","Dec")),"")</f>
        <v>Mar</v>
      </c>
      <c r="W143" s="53" t="str">
        <f>IFERROR(
IF(tbl_abs[[#This Row],[Age]]&lt;30,"&lt;30",
IF(tbl_abs[[#This Row],[Age]]&lt;40,"30–39",
IF(tbl_abs[[#This Row],[Age]]&lt;50,"40–49",
IF(tbl_abs[[#This Row],[Age]]&lt;60,"50–59",
"60+")))),"")</f>
        <v>&lt;30</v>
      </c>
      <c r="X143" s="53" t="str">
        <f>IFERROR(
IF(tbl_abs[[#This Row],[Distance from Residence to Work]]&lt;=5,"0–5",
IF(tbl_abs[[#This Row],[Distance from Residence to Work]]&lt;=10,"6–10",
IF(tbl_abs[[#This Row],[Distance from Residence to Work]]&lt;=20,"11–20",
"21+"))),"")</f>
        <v>21+</v>
      </c>
      <c r="Y143" s="53" t="str">
        <f>IFERROR(
IF(tbl_abs[[#This Row],[Body Mass Index]]&lt;18.5,"Underweight",
IF(tbl_abs[[#This Row],[Body Mass Index]]&lt;25,"Normal",
IF(tbl_abs[[#This Row],[Body Mass Index]]&lt;30,"Overweight",
"Obese"))),"")</f>
        <v>Normal</v>
      </c>
      <c r="Z143" s="53" t="str">
        <f>IFERROR(
IF(tbl_abs[[#This Row],[Absenteeism time in hours]]&lt;=2,"0–2",
IF(tbl_abs[[#This Row],[Absenteeism time in hours]]&lt;=8,"3–8",
IF(tbl_abs[[#This Row],[Absenteeism time in hours]]&lt;=16,"9–16",
"17+"))),"")</f>
        <v>0–2</v>
      </c>
    </row>
    <row r="144" spans="1:26" ht="15" customHeight="1" x14ac:dyDescent="0.3">
      <c r="A144">
        <v>7</v>
      </c>
      <c r="B144">
        <v>14</v>
      </c>
      <c r="C144" s="1">
        <v>3</v>
      </c>
      <c r="D144">
        <v>2</v>
      </c>
      <c r="E144">
        <v>2</v>
      </c>
      <c r="F144">
        <v>279</v>
      </c>
      <c r="G144" s="1">
        <v>5</v>
      </c>
      <c r="H144">
        <v>14</v>
      </c>
      <c r="I144" s="1">
        <v>39</v>
      </c>
      <c r="J144" s="2">
        <v>343253</v>
      </c>
      <c r="K144">
        <v>95</v>
      </c>
      <c r="L144">
        <v>0</v>
      </c>
      <c r="M144">
        <v>1</v>
      </c>
      <c r="N144">
        <v>2</v>
      </c>
      <c r="O144">
        <v>1</v>
      </c>
      <c r="P144">
        <v>1</v>
      </c>
      <c r="Q144">
        <v>0</v>
      </c>
      <c r="R144">
        <v>68</v>
      </c>
      <c r="S144">
        <v>168</v>
      </c>
      <c r="T144">
        <v>24</v>
      </c>
      <c r="U144">
        <v>8</v>
      </c>
      <c r="V144" s="53" t="str">
        <f>IFERROR(
IF(tbl_abs[[#This Row],[Month of absence]]=0,"Unknown",
CHOOSE(tbl_abs[[#This Row],[Month of absence]],
"Jan","Feb","Mar","Apr","May","Jun","Jul","Aug","Sep","Oct","Nov","Dec")),"")</f>
        <v>Mar</v>
      </c>
      <c r="W144" s="53" t="str">
        <f>IFERROR(
IF(tbl_abs[[#This Row],[Age]]&lt;30,"&lt;30",
IF(tbl_abs[[#This Row],[Age]]&lt;40,"30–39",
IF(tbl_abs[[#This Row],[Age]]&lt;50,"40–49",
IF(tbl_abs[[#This Row],[Age]]&lt;60,"50–59",
"60+")))),"")</f>
        <v>30–39</v>
      </c>
      <c r="X144" s="53" t="str">
        <f>IFERROR(
IF(tbl_abs[[#This Row],[Distance from Residence to Work]]&lt;=5,"0–5",
IF(tbl_abs[[#This Row],[Distance from Residence to Work]]&lt;=10,"6–10",
IF(tbl_abs[[#This Row],[Distance from Residence to Work]]&lt;=20,"11–20",
"21+"))),"")</f>
        <v>0–5</v>
      </c>
      <c r="Y144" s="53" t="str">
        <f>IFERROR(
IF(tbl_abs[[#This Row],[Body Mass Index]]&lt;18.5,"Underweight",
IF(tbl_abs[[#This Row],[Body Mass Index]]&lt;25,"Normal",
IF(tbl_abs[[#This Row],[Body Mass Index]]&lt;30,"Overweight",
"Obese"))),"")</f>
        <v>Normal</v>
      </c>
      <c r="Z144" s="53" t="str">
        <f>IFERROR(
IF(tbl_abs[[#This Row],[Absenteeism time in hours]]&lt;=2,"0–2",
IF(tbl_abs[[#This Row],[Absenteeism time in hours]]&lt;=8,"3–8",
IF(tbl_abs[[#This Row],[Absenteeism time in hours]]&lt;=16,"9–16",
"17+"))),"")</f>
        <v>3–8</v>
      </c>
    </row>
    <row r="145" spans="1:26" ht="15" customHeight="1" x14ac:dyDescent="0.3">
      <c r="A145">
        <v>3</v>
      </c>
      <c r="B145">
        <v>13</v>
      </c>
      <c r="C145" s="1">
        <v>3</v>
      </c>
      <c r="D145">
        <v>3</v>
      </c>
      <c r="E145">
        <v>2</v>
      </c>
      <c r="F145">
        <v>179</v>
      </c>
      <c r="G145" s="1">
        <v>51</v>
      </c>
      <c r="H145">
        <v>18</v>
      </c>
      <c r="I145" s="1">
        <v>38</v>
      </c>
      <c r="J145" s="2">
        <v>343253</v>
      </c>
      <c r="K145">
        <v>95</v>
      </c>
      <c r="L145">
        <v>0</v>
      </c>
      <c r="M145">
        <v>1</v>
      </c>
      <c r="N145">
        <v>0</v>
      </c>
      <c r="O145">
        <v>1</v>
      </c>
      <c r="P145">
        <v>0</v>
      </c>
      <c r="Q145">
        <v>0</v>
      </c>
      <c r="R145">
        <v>89</v>
      </c>
      <c r="S145">
        <v>170</v>
      </c>
      <c r="T145">
        <v>31</v>
      </c>
      <c r="U145">
        <v>24</v>
      </c>
      <c r="V145" s="53" t="str">
        <f>IFERROR(
IF(tbl_abs[[#This Row],[Month of absence]]=0,"Unknown",
CHOOSE(tbl_abs[[#This Row],[Month of absence]],
"Jan","Feb","Mar","Apr","May","Jun","Jul","Aug","Sep","Oct","Nov","Dec")),"")</f>
        <v>Mar</v>
      </c>
      <c r="W145" s="53" t="str">
        <f>IFERROR(
IF(tbl_abs[[#This Row],[Age]]&lt;30,"&lt;30",
IF(tbl_abs[[#This Row],[Age]]&lt;40,"30–39",
IF(tbl_abs[[#This Row],[Age]]&lt;50,"40–49",
IF(tbl_abs[[#This Row],[Age]]&lt;60,"50–59",
"60+")))),"")</f>
        <v>30–39</v>
      </c>
      <c r="X145" s="53" t="str">
        <f>IFERROR(
IF(tbl_abs[[#This Row],[Distance from Residence to Work]]&lt;=5,"0–5",
IF(tbl_abs[[#This Row],[Distance from Residence to Work]]&lt;=10,"6–10",
IF(tbl_abs[[#This Row],[Distance from Residence to Work]]&lt;=20,"11–20",
"21+"))),"")</f>
        <v>21+</v>
      </c>
      <c r="Y145" s="53" t="str">
        <f>IFERROR(
IF(tbl_abs[[#This Row],[Body Mass Index]]&lt;18.5,"Underweight",
IF(tbl_abs[[#This Row],[Body Mass Index]]&lt;25,"Normal",
IF(tbl_abs[[#This Row],[Body Mass Index]]&lt;30,"Overweight",
"Obese"))),"")</f>
        <v>Obese</v>
      </c>
      <c r="Z145" s="53" t="str">
        <f>IFERROR(
IF(tbl_abs[[#This Row],[Absenteeism time in hours]]&lt;=2,"0–2",
IF(tbl_abs[[#This Row],[Absenteeism time in hours]]&lt;=8,"3–8",
IF(tbl_abs[[#This Row],[Absenteeism time in hours]]&lt;=16,"9–16",
"17+"))),"")</f>
        <v>17+</v>
      </c>
    </row>
    <row r="146" spans="1:26" ht="15" customHeight="1" x14ac:dyDescent="0.3">
      <c r="A146">
        <v>28</v>
      </c>
      <c r="B146">
        <v>23</v>
      </c>
      <c r="C146" s="1">
        <v>3</v>
      </c>
      <c r="D146">
        <v>4</v>
      </c>
      <c r="E146">
        <v>2</v>
      </c>
      <c r="F146">
        <v>225</v>
      </c>
      <c r="G146" s="1">
        <v>26</v>
      </c>
      <c r="H146">
        <v>9</v>
      </c>
      <c r="I146" s="1">
        <v>28</v>
      </c>
      <c r="J146" s="2">
        <v>343253</v>
      </c>
      <c r="K146">
        <v>95</v>
      </c>
      <c r="L146">
        <v>0</v>
      </c>
      <c r="M146">
        <v>1</v>
      </c>
      <c r="N146">
        <v>1</v>
      </c>
      <c r="O146">
        <v>0</v>
      </c>
      <c r="P146">
        <v>0</v>
      </c>
      <c r="Q146">
        <v>2</v>
      </c>
      <c r="R146">
        <v>69</v>
      </c>
      <c r="S146">
        <v>169</v>
      </c>
      <c r="T146">
        <v>24</v>
      </c>
      <c r="U146">
        <v>2</v>
      </c>
      <c r="V146" s="53" t="str">
        <f>IFERROR(
IF(tbl_abs[[#This Row],[Month of absence]]=0,"Unknown",
CHOOSE(tbl_abs[[#This Row],[Month of absence]],
"Jan","Feb","Mar","Apr","May","Jun","Jul","Aug","Sep","Oct","Nov","Dec")),"")</f>
        <v>Mar</v>
      </c>
      <c r="W146" s="53" t="str">
        <f>IFERROR(
IF(tbl_abs[[#This Row],[Age]]&lt;30,"&lt;30",
IF(tbl_abs[[#This Row],[Age]]&lt;40,"30–39",
IF(tbl_abs[[#This Row],[Age]]&lt;50,"40–49",
IF(tbl_abs[[#This Row],[Age]]&lt;60,"50–59",
"60+")))),"")</f>
        <v>&lt;30</v>
      </c>
      <c r="X146" s="53" t="str">
        <f>IFERROR(
IF(tbl_abs[[#This Row],[Distance from Residence to Work]]&lt;=5,"0–5",
IF(tbl_abs[[#This Row],[Distance from Residence to Work]]&lt;=10,"6–10",
IF(tbl_abs[[#This Row],[Distance from Residence to Work]]&lt;=20,"11–20",
"21+"))),"")</f>
        <v>21+</v>
      </c>
      <c r="Y146" s="53" t="str">
        <f>IFERROR(
IF(tbl_abs[[#This Row],[Body Mass Index]]&lt;18.5,"Underweight",
IF(tbl_abs[[#This Row],[Body Mass Index]]&lt;25,"Normal",
IF(tbl_abs[[#This Row],[Body Mass Index]]&lt;30,"Overweight",
"Obese"))),"")</f>
        <v>Normal</v>
      </c>
      <c r="Z146" s="53" t="str">
        <f>IFERROR(
IF(tbl_abs[[#This Row],[Absenteeism time in hours]]&lt;=2,"0–2",
IF(tbl_abs[[#This Row],[Absenteeism time in hours]]&lt;=8,"3–8",
IF(tbl_abs[[#This Row],[Absenteeism time in hours]]&lt;=16,"9–16",
"17+"))),"")</f>
        <v>0–2</v>
      </c>
    </row>
    <row r="147" spans="1:26" ht="15" customHeight="1" x14ac:dyDescent="0.3">
      <c r="A147">
        <v>28</v>
      </c>
      <c r="B147">
        <v>11</v>
      </c>
      <c r="C147" s="1">
        <v>3</v>
      </c>
      <c r="D147">
        <v>2</v>
      </c>
      <c r="E147">
        <v>3</v>
      </c>
      <c r="F147">
        <v>225</v>
      </c>
      <c r="G147" s="1">
        <v>26</v>
      </c>
      <c r="H147">
        <v>9</v>
      </c>
      <c r="I147" s="1">
        <v>28</v>
      </c>
      <c r="J147" s="2">
        <v>343253</v>
      </c>
      <c r="K147">
        <v>95</v>
      </c>
      <c r="L147">
        <v>0</v>
      </c>
      <c r="M147">
        <v>1</v>
      </c>
      <c r="N147">
        <v>1</v>
      </c>
      <c r="O147">
        <v>0</v>
      </c>
      <c r="P147">
        <v>0</v>
      </c>
      <c r="Q147">
        <v>2</v>
      </c>
      <c r="R147">
        <v>69</v>
      </c>
      <c r="S147">
        <v>169</v>
      </c>
      <c r="T147">
        <v>24</v>
      </c>
      <c r="U147">
        <v>8</v>
      </c>
      <c r="V147" s="53" t="str">
        <f>IFERROR(
IF(tbl_abs[[#This Row],[Month of absence]]=0,"Unknown",
CHOOSE(tbl_abs[[#This Row],[Month of absence]],
"Jan","Feb","Mar","Apr","May","Jun","Jul","Aug","Sep","Oct","Nov","Dec")),"")</f>
        <v>Mar</v>
      </c>
      <c r="W147" s="53" t="str">
        <f>IFERROR(
IF(tbl_abs[[#This Row],[Age]]&lt;30,"&lt;30",
IF(tbl_abs[[#This Row],[Age]]&lt;40,"30–39",
IF(tbl_abs[[#This Row],[Age]]&lt;50,"40–49",
IF(tbl_abs[[#This Row],[Age]]&lt;60,"50–59",
"60+")))),"")</f>
        <v>&lt;30</v>
      </c>
      <c r="X147" s="53" t="str">
        <f>IFERROR(
IF(tbl_abs[[#This Row],[Distance from Residence to Work]]&lt;=5,"0–5",
IF(tbl_abs[[#This Row],[Distance from Residence to Work]]&lt;=10,"6–10",
IF(tbl_abs[[#This Row],[Distance from Residence to Work]]&lt;=20,"11–20",
"21+"))),"")</f>
        <v>21+</v>
      </c>
      <c r="Y147" s="53" t="str">
        <f>IFERROR(
IF(tbl_abs[[#This Row],[Body Mass Index]]&lt;18.5,"Underweight",
IF(tbl_abs[[#This Row],[Body Mass Index]]&lt;25,"Normal",
IF(tbl_abs[[#This Row],[Body Mass Index]]&lt;30,"Overweight",
"Obese"))),"")</f>
        <v>Normal</v>
      </c>
      <c r="Z147" s="53" t="str">
        <f>IFERROR(
IF(tbl_abs[[#This Row],[Absenteeism time in hours]]&lt;=2,"0–2",
IF(tbl_abs[[#This Row],[Absenteeism time in hours]]&lt;=8,"3–8",
IF(tbl_abs[[#This Row],[Absenteeism time in hours]]&lt;=16,"9–16",
"17+"))),"")</f>
        <v>3–8</v>
      </c>
    </row>
    <row r="148" spans="1:26" ht="15" customHeight="1" x14ac:dyDescent="0.3">
      <c r="A148">
        <v>22</v>
      </c>
      <c r="B148">
        <v>13</v>
      </c>
      <c r="C148" s="1">
        <v>3</v>
      </c>
      <c r="D148">
        <v>2</v>
      </c>
      <c r="E148">
        <v>3</v>
      </c>
      <c r="F148">
        <v>179</v>
      </c>
      <c r="G148" s="1">
        <v>26</v>
      </c>
      <c r="H148">
        <v>9</v>
      </c>
      <c r="I148" s="1">
        <v>30</v>
      </c>
      <c r="J148" s="2">
        <v>343253</v>
      </c>
      <c r="K148">
        <v>95</v>
      </c>
      <c r="L148">
        <v>0</v>
      </c>
      <c r="M148">
        <v>3</v>
      </c>
      <c r="N148">
        <v>0</v>
      </c>
      <c r="O148">
        <v>0</v>
      </c>
      <c r="P148">
        <v>0</v>
      </c>
      <c r="Q148">
        <v>0</v>
      </c>
      <c r="R148">
        <v>56</v>
      </c>
      <c r="S148">
        <v>171</v>
      </c>
      <c r="T148">
        <v>19</v>
      </c>
      <c r="U148">
        <v>1</v>
      </c>
      <c r="V148" s="53" t="str">
        <f>IFERROR(
IF(tbl_abs[[#This Row],[Month of absence]]=0,"Unknown",
CHOOSE(tbl_abs[[#This Row],[Month of absence]],
"Jan","Feb","Mar","Apr","May","Jun","Jul","Aug","Sep","Oct","Nov","Dec")),"")</f>
        <v>Mar</v>
      </c>
      <c r="W148" s="53" t="str">
        <f>IFERROR(
IF(tbl_abs[[#This Row],[Age]]&lt;30,"&lt;30",
IF(tbl_abs[[#This Row],[Age]]&lt;40,"30–39",
IF(tbl_abs[[#This Row],[Age]]&lt;50,"40–49",
IF(tbl_abs[[#This Row],[Age]]&lt;60,"50–59",
"60+")))),"")</f>
        <v>30–39</v>
      </c>
      <c r="X148" s="53" t="str">
        <f>IFERROR(
IF(tbl_abs[[#This Row],[Distance from Residence to Work]]&lt;=5,"0–5",
IF(tbl_abs[[#This Row],[Distance from Residence to Work]]&lt;=10,"6–10",
IF(tbl_abs[[#This Row],[Distance from Residence to Work]]&lt;=20,"11–20",
"21+"))),"")</f>
        <v>21+</v>
      </c>
      <c r="Y148" s="53" t="str">
        <f>IFERROR(
IF(tbl_abs[[#This Row],[Body Mass Index]]&lt;18.5,"Underweight",
IF(tbl_abs[[#This Row],[Body Mass Index]]&lt;25,"Normal",
IF(tbl_abs[[#This Row],[Body Mass Index]]&lt;30,"Overweight",
"Obese"))),"")</f>
        <v>Normal</v>
      </c>
      <c r="Z148" s="53" t="str">
        <f>IFERROR(
IF(tbl_abs[[#This Row],[Absenteeism time in hours]]&lt;=2,"0–2",
IF(tbl_abs[[#This Row],[Absenteeism time in hours]]&lt;=8,"3–8",
IF(tbl_abs[[#This Row],[Absenteeism time in hours]]&lt;=16,"9–16",
"17+"))),"")</f>
        <v>0–2</v>
      </c>
    </row>
    <row r="149" spans="1:26" ht="15" customHeight="1" x14ac:dyDescent="0.3">
      <c r="A149">
        <v>28</v>
      </c>
      <c r="B149">
        <v>11</v>
      </c>
      <c r="C149" s="1">
        <v>3</v>
      </c>
      <c r="D149">
        <v>3</v>
      </c>
      <c r="E149">
        <v>3</v>
      </c>
      <c r="F149">
        <v>225</v>
      </c>
      <c r="G149" s="1">
        <v>26</v>
      </c>
      <c r="H149">
        <v>9</v>
      </c>
      <c r="I149" s="1">
        <v>28</v>
      </c>
      <c r="J149" s="2">
        <v>343253</v>
      </c>
      <c r="K149">
        <v>95</v>
      </c>
      <c r="L149">
        <v>0</v>
      </c>
      <c r="M149">
        <v>1</v>
      </c>
      <c r="N149">
        <v>1</v>
      </c>
      <c r="O149">
        <v>0</v>
      </c>
      <c r="P149">
        <v>0</v>
      </c>
      <c r="Q149">
        <v>2</v>
      </c>
      <c r="R149">
        <v>69</v>
      </c>
      <c r="S149">
        <v>169</v>
      </c>
      <c r="T149">
        <v>24</v>
      </c>
      <c r="U149">
        <v>8</v>
      </c>
      <c r="V149" s="53" t="str">
        <f>IFERROR(
IF(tbl_abs[[#This Row],[Month of absence]]=0,"Unknown",
CHOOSE(tbl_abs[[#This Row],[Month of absence]],
"Jan","Feb","Mar","Apr","May","Jun","Jul","Aug","Sep","Oct","Nov","Dec")),"")</f>
        <v>Mar</v>
      </c>
      <c r="W149" s="53" t="str">
        <f>IFERROR(
IF(tbl_abs[[#This Row],[Age]]&lt;30,"&lt;30",
IF(tbl_abs[[#This Row],[Age]]&lt;40,"30–39",
IF(tbl_abs[[#This Row],[Age]]&lt;50,"40–49",
IF(tbl_abs[[#This Row],[Age]]&lt;60,"50–59",
"60+")))),"")</f>
        <v>&lt;30</v>
      </c>
      <c r="X149" s="53" t="str">
        <f>IFERROR(
IF(tbl_abs[[#This Row],[Distance from Residence to Work]]&lt;=5,"0–5",
IF(tbl_abs[[#This Row],[Distance from Residence to Work]]&lt;=10,"6–10",
IF(tbl_abs[[#This Row],[Distance from Residence to Work]]&lt;=20,"11–20",
"21+"))),"")</f>
        <v>21+</v>
      </c>
      <c r="Y149" s="53" t="str">
        <f>IFERROR(
IF(tbl_abs[[#This Row],[Body Mass Index]]&lt;18.5,"Underweight",
IF(tbl_abs[[#This Row],[Body Mass Index]]&lt;25,"Normal",
IF(tbl_abs[[#This Row],[Body Mass Index]]&lt;30,"Overweight",
"Obese"))),"")</f>
        <v>Normal</v>
      </c>
      <c r="Z149" s="53" t="str">
        <f>IFERROR(
IF(tbl_abs[[#This Row],[Absenteeism time in hours]]&lt;=2,"0–2",
IF(tbl_abs[[#This Row],[Absenteeism time in hours]]&lt;=8,"3–8",
IF(tbl_abs[[#This Row],[Absenteeism time in hours]]&lt;=16,"9–16",
"17+"))),"")</f>
        <v>3–8</v>
      </c>
    </row>
    <row r="150" spans="1:26" ht="15" customHeight="1" x14ac:dyDescent="0.3">
      <c r="A150">
        <v>28</v>
      </c>
      <c r="B150">
        <v>11</v>
      </c>
      <c r="C150" s="1">
        <v>3</v>
      </c>
      <c r="D150">
        <v>4</v>
      </c>
      <c r="E150">
        <v>3</v>
      </c>
      <c r="F150">
        <v>225</v>
      </c>
      <c r="G150" s="1">
        <v>26</v>
      </c>
      <c r="H150">
        <v>9</v>
      </c>
      <c r="I150" s="1">
        <v>28</v>
      </c>
      <c r="J150" s="2">
        <v>343253</v>
      </c>
      <c r="K150">
        <v>95</v>
      </c>
      <c r="L150">
        <v>0</v>
      </c>
      <c r="M150">
        <v>1</v>
      </c>
      <c r="N150">
        <v>1</v>
      </c>
      <c r="O150">
        <v>0</v>
      </c>
      <c r="P150">
        <v>0</v>
      </c>
      <c r="Q150">
        <v>2</v>
      </c>
      <c r="R150">
        <v>69</v>
      </c>
      <c r="S150">
        <v>169</v>
      </c>
      <c r="T150">
        <v>24</v>
      </c>
      <c r="U150">
        <v>16</v>
      </c>
      <c r="V150" s="53" t="str">
        <f>IFERROR(
IF(tbl_abs[[#This Row],[Month of absence]]=0,"Unknown",
CHOOSE(tbl_abs[[#This Row],[Month of absence]],
"Jan","Feb","Mar","Apr","May","Jun","Jul","Aug","Sep","Oct","Nov","Dec")),"")</f>
        <v>Mar</v>
      </c>
      <c r="W150" s="53" t="str">
        <f>IFERROR(
IF(tbl_abs[[#This Row],[Age]]&lt;30,"&lt;30",
IF(tbl_abs[[#This Row],[Age]]&lt;40,"30–39",
IF(tbl_abs[[#This Row],[Age]]&lt;50,"40–49",
IF(tbl_abs[[#This Row],[Age]]&lt;60,"50–59",
"60+")))),"")</f>
        <v>&lt;30</v>
      </c>
      <c r="X150" s="53" t="str">
        <f>IFERROR(
IF(tbl_abs[[#This Row],[Distance from Residence to Work]]&lt;=5,"0–5",
IF(tbl_abs[[#This Row],[Distance from Residence to Work]]&lt;=10,"6–10",
IF(tbl_abs[[#This Row],[Distance from Residence to Work]]&lt;=20,"11–20",
"21+"))),"")</f>
        <v>21+</v>
      </c>
      <c r="Y150" s="53" t="str">
        <f>IFERROR(
IF(tbl_abs[[#This Row],[Body Mass Index]]&lt;18.5,"Underweight",
IF(tbl_abs[[#This Row],[Body Mass Index]]&lt;25,"Normal",
IF(tbl_abs[[#This Row],[Body Mass Index]]&lt;30,"Overweight",
"Obese"))),"")</f>
        <v>Normal</v>
      </c>
      <c r="Z150" s="53" t="str">
        <f>IFERROR(
IF(tbl_abs[[#This Row],[Absenteeism time in hours]]&lt;=2,"0–2",
IF(tbl_abs[[#This Row],[Absenteeism time in hours]]&lt;=8,"3–8",
IF(tbl_abs[[#This Row],[Absenteeism time in hours]]&lt;=16,"9–16",
"17+"))),"")</f>
        <v>9–16</v>
      </c>
    </row>
    <row r="151" spans="1:26" ht="15" customHeight="1" x14ac:dyDescent="0.3">
      <c r="A151">
        <v>3</v>
      </c>
      <c r="B151">
        <v>13</v>
      </c>
      <c r="C151" s="1">
        <v>3</v>
      </c>
      <c r="D151">
        <v>4</v>
      </c>
      <c r="E151">
        <v>3</v>
      </c>
      <c r="F151">
        <v>179</v>
      </c>
      <c r="G151" s="1">
        <v>51</v>
      </c>
      <c r="H151">
        <v>18</v>
      </c>
      <c r="I151" s="1">
        <v>38</v>
      </c>
      <c r="J151" s="2">
        <v>343253</v>
      </c>
      <c r="K151">
        <v>95</v>
      </c>
      <c r="L151">
        <v>0</v>
      </c>
      <c r="M151">
        <v>1</v>
      </c>
      <c r="N151">
        <v>0</v>
      </c>
      <c r="O151">
        <v>1</v>
      </c>
      <c r="P151">
        <v>0</v>
      </c>
      <c r="Q151">
        <v>0</v>
      </c>
      <c r="R151">
        <v>89</v>
      </c>
      <c r="S151">
        <v>170</v>
      </c>
      <c r="T151">
        <v>31</v>
      </c>
      <c r="U151">
        <v>3</v>
      </c>
      <c r="V151" s="53" t="str">
        <f>IFERROR(
IF(tbl_abs[[#This Row],[Month of absence]]=0,"Unknown",
CHOOSE(tbl_abs[[#This Row],[Month of absence]],
"Jan","Feb","Mar","Apr","May","Jun","Jul","Aug","Sep","Oct","Nov","Dec")),"")</f>
        <v>Mar</v>
      </c>
      <c r="W151" s="53" t="str">
        <f>IFERROR(
IF(tbl_abs[[#This Row],[Age]]&lt;30,"&lt;30",
IF(tbl_abs[[#This Row],[Age]]&lt;40,"30–39",
IF(tbl_abs[[#This Row],[Age]]&lt;50,"40–49",
IF(tbl_abs[[#This Row],[Age]]&lt;60,"50–59",
"60+")))),"")</f>
        <v>30–39</v>
      </c>
      <c r="X151" s="53" t="str">
        <f>IFERROR(
IF(tbl_abs[[#This Row],[Distance from Residence to Work]]&lt;=5,"0–5",
IF(tbl_abs[[#This Row],[Distance from Residence to Work]]&lt;=10,"6–10",
IF(tbl_abs[[#This Row],[Distance from Residence to Work]]&lt;=20,"11–20",
"21+"))),"")</f>
        <v>21+</v>
      </c>
      <c r="Y151" s="53" t="str">
        <f>IFERROR(
IF(tbl_abs[[#This Row],[Body Mass Index]]&lt;18.5,"Underweight",
IF(tbl_abs[[#This Row],[Body Mass Index]]&lt;25,"Normal",
IF(tbl_abs[[#This Row],[Body Mass Index]]&lt;30,"Overweight",
"Obese"))),"")</f>
        <v>Obese</v>
      </c>
      <c r="Z151" s="53" t="str">
        <f>IFERROR(
IF(tbl_abs[[#This Row],[Absenteeism time in hours]]&lt;=2,"0–2",
IF(tbl_abs[[#This Row],[Absenteeism time in hours]]&lt;=8,"3–8",
IF(tbl_abs[[#This Row],[Absenteeism time in hours]]&lt;=16,"9–16",
"17+"))),"")</f>
        <v>3–8</v>
      </c>
    </row>
    <row r="152" spans="1:26" ht="15" customHeight="1" x14ac:dyDescent="0.3">
      <c r="A152">
        <v>7</v>
      </c>
      <c r="B152">
        <v>14</v>
      </c>
      <c r="C152" s="1">
        <v>3</v>
      </c>
      <c r="D152">
        <v>5</v>
      </c>
      <c r="E152">
        <v>3</v>
      </c>
      <c r="F152">
        <v>279</v>
      </c>
      <c r="G152" s="1">
        <v>5</v>
      </c>
      <c r="H152">
        <v>14</v>
      </c>
      <c r="I152" s="1">
        <v>39</v>
      </c>
      <c r="J152" s="2">
        <v>343253</v>
      </c>
      <c r="K152">
        <v>95</v>
      </c>
      <c r="L152">
        <v>0</v>
      </c>
      <c r="M152">
        <v>1</v>
      </c>
      <c r="N152">
        <v>2</v>
      </c>
      <c r="O152">
        <v>1</v>
      </c>
      <c r="P152">
        <v>1</v>
      </c>
      <c r="Q152">
        <v>0</v>
      </c>
      <c r="R152">
        <v>68</v>
      </c>
      <c r="S152">
        <v>168</v>
      </c>
      <c r="T152">
        <v>24</v>
      </c>
      <c r="U152">
        <v>16</v>
      </c>
      <c r="V152" s="53" t="str">
        <f>IFERROR(
IF(tbl_abs[[#This Row],[Month of absence]]=0,"Unknown",
CHOOSE(tbl_abs[[#This Row],[Month of absence]],
"Jan","Feb","Mar","Apr","May","Jun","Jul","Aug","Sep","Oct","Nov","Dec")),"")</f>
        <v>Mar</v>
      </c>
      <c r="W152" s="53" t="str">
        <f>IFERROR(
IF(tbl_abs[[#This Row],[Age]]&lt;30,"&lt;30",
IF(tbl_abs[[#This Row],[Age]]&lt;40,"30–39",
IF(tbl_abs[[#This Row],[Age]]&lt;50,"40–49",
IF(tbl_abs[[#This Row],[Age]]&lt;60,"50–59",
"60+")))),"")</f>
        <v>30–39</v>
      </c>
      <c r="X152" s="53" t="str">
        <f>IFERROR(
IF(tbl_abs[[#This Row],[Distance from Residence to Work]]&lt;=5,"0–5",
IF(tbl_abs[[#This Row],[Distance from Residence to Work]]&lt;=10,"6–10",
IF(tbl_abs[[#This Row],[Distance from Residence to Work]]&lt;=20,"11–20",
"21+"))),"")</f>
        <v>0–5</v>
      </c>
      <c r="Y152" s="53" t="str">
        <f>IFERROR(
IF(tbl_abs[[#This Row],[Body Mass Index]]&lt;18.5,"Underweight",
IF(tbl_abs[[#This Row],[Body Mass Index]]&lt;25,"Normal",
IF(tbl_abs[[#This Row],[Body Mass Index]]&lt;30,"Overweight",
"Obese"))),"")</f>
        <v>Normal</v>
      </c>
      <c r="Z152" s="53" t="str">
        <f>IFERROR(
IF(tbl_abs[[#This Row],[Absenteeism time in hours]]&lt;=2,"0–2",
IF(tbl_abs[[#This Row],[Absenteeism time in hours]]&lt;=8,"3–8",
IF(tbl_abs[[#This Row],[Absenteeism time in hours]]&lt;=16,"9–16",
"17+"))),"")</f>
        <v>9–16</v>
      </c>
    </row>
    <row r="153" spans="1:26" ht="15" customHeight="1" x14ac:dyDescent="0.3">
      <c r="A153">
        <v>28</v>
      </c>
      <c r="B153">
        <v>28</v>
      </c>
      <c r="C153" s="1">
        <v>3</v>
      </c>
      <c r="D153">
        <v>6</v>
      </c>
      <c r="E153">
        <v>3</v>
      </c>
      <c r="F153">
        <v>225</v>
      </c>
      <c r="G153" s="1">
        <v>26</v>
      </c>
      <c r="H153">
        <v>9</v>
      </c>
      <c r="I153" s="1">
        <v>28</v>
      </c>
      <c r="J153" s="2">
        <v>343253</v>
      </c>
      <c r="K153">
        <v>95</v>
      </c>
      <c r="L153">
        <v>0</v>
      </c>
      <c r="M153">
        <v>1</v>
      </c>
      <c r="N153">
        <v>1</v>
      </c>
      <c r="O153">
        <v>0</v>
      </c>
      <c r="P153">
        <v>0</v>
      </c>
      <c r="Q153">
        <v>2</v>
      </c>
      <c r="R153">
        <v>69</v>
      </c>
      <c r="S153">
        <v>169</v>
      </c>
      <c r="T153">
        <v>24</v>
      </c>
      <c r="U153">
        <v>2</v>
      </c>
      <c r="V153" s="53" t="str">
        <f>IFERROR(
IF(tbl_abs[[#This Row],[Month of absence]]=0,"Unknown",
CHOOSE(tbl_abs[[#This Row],[Month of absence]],
"Jan","Feb","Mar","Apr","May","Jun","Jul","Aug","Sep","Oct","Nov","Dec")),"")</f>
        <v>Mar</v>
      </c>
      <c r="W153" s="53" t="str">
        <f>IFERROR(
IF(tbl_abs[[#This Row],[Age]]&lt;30,"&lt;30",
IF(tbl_abs[[#This Row],[Age]]&lt;40,"30–39",
IF(tbl_abs[[#This Row],[Age]]&lt;50,"40–49",
IF(tbl_abs[[#This Row],[Age]]&lt;60,"50–59",
"60+")))),"")</f>
        <v>&lt;30</v>
      </c>
      <c r="X153" s="53" t="str">
        <f>IFERROR(
IF(tbl_abs[[#This Row],[Distance from Residence to Work]]&lt;=5,"0–5",
IF(tbl_abs[[#This Row],[Distance from Residence to Work]]&lt;=10,"6–10",
IF(tbl_abs[[#This Row],[Distance from Residence to Work]]&lt;=20,"11–20",
"21+"))),"")</f>
        <v>21+</v>
      </c>
      <c r="Y153" s="53" t="str">
        <f>IFERROR(
IF(tbl_abs[[#This Row],[Body Mass Index]]&lt;18.5,"Underweight",
IF(tbl_abs[[#This Row],[Body Mass Index]]&lt;25,"Normal",
IF(tbl_abs[[#This Row],[Body Mass Index]]&lt;30,"Overweight",
"Obese"))),"")</f>
        <v>Normal</v>
      </c>
      <c r="Z153" s="53" t="str">
        <f>IFERROR(
IF(tbl_abs[[#This Row],[Absenteeism time in hours]]&lt;=2,"0–2",
IF(tbl_abs[[#This Row],[Absenteeism time in hours]]&lt;=8,"3–8",
IF(tbl_abs[[#This Row],[Absenteeism time in hours]]&lt;=16,"9–16",
"17+"))),"")</f>
        <v>0–2</v>
      </c>
    </row>
    <row r="154" spans="1:26" ht="15" customHeight="1" x14ac:dyDescent="0.3">
      <c r="A154">
        <v>33</v>
      </c>
      <c r="B154">
        <v>14</v>
      </c>
      <c r="C154" s="1">
        <v>3</v>
      </c>
      <c r="D154">
        <v>6</v>
      </c>
      <c r="E154">
        <v>3</v>
      </c>
      <c r="F154">
        <v>248</v>
      </c>
      <c r="G154" s="1">
        <v>25</v>
      </c>
      <c r="H154">
        <v>14</v>
      </c>
      <c r="I154" s="1">
        <v>47</v>
      </c>
      <c r="J154" s="2">
        <v>343253</v>
      </c>
      <c r="K154">
        <v>95</v>
      </c>
      <c r="L154">
        <v>0</v>
      </c>
      <c r="M154">
        <v>1</v>
      </c>
      <c r="N154">
        <v>2</v>
      </c>
      <c r="O154">
        <v>0</v>
      </c>
      <c r="P154">
        <v>0</v>
      </c>
      <c r="Q154">
        <v>1</v>
      </c>
      <c r="R154">
        <v>86</v>
      </c>
      <c r="S154">
        <v>165</v>
      </c>
      <c r="T154">
        <v>32</v>
      </c>
      <c r="U154">
        <v>3</v>
      </c>
      <c r="V154" s="53" t="str">
        <f>IFERROR(
IF(tbl_abs[[#This Row],[Month of absence]]=0,"Unknown",
CHOOSE(tbl_abs[[#This Row],[Month of absence]],
"Jan","Feb","Mar","Apr","May","Jun","Jul","Aug","Sep","Oct","Nov","Dec")),"")</f>
        <v>Mar</v>
      </c>
      <c r="W154" s="53" t="str">
        <f>IFERROR(
IF(tbl_abs[[#This Row],[Age]]&lt;30,"&lt;30",
IF(tbl_abs[[#This Row],[Age]]&lt;40,"30–39",
IF(tbl_abs[[#This Row],[Age]]&lt;50,"40–49",
IF(tbl_abs[[#This Row],[Age]]&lt;60,"50–59",
"60+")))),"")</f>
        <v>40–49</v>
      </c>
      <c r="X154" s="53" t="str">
        <f>IFERROR(
IF(tbl_abs[[#This Row],[Distance from Residence to Work]]&lt;=5,"0–5",
IF(tbl_abs[[#This Row],[Distance from Residence to Work]]&lt;=10,"6–10",
IF(tbl_abs[[#This Row],[Distance from Residence to Work]]&lt;=20,"11–20",
"21+"))),"")</f>
        <v>21+</v>
      </c>
      <c r="Y154" s="53" t="str">
        <f>IFERROR(
IF(tbl_abs[[#This Row],[Body Mass Index]]&lt;18.5,"Underweight",
IF(tbl_abs[[#This Row],[Body Mass Index]]&lt;25,"Normal",
IF(tbl_abs[[#This Row],[Body Mass Index]]&lt;30,"Overweight",
"Obese"))),"")</f>
        <v>Obese</v>
      </c>
      <c r="Z154" s="53" t="str">
        <f>IFERROR(
IF(tbl_abs[[#This Row],[Absenteeism time in hours]]&lt;=2,"0–2",
IF(tbl_abs[[#This Row],[Absenteeism time in hours]]&lt;=8,"3–8",
IF(tbl_abs[[#This Row],[Absenteeism time in hours]]&lt;=16,"9–16",
"17+"))),"")</f>
        <v>3–8</v>
      </c>
    </row>
    <row r="155" spans="1:26" ht="15" customHeight="1" x14ac:dyDescent="0.3">
      <c r="A155">
        <v>28</v>
      </c>
      <c r="B155">
        <v>28</v>
      </c>
      <c r="C155" s="1">
        <v>3</v>
      </c>
      <c r="D155">
        <v>2</v>
      </c>
      <c r="E155">
        <v>3</v>
      </c>
      <c r="F155">
        <v>225</v>
      </c>
      <c r="G155" s="1">
        <v>26</v>
      </c>
      <c r="H155">
        <v>9</v>
      </c>
      <c r="I155" s="1">
        <v>28</v>
      </c>
      <c r="J155" s="2">
        <v>343253</v>
      </c>
      <c r="K155">
        <v>95</v>
      </c>
      <c r="L155">
        <v>0</v>
      </c>
      <c r="M155">
        <v>1</v>
      </c>
      <c r="N155">
        <v>1</v>
      </c>
      <c r="O155">
        <v>0</v>
      </c>
      <c r="P155">
        <v>0</v>
      </c>
      <c r="Q155">
        <v>2</v>
      </c>
      <c r="R155">
        <v>69</v>
      </c>
      <c r="S155">
        <v>169</v>
      </c>
      <c r="T155">
        <v>24</v>
      </c>
      <c r="U155">
        <v>1</v>
      </c>
      <c r="V155" s="53" t="str">
        <f>IFERROR(
IF(tbl_abs[[#This Row],[Month of absence]]=0,"Unknown",
CHOOSE(tbl_abs[[#This Row],[Month of absence]],
"Jan","Feb","Mar","Apr","May","Jun","Jul","Aug","Sep","Oct","Nov","Dec")),"")</f>
        <v>Mar</v>
      </c>
      <c r="W155" s="53" t="str">
        <f>IFERROR(
IF(tbl_abs[[#This Row],[Age]]&lt;30,"&lt;30",
IF(tbl_abs[[#This Row],[Age]]&lt;40,"30–39",
IF(tbl_abs[[#This Row],[Age]]&lt;50,"40–49",
IF(tbl_abs[[#This Row],[Age]]&lt;60,"50–59",
"60+")))),"")</f>
        <v>&lt;30</v>
      </c>
      <c r="X155" s="53" t="str">
        <f>IFERROR(
IF(tbl_abs[[#This Row],[Distance from Residence to Work]]&lt;=5,"0–5",
IF(tbl_abs[[#This Row],[Distance from Residence to Work]]&lt;=10,"6–10",
IF(tbl_abs[[#This Row],[Distance from Residence to Work]]&lt;=20,"11–20",
"21+"))),"")</f>
        <v>21+</v>
      </c>
      <c r="Y155" s="53" t="str">
        <f>IFERROR(
IF(tbl_abs[[#This Row],[Body Mass Index]]&lt;18.5,"Underweight",
IF(tbl_abs[[#This Row],[Body Mass Index]]&lt;25,"Normal",
IF(tbl_abs[[#This Row],[Body Mass Index]]&lt;30,"Overweight",
"Obese"))),"")</f>
        <v>Normal</v>
      </c>
      <c r="Z155" s="53" t="str">
        <f>IFERROR(
IF(tbl_abs[[#This Row],[Absenteeism time in hours]]&lt;=2,"0–2",
IF(tbl_abs[[#This Row],[Absenteeism time in hours]]&lt;=8,"3–8",
IF(tbl_abs[[#This Row],[Absenteeism time in hours]]&lt;=16,"9–16",
"17+"))),"")</f>
        <v>0–2</v>
      </c>
    </row>
    <row r="156" spans="1:26" ht="15" customHeight="1" x14ac:dyDescent="0.3">
      <c r="A156">
        <v>34</v>
      </c>
      <c r="B156">
        <v>18</v>
      </c>
      <c r="C156" s="1">
        <v>3</v>
      </c>
      <c r="D156">
        <v>3</v>
      </c>
      <c r="E156">
        <v>2</v>
      </c>
      <c r="F156">
        <v>118</v>
      </c>
      <c r="G156" s="1">
        <v>10</v>
      </c>
      <c r="H156">
        <v>10</v>
      </c>
      <c r="I156" s="1">
        <v>37</v>
      </c>
      <c r="J156" s="2">
        <v>244387</v>
      </c>
      <c r="K156">
        <v>98</v>
      </c>
      <c r="L156">
        <v>0</v>
      </c>
      <c r="M156">
        <v>1</v>
      </c>
      <c r="N156">
        <v>0</v>
      </c>
      <c r="O156">
        <v>0</v>
      </c>
      <c r="P156">
        <v>0</v>
      </c>
      <c r="Q156">
        <v>0</v>
      </c>
      <c r="R156">
        <v>83</v>
      </c>
      <c r="S156">
        <v>172</v>
      </c>
      <c r="T156">
        <v>28</v>
      </c>
      <c r="U156">
        <v>8</v>
      </c>
      <c r="V156" s="53" t="str">
        <f>IFERROR(
IF(tbl_abs[[#This Row],[Month of absence]]=0,"Unknown",
CHOOSE(tbl_abs[[#This Row],[Month of absence]],
"Jan","Feb","Mar","Apr","May","Jun","Jul","Aug","Sep","Oct","Nov","Dec")),"")</f>
        <v>Mar</v>
      </c>
      <c r="W156" s="53" t="str">
        <f>IFERROR(
IF(tbl_abs[[#This Row],[Age]]&lt;30,"&lt;30",
IF(tbl_abs[[#This Row],[Age]]&lt;40,"30–39",
IF(tbl_abs[[#This Row],[Age]]&lt;50,"40–49",
IF(tbl_abs[[#This Row],[Age]]&lt;60,"50–59",
"60+")))),"")</f>
        <v>30–39</v>
      </c>
      <c r="X156" s="53" t="str">
        <f>IFERROR(
IF(tbl_abs[[#This Row],[Distance from Residence to Work]]&lt;=5,"0–5",
IF(tbl_abs[[#This Row],[Distance from Residence to Work]]&lt;=10,"6–10",
IF(tbl_abs[[#This Row],[Distance from Residence to Work]]&lt;=20,"11–20",
"21+"))),"")</f>
        <v>6–10</v>
      </c>
      <c r="Y156" s="53" t="str">
        <f>IFERROR(
IF(tbl_abs[[#This Row],[Body Mass Index]]&lt;18.5,"Underweight",
IF(tbl_abs[[#This Row],[Body Mass Index]]&lt;25,"Normal",
IF(tbl_abs[[#This Row],[Body Mass Index]]&lt;30,"Overweight",
"Obese"))),"")</f>
        <v>Overweight</v>
      </c>
      <c r="Z156" s="53" t="str">
        <f>IFERROR(
IF(tbl_abs[[#This Row],[Absenteeism time in hours]]&lt;=2,"0–2",
IF(tbl_abs[[#This Row],[Absenteeism time in hours]]&lt;=8,"3–8",
IF(tbl_abs[[#This Row],[Absenteeism time in hours]]&lt;=16,"9–16",
"17+"))),"")</f>
        <v>3–8</v>
      </c>
    </row>
    <row r="157" spans="1:26" ht="15" customHeight="1" x14ac:dyDescent="0.3">
      <c r="A157">
        <v>24</v>
      </c>
      <c r="B157">
        <v>19</v>
      </c>
      <c r="C157" s="1">
        <v>3</v>
      </c>
      <c r="D157">
        <v>4</v>
      </c>
      <c r="E157">
        <v>2</v>
      </c>
      <c r="F157">
        <v>246</v>
      </c>
      <c r="G157" s="1">
        <v>25</v>
      </c>
      <c r="H157">
        <v>16</v>
      </c>
      <c r="I157" s="1">
        <v>41</v>
      </c>
      <c r="J157" s="2">
        <v>244387</v>
      </c>
      <c r="K157">
        <v>98</v>
      </c>
      <c r="L157">
        <v>0</v>
      </c>
      <c r="M157">
        <v>1</v>
      </c>
      <c r="N157">
        <v>0</v>
      </c>
      <c r="O157">
        <v>1</v>
      </c>
      <c r="P157">
        <v>0</v>
      </c>
      <c r="Q157">
        <v>0</v>
      </c>
      <c r="R157">
        <v>67</v>
      </c>
      <c r="S157">
        <v>170</v>
      </c>
      <c r="T157">
        <v>23</v>
      </c>
      <c r="U157">
        <v>16</v>
      </c>
      <c r="V157" s="53" t="str">
        <f>IFERROR(
IF(tbl_abs[[#This Row],[Month of absence]]=0,"Unknown",
CHOOSE(tbl_abs[[#This Row],[Month of absence]],
"Jan","Feb","Mar","Apr","May","Jun","Jul","Aug","Sep","Oct","Nov","Dec")),"")</f>
        <v>Mar</v>
      </c>
      <c r="W157" s="53" t="str">
        <f>IFERROR(
IF(tbl_abs[[#This Row],[Age]]&lt;30,"&lt;30",
IF(tbl_abs[[#This Row],[Age]]&lt;40,"30–39",
IF(tbl_abs[[#This Row],[Age]]&lt;50,"40–49",
IF(tbl_abs[[#This Row],[Age]]&lt;60,"50–59",
"60+")))),"")</f>
        <v>40–49</v>
      </c>
      <c r="X157" s="53" t="str">
        <f>IFERROR(
IF(tbl_abs[[#This Row],[Distance from Residence to Work]]&lt;=5,"0–5",
IF(tbl_abs[[#This Row],[Distance from Residence to Work]]&lt;=10,"6–10",
IF(tbl_abs[[#This Row],[Distance from Residence to Work]]&lt;=20,"11–20",
"21+"))),"")</f>
        <v>21+</v>
      </c>
      <c r="Y157" s="53" t="str">
        <f>IFERROR(
IF(tbl_abs[[#This Row],[Body Mass Index]]&lt;18.5,"Underweight",
IF(tbl_abs[[#This Row],[Body Mass Index]]&lt;25,"Normal",
IF(tbl_abs[[#This Row],[Body Mass Index]]&lt;30,"Overweight",
"Obese"))),"")</f>
        <v>Normal</v>
      </c>
      <c r="Z157" s="53" t="str">
        <f>IFERROR(
IF(tbl_abs[[#This Row],[Absenteeism time in hours]]&lt;=2,"0–2",
IF(tbl_abs[[#This Row],[Absenteeism time in hours]]&lt;=8,"3–8",
IF(tbl_abs[[#This Row],[Absenteeism time in hours]]&lt;=16,"9–16",
"17+"))),"")</f>
        <v>9–16</v>
      </c>
    </row>
    <row r="158" spans="1:26" ht="15" customHeight="1" x14ac:dyDescent="0.3">
      <c r="A158">
        <v>24</v>
      </c>
      <c r="B158">
        <v>28</v>
      </c>
      <c r="C158" s="1">
        <v>3</v>
      </c>
      <c r="D158">
        <v>6</v>
      </c>
      <c r="E158">
        <v>2</v>
      </c>
      <c r="F158">
        <v>246</v>
      </c>
      <c r="G158" s="1">
        <v>25</v>
      </c>
      <c r="H158">
        <v>16</v>
      </c>
      <c r="I158" s="1">
        <v>41</v>
      </c>
      <c r="J158" s="2">
        <v>244387</v>
      </c>
      <c r="K158">
        <v>98</v>
      </c>
      <c r="L158">
        <v>0</v>
      </c>
      <c r="M158">
        <v>1</v>
      </c>
      <c r="N158">
        <v>0</v>
      </c>
      <c r="O158">
        <v>1</v>
      </c>
      <c r="P158">
        <v>0</v>
      </c>
      <c r="Q158">
        <v>0</v>
      </c>
      <c r="R158">
        <v>67</v>
      </c>
      <c r="S158">
        <v>170</v>
      </c>
      <c r="T158">
        <v>23</v>
      </c>
      <c r="U158">
        <v>2</v>
      </c>
      <c r="V158" s="53" t="str">
        <f>IFERROR(
IF(tbl_abs[[#This Row],[Month of absence]]=0,"Unknown",
CHOOSE(tbl_abs[[#This Row],[Month of absence]],
"Jan","Feb","Mar","Apr","May","Jun","Jul","Aug","Sep","Oct","Nov","Dec")),"")</f>
        <v>Mar</v>
      </c>
      <c r="W158" s="53" t="str">
        <f>IFERROR(
IF(tbl_abs[[#This Row],[Age]]&lt;30,"&lt;30",
IF(tbl_abs[[#This Row],[Age]]&lt;40,"30–39",
IF(tbl_abs[[#This Row],[Age]]&lt;50,"40–49",
IF(tbl_abs[[#This Row],[Age]]&lt;60,"50–59",
"60+")))),"")</f>
        <v>40–49</v>
      </c>
      <c r="X158" s="53" t="str">
        <f>IFERROR(
IF(tbl_abs[[#This Row],[Distance from Residence to Work]]&lt;=5,"0–5",
IF(tbl_abs[[#This Row],[Distance from Residence to Work]]&lt;=10,"6–10",
IF(tbl_abs[[#This Row],[Distance from Residence to Work]]&lt;=20,"11–20",
"21+"))),"")</f>
        <v>21+</v>
      </c>
      <c r="Y158" s="53" t="str">
        <f>IFERROR(
IF(tbl_abs[[#This Row],[Body Mass Index]]&lt;18.5,"Underweight",
IF(tbl_abs[[#This Row],[Body Mass Index]]&lt;25,"Normal",
IF(tbl_abs[[#This Row],[Body Mass Index]]&lt;30,"Overweight",
"Obese"))),"")</f>
        <v>Normal</v>
      </c>
      <c r="Z158" s="53" t="str">
        <f>IFERROR(
IF(tbl_abs[[#This Row],[Absenteeism time in hours]]&lt;=2,"0–2",
IF(tbl_abs[[#This Row],[Absenteeism time in hours]]&lt;=8,"3–8",
IF(tbl_abs[[#This Row],[Absenteeism time in hours]]&lt;=16,"9–16",
"17+"))),"")</f>
        <v>0–2</v>
      </c>
    </row>
    <row r="159" spans="1:26" ht="15" customHeight="1" x14ac:dyDescent="0.3">
      <c r="A159">
        <v>20</v>
      </c>
      <c r="B159">
        <v>28</v>
      </c>
      <c r="C159" s="1">
        <v>3</v>
      </c>
      <c r="D159">
        <v>6</v>
      </c>
      <c r="E159">
        <v>2</v>
      </c>
      <c r="F159">
        <v>260</v>
      </c>
      <c r="G159" s="1">
        <v>50</v>
      </c>
      <c r="H159">
        <v>11</v>
      </c>
      <c r="I159" s="1">
        <v>36</v>
      </c>
      <c r="J159" s="2">
        <v>244387</v>
      </c>
      <c r="K159">
        <v>98</v>
      </c>
      <c r="L159">
        <v>0</v>
      </c>
      <c r="M159">
        <v>1</v>
      </c>
      <c r="N159">
        <v>4</v>
      </c>
      <c r="O159">
        <v>1</v>
      </c>
      <c r="P159">
        <v>0</v>
      </c>
      <c r="Q159">
        <v>0</v>
      </c>
      <c r="R159">
        <v>65</v>
      </c>
      <c r="S159">
        <v>168</v>
      </c>
      <c r="T159">
        <v>23</v>
      </c>
      <c r="U159">
        <v>4</v>
      </c>
      <c r="V159" s="53" t="str">
        <f>IFERROR(
IF(tbl_abs[[#This Row],[Month of absence]]=0,"Unknown",
CHOOSE(tbl_abs[[#This Row],[Month of absence]],
"Jan","Feb","Mar","Apr","May","Jun","Jul","Aug","Sep","Oct","Nov","Dec")),"")</f>
        <v>Mar</v>
      </c>
      <c r="W159" s="53" t="str">
        <f>IFERROR(
IF(tbl_abs[[#This Row],[Age]]&lt;30,"&lt;30",
IF(tbl_abs[[#This Row],[Age]]&lt;40,"30–39",
IF(tbl_abs[[#This Row],[Age]]&lt;50,"40–49",
IF(tbl_abs[[#This Row],[Age]]&lt;60,"50–59",
"60+")))),"")</f>
        <v>30–39</v>
      </c>
      <c r="X159" s="53" t="str">
        <f>IFERROR(
IF(tbl_abs[[#This Row],[Distance from Residence to Work]]&lt;=5,"0–5",
IF(tbl_abs[[#This Row],[Distance from Residence to Work]]&lt;=10,"6–10",
IF(tbl_abs[[#This Row],[Distance from Residence to Work]]&lt;=20,"11–20",
"21+"))),"")</f>
        <v>21+</v>
      </c>
      <c r="Y159" s="53" t="str">
        <f>IFERROR(
IF(tbl_abs[[#This Row],[Body Mass Index]]&lt;18.5,"Underweight",
IF(tbl_abs[[#This Row],[Body Mass Index]]&lt;25,"Normal",
IF(tbl_abs[[#This Row],[Body Mass Index]]&lt;30,"Overweight",
"Obese"))),"")</f>
        <v>Normal</v>
      </c>
      <c r="Z159" s="53" t="str">
        <f>IFERROR(
IF(tbl_abs[[#This Row],[Absenteeism time in hours]]&lt;=2,"0–2",
IF(tbl_abs[[#This Row],[Absenteeism time in hours]]&lt;=8,"3–8",
IF(tbl_abs[[#This Row],[Absenteeism time in hours]]&lt;=16,"9–16",
"17+"))),"")</f>
        <v>3–8</v>
      </c>
    </row>
    <row r="160" spans="1:26" ht="15" customHeight="1" x14ac:dyDescent="0.3">
      <c r="A160">
        <v>3</v>
      </c>
      <c r="B160">
        <v>28</v>
      </c>
      <c r="C160" s="1">
        <v>3</v>
      </c>
      <c r="D160">
        <v>2</v>
      </c>
      <c r="E160">
        <v>2</v>
      </c>
      <c r="F160">
        <v>179</v>
      </c>
      <c r="G160" s="1">
        <v>51</v>
      </c>
      <c r="H160">
        <v>18</v>
      </c>
      <c r="I160" s="1">
        <v>38</v>
      </c>
      <c r="J160" s="2">
        <v>244387</v>
      </c>
      <c r="K160">
        <v>98</v>
      </c>
      <c r="L160">
        <v>0</v>
      </c>
      <c r="M160">
        <v>1</v>
      </c>
      <c r="N160">
        <v>0</v>
      </c>
      <c r="O160">
        <v>1</v>
      </c>
      <c r="P160">
        <v>0</v>
      </c>
      <c r="Q160">
        <v>0</v>
      </c>
      <c r="R160">
        <v>89</v>
      </c>
      <c r="S160">
        <v>170</v>
      </c>
      <c r="T160">
        <v>31</v>
      </c>
      <c r="U160">
        <v>2</v>
      </c>
      <c r="V160" s="53" t="str">
        <f>IFERROR(
IF(tbl_abs[[#This Row],[Month of absence]]=0,"Unknown",
CHOOSE(tbl_abs[[#This Row],[Month of absence]],
"Jan","Feb","Mar","Apr","May","Jun","Jul","Aug","Sep","Oct","Nov","Dec")),"")</f>
        <v>Mar</v>
      </c>
      <c r="W160" s="53" t="str">
        <f>IFERROR(
IF(tbl_abs[[#This Row],[Age]]&lt;30,"&lt;30",
IF(tbl_abs[[#This Row],[Age]]&lt;40,"30–39",
IF(tbl_abs[[#This Row],[Age]]&lt;50,"40–49",
IF(tbl_abs[[#This Row],[Age]]&lt;60,"50–59",
"60+")))),"")</f>
        <v>30–39</v>
      </c>
      <c r="X160" s="53" t="str">
        <f>IFERROR(
IF(tbl_abs[[#This Row],[Distance from Residence to Work]]&lt;=5,"0–5",
IF(tbl_abs[[#This Row],[Distance from Residence to Work]]&lt;=10,"6–10",
IF(tbl_abs[[#This Row],[Distance from Residence to Work]]&lt;=20,"11–20",
"21+"))),"")</f>
        <v>21+</v>
      </c>
      <c r="Y160" s="53" t="str">
        <f>IFERROR(
IF(tbl_abs[[#This Row],[Body Mass Index]]&lt;18.5,"Underweight",
IF(tbl_abs[[#This Row],[Body Mass Index]]&lt;25,"Normal",
IF(tbl_abs[[#This Row],[Body Mass Index]]&lt;30,"Overweight",
"Obese"))),"")</f>
        <v>Obese</v>
      </c>
      <c r="Z160" s="53" t="str">
        <f>IFERROR(
IF(tbl_abs[[#This Row],[Absenteeism time in hours]]&lt;=2,"0–2",
IF(tbl_abs[[#This Row],[Absenteeism time in hours]]&lt;=8,"3–8",
IF(tbl_abs[[#This Row],[Absenteeism time in hours]]&lt;=16,"9–16",
"17+"))),"")</f>
        <v>0–2</v>
      </c>
    </row>
    <row r="161" spans="1:26" ht="15" customHeight="1" x14ac:dyDescent="0.3">
      <c r="A161">
        <v>1</v>
      </c>
      <c r="B161">
        <v>22</v>
      </c>
      <c r="C161" s="1">
        <v>3</v>
      </c>
      <c r="D161">
        <v>2</v>
      </c>
      <c r="E161">
        <v>2</v>
      </c>
      <c r="F161">
        <v>235</v>
      </c>
      <c r="G161" s="1">
        <v>11</v>
      </c>
      <c r="H161">
        <v>14</v>
      </c>
      <c r="I161" s="1">
        <v>37</v>
      </c>
      <c r="J161" s="2">
        <v>244387</v>
      </c>
      <c r="K161">
        <v>98</v>
      </c>
      <c r="L161">
        <v>0</v>
      </c>
      <c r="M161">
        <v>3</v>
      </c>
      <c r="N161">
        <v>1</v>
      </c>
      <c r="O161">
        <v>0</v>
      </c>
      <c r="P161">
        <v>0</v>
      </c>
      <c r="Q161">
        <v>1</v>
      </c>
      <c r="R161">
        <v>88</v>
      </c>
      <c r="S161">
        <v>172</v>
      </c>
      <c r="T161">
        <v>29</v>
      </c>
      <c r="U161">
        <v>8</v>
      </c>
      <c r="V161" s="53" t="str">
        <f>IFERROR(
IF(tbl_abs[[#This Row],[Month of absence]]=0,"Unknown",
CHOOSE(tbl_abs[[#This Row],[Month of absence]],
"Jan","Feb","Mar","Apr","May","Jun","Jul","Aug","Sep","Oct","Nov","Dec")),"")</f>
        <v>Mar</v>
      </c>
      <c r="W161" s="53" t="str">
        <f>IFERROR(
IF(tbl_abs[[#This Row],[Age]]&lt;30,"&lt;30",
IF(tbl_abs[[#This Row],[Age]]&lt;40,"30–39",
IF(tbl_abs[[#This Row],[Age]]&lt;50,"40–49",
IF(tbl_abs[[#This Row],[Age]]&lt;60,"50–59",
"60+")))),"")</f>
        <v>30–39</v>
      </c>
      <c r="X161" s="53" t="str">
        <f>IFERROR(
IF(tbl_abs[[#This Row],[Distance from Residence to Work]]&lt;=5,"0–5",
IF(tbl_abs[[#This Row],[Distance from Residence to Work]]&lt;=10,"6–10",
IF(tbl_abs[[#This Row],[Distance from Residence to Work]]&lt;=20,"11–20",
"21+"))),"")</f>
        <v>11–20</v>
      </c>
      <c r="Y161" s="53" t="str">
        <f>IFERROR(
IF(tbl_abs[[#This Row],[Body Mass Index]]&lt;18.5,"Underweight",
IF(tbl_abs[[#This Row],[Body Mass Index]]&lt;25,"Normal",
IF(tbl_abs[[#This Row],[Body Mass Index]]&lt;30,"Overweight",
"Obese"))),"")</f>
        <v>Overweight</v>
      </c>
      <c r="Z161" s="53" t="str">
        <f>IFERROR(
IF(tbl_abs[[#This Row],[Absenteeism time in hours]]&lt;=2,"0–2",
IF(tbl_abs[[#This Row],[Absenteeism time in hours]]&lt;=8,"3–8",
IF(tbl_abs[[#This Row],[Absenteeism time in hours]]&lt;=16,"9–16",
"17+"))),"")</f>
        <v>3–8</v>
      </c>
    </row>
    <row r="162" spans="1:26" ht="15" customHeight="1" x14ac:dyDescent="0.3">
      <c r="A162">
        <v>17</v>
      </c>
      <c r="B162">
        <v>22</v>
      </c>
      <c r="C162" s="1">
        <v>3</v>
      </c>
      <c r="D162">
        <v>3</v>
      </c>
      <c r="E162">
        <v>2</v>
      </c>
      <c r="F162">
        <v>179</v>
      </c>
      <c r="G162" s="1">
        <v>22</v>
      </c>
      <c r="H162">
        <v>17</v>
      </c>
      <c r="I162" s="1">
        <v>40</v>
      </c>
      <c r="J162" s="2">
        <v>244387</v>
      </c>
      <c r="K162">
        <v>98</v>
      </c>
      <c r="L162">
        <v>0</v>
      </c>
      <c r="M162">
        <v>2</v>
      </c>
      <c r="N162">
        <v>2</v>
      </c>
      <c r="O162">
        <v>0</v>
      </c>
      <c r="P162">
        <v>1</v>
      </c>
      <c r="Q162">
        <v>0</v>
      </c>
      <c r="R162">
        <v>63</v>
      </c>
      <c r="S162">
        <v>170</v>
      </c>
      <c r="T162">
        <v>22</v>
      </c>
      <c r="U162">
        <v>8</v>
      </c>
      <c r="V162" s="53" t="str">
        <f>IFERROR(
IF(tbl_abs[[#This Row],[Month of absence]]=0,"Unknown",
CHOOSE(tbl_abs[[#This Row],[Month of absence]],
"Jan","Feb","Mar","Apr","May","Jun","Jul","Aug","Sep","Oct","Nov","Dec")),"")</f>
        <v>Mar</v>
      </c>
      <c r="W162" s="53" t="str">
        <f>IFERROR(
IF(tbl_abs[[#This Row],[Age]]&lt;30,"&lt;30",
IF(tbl_abs[[#This Row],[Age]]&lt;40,"30–39",
IF(tbl_abs[[#This Row],[Age]]&lt;50,"40–49",
IF(tbl_abs[[#This Row],[Age]]&lt;60,"50–59",
"60+")))),"")</f>
        <v>40–49</v>
      </c>
      <c r="X162" s="53" t="str">
        <f>IFERROR(
IF(tbl_abs[[#This Row],[Distance from Residence to Work]]&lt;=5,"0–5",
IF(tbl_abs[[#This Row],[Distance from Residence to Work]]&lt;=10,"6–10",
IF(tbl_abs[[#This Row],[Distance from Residence to Work]]&lt;=20,"11–20",
"21+"))),"")</f>
        <v>21+</v>
      </c>
      <c r="Y162" s="53" t="str">
        <f>IFERROR(
IF(tbl_abs[[#This Row],[Body Mass Index]]&lt;18.5,"Underweight",
IF(tbl_abs[[#This Row],[Body Mass Index]]&lt;25,"Normal",
IF(tbl_abs[[#This Row],[Body Mass Index]]&lt;30,"Overweight",
"Obese"))),"")</f>
        <v>Normal</v>
      </c>
      <c r="Z162" s="53" t="str">
        <f>IFERROR(
IF(tbl_abs[[#This Row],[Absenteeism time in hours]]&lt;=2,"0–2",
IF(tbl_abs[[#This Row],[Absenteeism time in hours]]&lt;=8,"3–8",
IF(tbl_abs[[#This Row],[Absenteeism time in hours]]&lt;=16,"9–16",
"17+"))),"")</f>
        <v>3–8</v>
      </c>
    </row>
    <row r="163" spans="1:26" ht="15" customHeight="1" x14ac:dyDescent="0.3">
      <c r="A163">
        <v>23</v>
      </c>
      <c r="B163">
        <v>22</v>
      </c>
      <c r="C163" s="1">
        <v>3</v>
      </c>
      <c r="D163">
        <v>3</v>
      </c>
      <c r="E163">
        <v>2</v>
      </c>
      <c r="F163">
        <v>378</v>
      </c>
      <c r="G163" s="1">
        <v>49</v>
      </c>
      <c r="H163">
        <v>11</v>
      </c>
      <c r="I163" s="1">
        <v>36</v>
      </c>
      <c r="J163" s="2">
        <v>244387</v>
      </c>
      <c r="K163">
        <v>98</v>
      </c>
      <c r="L163">
        <v>0</v>
      </c>
      <c r="M163">
        <v>1</v>
      </c>
      <c r="N163">
        <v>2</v>
      </c>
      <c r="O163">
        <v>0</v>
      </c>
      <c r="P163">
        <v>1</v>
      </c>
      <c r="Q163">
        <v>4</v>
      </c>
      <c r="R163">
        <v>65</v>
      </c>
      <c r="S163">
        <v>174</v>
      </c>
      <c r="T163">
        <v>21</v>
      </c>
      <c r="V163" s="53" t="str">
        <f>IFERROR(
IF(tbl_abs[[#This Row],[Month of absence]]=0,"Unknown",
CHOOSE(tbl_abs[[#This Row],[Month of absence]],
"Jan","Feb","Mar","Apr","May","Jun","Jul","Aug","Sep","Oct","Nov","Dec")),"")</f>
        <v>Mar</v>
      </c>
      <c r="W163" s="53" t="str">
        <f>IFERROR(
IF(tbl_abs[[#This Row],[Age]]&lt;30,"&lt;30",
IF(tbl_abs[[#This Row],[Age]]&lt;40,"30–39",
IF(tbl_abs[[#This Row],[Age]]&lt;50,"40–49",
IF(tbl_abs[[#This Row],[Age]]&lt;60,"50–59",
"60+")))),"")</f>
        <v>30–39</v>
      </c>
      <c r="X163" s="53" t="str">
        <f>IFERROR(
IF(tbl_abs[[#This Row],[Distance from Residence to Work]]&lt;=5,"0–5",
IF(tbl_abs[[#This Row],[Distance from Residence to Work]]&lt;=10,"6–10",
IF(tbl_abs[[#This Row],[Distance from Residence to Work]]&lt;=20,"11–20",
"21+"))),"")</f>
        <v>21+</v>
      </c>
      <c r="Y163" s="53" t="str">
        <f>IFERROR(
IF(tbl_abs[[#This Row],[Body Mass Index]]&lt;18.5,"Underweight",
IF(tbl_abs[[#This Row],[Body Mass Index]]&lt;25,"Normal",
IF(tbl_abs[[#This Row],[Body Mass Index]]&lt;30,"Overweight",
"Obese"))),"")</f>
        <v>Normal</v>
      </c>
      <c r="Z163" s="53" t="str">
        <f>IFERROR(
IF(tbl_abs[[#This Row],[Absenteeism time in hours]]&lt;=2,"0–2",
IF(tbl_abs[[#This Row],[Absenteeism time in hours]]&lt;=8,"3–8",
IF(tbl_abs[[#This Row],[Absenteeism time in hours]]&lt;=16,"9–16",
"17+"))),"")</f>
        <v>0–2</v>
      </c>
    </row>
    <row r="164" spans="1:26" ht="15" customHeight="1" x14ac:dyDescent="0.3">
      <c r="A164">
        <v>3</v>
      </c>
      <c r="B164">
        <v>28</v>
      </c>
      <c r="C164" s="1">
        <v>3</v>
      </c>
      <c r="D164">
        <v>2</v>
      </c>
      <c r="E164">
        <v>2</v>
      </c>
      <c r="F164">
        <v>179</v>
      </c>
      <c r="G164" s="1">
        <v>51</v>
      </c>
      <c r="H164">
        <v>18</v>
      </c>
      <c r="I164" s="1">
        <v>38</v>
      </c>
      <c r="J164" s="2">
        <v>244387</v>
      </c>
      <c r="K164">
        <v>98</v>
      </c>
      <c r="L164">
        <v>0</v>
      </c>
      <c r="M164">
        <v>1</v>
      </c>
      <c r="N164">
        <v>0</v>
      </c>
      <c r="O164">
        <v>1</v>
      </c>
      <c r="P164">
        <v>0</v>
      </c>
      <c r="Q164">
        <v>0</v>
      </c>
      <c r="R164">
        <v>89</v>
      </c>
      <c r="S164">
        <v>170</v>
      </c>
      <c r="T164">
        <v>31</v>
      </c>
      <c r="U164">
        <v>16</v>
      </c>
      <c r="V164" s="53" t="str">
        <f>IFERROR(
IF(tbl_abs[[#This Row],[Month of absence]]=0,"Unknown",
CHOOSE(tbl_abs[[#This Row],[Month of absence]],
"Jan","Feb","Mar","Apr","May","Jun","Jul","Aug","Sep","Oct","Nov","Dec")),"")</f>
        <v>Mar</v>
      </c>
      <c r="W164" s="53" t="str">
        <f>IFERROR(
IF(tbl_abs[[#This Row],[Age]]&lt;30,"&lt;30",
IF(tbl_abs[[#This Row],[Age]]&lt;40,"30–39",
IF(tbl_abs[[#This Row],[Age]]&lt;50,"40–49",
IF(tbl_abs[[#This Row],[Age]]&lt;60,"50–59",
"60+")))),"")</f>
        <v>30–39</v>
      </c>
      <c r="X164" s="53" t="str">
        <f>IFERROR(
IF(tbl_abs[[#This Row],[Distance from Residence to Work]]&lt;=5,"0–5",
IF(tbl_abs[[#This Row],[Distance from Residence to Work]]&lt;=10,"6–10",
IF(tbl_abs[[#This Row],[Distance from Residence to Work]]&lt;=20,"11–20",
"21+"))),"")</f>
        <v>21+</v>
      </c>
      <c r="Y164" s="53" t="str">
        <f>IFERROR(
IF(tbl_abs[[#This Row],[Body Mass Index]]&lt;18.5,"Underweight",
IF(tbl_abs[[#This Row],[Body Mass Index]]&lt;25,"Normal",
IF(tbl_abs[[#This Row],[Body Mass Index]]&lt;30,"Overweight",
"Obese"))),"")</f>
        <v>Obese</v>
      </c>
      <c r="Z164" s="53" t="str">
        <f>IFERROR(
IF(tbl_abs[[#This Row],[Absenteeism time in hours]]&lt;=2,"0–2",
IF(tbl_abs[[#This Row],[Absenteeism time in hours]]&lt;=8,"3–8",
IF(tbl_abs[[#This Row],[Absenteeism time in hours]]&lt;=16,"9–16",
"17+"))),"")</f>
        <v>9–16</v>
      </c>
    </row>
    <row r="165" spans="1:26" ht="15" customHeight="1" x14ac:dyDescent="0.3">
      <c r="A165">
        <v>10</v>
      </c>
      <c r="B165">
        <v>22</v>
      </c>
      <c r="C165" s="1">
        <v>3</v>
      </c>
      <c r="D165">
        <v>4</v>
      </c>
      <c r="E165">
        <v>2</v>
      </c>
      <c r="F165">
        <v>361</v>
      </c>
      <c r="G165" s="1">
        <v>52</v>
      </c>
      <c r="H165">
        <v>3</v>
      </c>
      <c r="I165" s="1">
        <v>28</v>
      </c>
      <c r="J165" s="2">
        <v>244387</v>
      </c>
      <c r="K165">
        <v>98</v>
      </c>
      <c r="L165">
        <v>0</v>
      </c>
      <c r="M165">
        <v>1</v>
      </c>
      <c r="N165">
        <v>1</v>
      </c>
      <c r="O165">
        <v>1</v>
      </c>
      <c r="P165">
        <v>0</v>
      </c>
      <c r="Q165">
        <v>4</v>
      </c>
      <c r="R165">
        <v>80</v>
      </c>
      <c r="S165">
        <v>172</v>
      </c>
      <c r="T165">
        <v>27</v>
      </c>
      <c r="V165" s="53" t="str">
        <f>IFERROR(
IF(tbl_abs[[#This Row],[Month of absence]]=0,"Unknown",
CHOOSE(tbl_abs[[#This Row],[Month of absence]],
"Jan","Feb","Mar","Apr","May","Jun","Jul","Aug","Sep","Oct","Nov","Dec")),"")</f>
        <v>Mar</v>
      </c>
      <c r="W165" s="53" t="str">
        <f>IFERROR(
IF(tbl_abs[[#This Row],[Age]]&lt;30,"&lt;30",
IF(tbl_abs[[#This Row],[Age]]&lt;40,"30–39",
IF(tbl_abs[[#This Row],[Age]]&lt;50,"40–49",
IF(tbl_abs[[#This Row],[Age]]&lt;60,"50–59",
"60+")))),"")</f>
        <v>&lt;30</v>
      </c>
      <c r="X165" s="53" t="str">
        <f>IFERROR(
IF(tbl_abs[[#This Row],[Distance from Residence to Work]]&lt;=5,"0–5",
IF(tbl_abs[[#This Row],[Distance from Residence to Work]]&lt;=10,"6–10",
IF(tbl_abs[[#This Row],[Distance from Residence to Work]]&lt;=20,"11–20",
"21+"))),"")</f>
        <v>21+</v>
      </c>
      <c r="Y165" s="53" t="str">
        <f>IFERROR(
IF(tbl_abs[[#This Row],[Body Mass Index]]&lt;18.5,"Underweight",
IF(tbl_abs[[#This Row],[Body Mass Index]]&lt;25,"Normal",
IF(tbl_abs[[#This Row],[Body Mass Index]]&lt;30,"Overweight",
"Obese"))),"")</f>
        <v>Overweight</v>
      </c>
      <c r="Z165" s="53" t="str">
        <f>IFERROR(
IF(tbl_abs[[#This Row],[Absenteeism time in hours]]&lt;=2,"0–2",
IF(tbl_abs[[#This Row],[Absenteeism time in hours]]&lt;=8,"3–8",
IF(tbl_abs[[#This Row],[Absenteeism time in hours]]&lt;=16,"9–16",
"17+"))),"")</f>
        <v>0–2</v>
      </c>
    </row>
    <row r="166" spans="1:26" ht="15" customHeight="1" x14ac:dyDescent="0.3">
      <c r="A166">
        <v>13</v>
      </c>
      <c r="B166">
        <v>0</v>
      </c>
      <c r="C166" s="1">
        <v>3</v>
      </c>
      <c r="D166">
        <v>4</v>
      </c>
      <c r="E166">
        <v>2</v>
      </c>
      <c r="F166">
        <v>369</v>
      </c>
      <c r="G166" s="1">
        <v>17</v>
      </c>
      <c r="H166">
        <v>12</v>
      </c>
      <c r="I166" s="1">
        <v>31</v>
      </c>
      <c r="J166" s="2">
        <v>244387</v>
      </c>
      <c r="K166">
        <v>98</v>
      </c>
      <c r="L166">
        <v>1</v>
      </c>
      <c r="M166">
        <v>1</v>
      </c>
      <c r="N166">
        <v>3</v>
      </c>
      <c r="O166">
        <v>1</v>
      </c>
      <c r="P166">
        <v>0</v>
      </c>
      <c r="Q166">
        <v>0</v>
      </c>
      <c r="R166">
        <v>70</v>
      </c>
      <c r="S166">
        <v>169</v>
      </c>
      <c r="T166">
        <v>25</v>
      </c>
      <c r="U166">
        <v>0</v>
      </c>
      <c r="V166" s="53" t="str">
        <f>IFERROR(
IF(tbl_abs[[#This Row],[Month of absence]]=0,"Unknown",
CHOOSE(tbl_abs[[#This Row],[Month of absence]],
"Jan","Feb","Mar","Apr","May","Jun","Jul","Aug","Sep","Oct","Nov","Dec")),"")</f>
        <v>Mar</v>
      </c>
      <c r="W166" s="53" t="str">
        <f>IFERROR(
IF(tbl_abs[[#This Row],[Age]]&lt;30,"&lt;30",
IF(tbl_abs[[#This Row],[Age]]&lt;40,"30–39",
IF(tbl_abs[[#This Row],[Age]]&lt;50,"40–49",
IF(tbl_abs[[#This Row],[Age]]&lt;60,"50–59",
"60+")))),"")</f>
        <v>30–39</v>
      </c>
      <c r="X166" s="53" t="str">
        <f>IFERROR(
IF(tbl_abs[[#This Row],[Distance from Residence to Work]]&lt;=5,"0–5",
IF(tbl_abs[[#This Row],[Distance from Residence to Work]]&lt;=10,"6–10",
IF(tbl_abs[[#This Row],[Distance from Residence to Work]]&lt;=20,"11–20",
"21+"))),"")</f>
        <v>11–20</v>
      </c>
      <c r="Y166" s="53" t="str">
        <f>IFERROR(
IF(tbl_abs[[#This Row],[Body Mass Index]]&lt;18.5,"Underweight",
IF(tbl_abs[[#This Row],[Body Mass Index]]&lt;25,"Normal",
IF(tbl_abs[[#This Row],[Body Mass Index]]&lt;30,"Overweight",
"Obese"))),"")</f>
        <v>Overweight</v>
      </c>
      <c r="Z166" s="53" t="str">
        <f>IFERROR(
IF(tbl_abs[[#This Row],[Absenteeism time in hours]]&lt;=2,"0–2",
IF(tbl_abs[[#This Row],[Absenteeism time in hours]]&lt;=8,"3–8",
IF(tbl_abs[[#This Row],[Absenteeism time in hours]]&lt;=16,"9–16",
"17+"))),"")</f>
        <v>0–2</v>
      </c>
    </row>
    <row r="167" spans="1:26" ht="15" customHeight="1" x14ac:dyDescent="0.3">
      <c r="A167">
        <v>1</v>
      </c>
      <c r="B167">
        <v>21</v>
      </c>
      <c r="C167" s="1">
        <v>3</v>
      </c>
      <c r="D167">
        <v>5</v>
      </c>
      <c r="E167">
        <v>2</v>
      </c>
      <c r="F167">
        <v>235</v>
      </c>
      <c r="G167" s="1">
        <v>11</v>
      </c>
      <c r="H167">
        <v>14</v>
      </c>
      <c r="I167" s="1">
        <v>37</v>
      </c>
      <c r="J167" s="2">
        <v>244387</v>
      </c>
      <c r="K167">
        <v>98</v>
      </c>
      <c r="L167">
        <v>0</v>
      </c>
      <c r="M167">
        <v>3</v>
      </c>
      <c r="N167">
        <v>1</v>
      </c>
      <c r="O167">
        <v>0</v>
      </c>
      <c r="P167">
        <v>0</v>
      </c>
      <c r="Q167">
        <v>1</v>
      </c>
      <c r="R167">
        <v>88</v>
      </c>
      <c r="S167">
        <v>172</v>
      </c>
      <c r="T167">
        <v>29</v>
      </c>
      <c r="U167">
        <v>8</v>
      </c>
      <c r="V167" s="53" t="str">
        <f>IFERROR(
IF(tbl_abs[[#This Row],[Month of absence]]=0,"Unknown",
CHOOSE(tbl_abs[[#This Row],[Month of absence]],
"Jan","Feb","Mar","Apr","May","Jun","Jul","Aug","Sep","Oct","Nov","Dec")),"")</f>
        <v>Mar</v>
      </c>
      <c r="W167" s="53" t="str">
        <f>IFERROR(
IF(tbl_abs[[#This Row],[Age]]&lt;30,"&lt;30",
IF(tbl_abs[[#This Row],[Age]]&lt;40,"30–39",
IF(tbl_abs[[#This Row],[Age]]&lt;50,"40–49",
IF(tbl_abs[[#This Row],[Age]]&lt;60,"50–59",
"60+")))),"")</f>
        <v>30–39</v>
      </c>
      <c r="X167" s="53" t="str">
        <f>IFERROR(
IF(tbl_abs[[#This Row],[Distance from Residence to Work]]&lt;=5,"0–5",
IF(tbl_abs[[#This Row],[Distance from Residence to Work]]&lt;=10,"6–10",
IF(tbl_abs[[#This Row],[Distance from Residence to Work]]&lt;=20,"11–20",
"21+"))),"")</f>
        <v>11–20</v>
      </c>
      <c r="Y167" s="53" t="str">
        <f>IFERROR(
IF(tbl_abs[[#This Row],[Body Mass Index]]&lt;18.5,"Underweight",
IF(tbl_abs[[#This Row],[Body Mass Index]]&lt;25,"Normal",
IF(tbl_abs[[#This Row],[Body Mass Index]]&lt;30,"Overweight",
"Obese"))),"")</f>
        <v>Overweight</v>
      </c>
      <c r="Z167" s="53" t="str">
        <f>IFERROR(
IF(tbl_abs[[#This Row],[Absenteeism time in hours]]&lt;=2,"0–2",
IF(tbl_abs[[#This Row],[Absenteeism time in hours]]&lt;=8,"3–8",
IF(tbl_abs[[#This Row],[Absenteeism time in hours]]&lt;=16,"9–16",
"17+"))),"")</f>
        <v>3–8</v>
      </c>
    </row>
    <row r="168" spans="1:26" ht="15" customHeight="1" x14ac:dyDescent="0.3">
      <c r="A168">
        <v>36</v>
      </c>
      <c r="B168">
        <v>23</v>
      </c>
      <c r="C168" s="1">
        <v>3</v>
      </c>
      <c r="D168">
        <v>6</v>
      </c>
      <c r="E168">
        <v>3</v>
      </c>
      <c r="F168">
        <v>118</v>
      </c>
      <c r="G168" s="1">
        <v>13</v>
      </c>
      <c r="H168">
        <v>18</v>
      </c>
      <c r="I168" s="1">
        <v>50</v>
      </c>
      <c r="J168" s="2">
        <v>244387</v>
      </c>
      <c r="K168">
        <v>98</v>
      </c>
      <c r="L168">
        <v>0</v>
      </c>
      <c r="M168">
        <v>1</v>
      </c>
      <c r="N168">
        <v>1</v>
      </c>
      <c r="O168">
        <v>1</v>
      </c>
      <c r="P168">
        <v>0</v>
      </c>
      <c r="Q168">
        <v>0</v>
      </c>
      <c r="R168">
        <v>98</v>
      </c>
      <c r="S168">
        <v>178</v>
      </c>
      <c r="T168">
        <v>31</v>
      </c>
      <c r="U168">
        <v>2</v>
      </c>
      <c r="V168" s="53" t="str">
        <f>IFERROR(
IF(tbl_abs[[#This Row],[Month of absence]]=0,"Unknown",
CHOOSE(tbl_abs[[#This Row],[Month of absence]],
"Jan","Feb","Mar","Apr","May","Jun","Jul","Aug","Sep","Oct","Nov","Dec")),"")</f>
        <v>Mar</v>
      </c>
      <c r="W168" s="53" t="str">
        <f>IFERROR(
IF(tbl_abs[[#This Row],[Age]]&lt;30,"&lt;30",
IF(tbl_abs[[#This Row],[Age]]&lt;40,"30–39",
IF(tbl_abs[[#This Row],[Age]]&lt;50,"40–49",
IF(tbl_abs[[#This Row],[Age]]&lt;60,"50–59",
"60+")))),"")</f>
        <v>50–59</v>
      </c>
      <c r="X168" s="53" t="str">
        <f>IFERROR(
IF(tbl_abs[[#This Row],[Distance from Residence to Work]]&lt;=5,"0–5",
IF(tbl_abs[[#This Row],[Distance from Residence to Work]]&lt;=10,"6–10",
IF(tbl_abs[[#This Row],[Distance from Residence to Work]]&lt;=20,"11–20",
"21+"))),"")</f>
        <v>11–20</v>
      </c>
      <c r="Y168" s="53" t="str">
        <f>IFERROR(
IF(tbl_abs[[#This Row],[Body Mass Index]]&lt;18.5,"Underweight",
IF(tbl_abs[[#This Row],[Body Mass Index]]&lt;25,"Normal",
IF(tbl_abs[[#This Row],[Body Mass Index]]&lt;30,"Overweight",
"Obese"))),"")</f>
        <v>Obese</v>
      </c>
      <c r="Z168" s="53" t="str">
        <f>IFERROR(
IF(tbl_abs[[#This Row],[Absenteeism time in hours]]&lt;=2,"0–2",
IF(tbl_abs[[#This Row],[Absenteeism time in hours]]&lt;=8,"3–8",
IF(tbl_abs[[#This Row],[Absenteeism time in hours]]&lt;=16,"9–16",
"17+"))),"")</f>
        <v>0–2</v>
      </c>
    </row>
    <row r="169" spans="1:26" ht="15" customHeight="1" x14ac:dyDescent="0.3">
      <c r="A169">
        <v>36</v>
      </c>
      <c r="B169">
        <v>14</v>
      </c>
      <c r="C169" s="1">
        <v>3</v>
      </c>
      <c r="D169">
        <v>3</v>
      </c>
      <c r="E169">
        <v>3</v>
      </c>
      <c r="F169">
        <v>118</v>
      </c>
      <c r="G169" s="1">
        <v>13</v>
      </c>
      <c r="H169">
        <v>18</v>
      </c>
      <c r="I169" s="1">
        <v>50</v>
      </c>
      <c r="J169" s="2">
        <v>244387</v>
      </c>
      <c r="K169">
        <v>98</v>
      </c>
      <c r="L169">
        <v>0</v>
      </c>
      <c r="M169">
        <v>1</v>
      </c>
      <c r="N169">
        <v>1</v>
      </c>
      <c r="O169">
        <v>1</v>
      </c>
      <c r="P169">
        <v>0</v>
      </c>
      <c r="Q169">
        <v>0</v>
      </c>
      <c r="R169">
        <v>98</v>
      </c>
      <c r="S169">
        <v>178</v>
      </c>
      <c r="T169">
        <v>31</v>
      </c>
      <c r="U169">
        <v>3</v>
      </c>
      <c r="V169" s="53" t="str">
        <f>IFERROR(
IF(tbl_abs[[#This Row],[Month of absence]]=0,"Unknown",
CHOOSE(tbl_abs[[#This Row],[Month of absence]],
"Jan","Feb","Mar","Apr","May","Jun","Jul","Aug","Sep","Oct","Nov","Dec")),"")</f>
        <v>Mar</v>
      </c>
      <c r="W169" s="53" t="str">
        <f>IFERROR(
IF(tbl_abs[[#This Row],[Age]]&lt;30,"&lt;30",
IF(tbl_abs[[#This Row],[Age]]&lt;40,"30–39",
IF(tbl_abs[[#This Row],[Age]]&lt;50,"40–49",
IF(tbl_abs[[#This Row],[Age]]&lt;60,"50–59",
"60+")))),"")</f>
        <v>50–59</v>
      </c>
      <c r="X169" s="53" t="str">
        <f>IFERROR(
IF(tbl_abs[[#This Row],[Distance from Residence to Work]]&lt;=5,"0–5",
IF(tbl_abs[[#This Row],[Distance from Residence to Work]]&lt;=10,"6–10",
IF(tbl_abs[[#This Row],[Distance from Residence to Work]]&lt;=20,"11–20",
"21+"))),"")</f>
        <v>11–20</v>
      </c>
      <c r="Y169" s="53" t="str">
        <f>IFERROR(
IF(tbl_abs[[#This Row],[Body Mass Index]]&lt;18.5,"Underweight",
IF(tbl_abs[[#This Row],[Body Mass Index]]&lt;25,"Normal",
IF(tbl_abs[[#This Row],[Body Mass Index]]&lt;30,"Overweight",
"Obese"))),"")</f>
        <v>Obese</v>
      </c>
      <c r="Z169" s="53" t="str">
        <f>IFERROR(
IF(tbl_abs[[#This Row],[Absenteeism time in hours]]&lt;=2,"0–2",
IF(tbl_abs[[#This Row],[Absenteeism time in hours]]&lt;=8,"3–8",
IF(tbl_abs[[#This Row],[Absenteeism time in hours]]&lt;=16,"9–16",
"17+"))),"")</f>
        <v>3–8</v>
      </c>
    </row>
    <row r="170" spans="1:26" ht="15" customHeight="1" x14ac:dyDescent="0.3">
      <c r="A170">
        <v>36</v>
      </c>
      <c r="B170">
        <v>13</v>
      </c>
      <c r="C170" s="1">
        <v>3</v>
      </c>
      <c r="D170">
        <v>4</v>
      </c>
      <c r="E170">
        <v>3</v>
      </c>
      <c r="F170">
        <v>118</v>
      </c>
      <c r="G170" s="1">
        <v>13</v>
      </c>
      <c r="H170">
        <v>18</v>
      </c>
      <c r="I170" s="1">
        <v>50</v>
      </c>
      <c r="J170" s="2">
        <v>244387</v>
      </c>
      <c r="K170">
        <v>98</v>
      </c>
      <c r="L170">
        <v>0</v>
      </c>
      <c r="M170">
        <v>1</v>
      </c>
      <c r="N170">
        <v>1</v>
      </c>
      <c r="O170">
        <v>1</v>
      </c>
      <c r="P170">
        <v>0</v>
      </c>
      <c r="Q170">
        <v>0</v>
      </c>
      <c r="R170">
        <v>98</v>
      </c>
      <c r="S170">
        <v>178</v>
      </c>
      <c r="T170">
        <v>31</v>
      </c>
      <c r="U170">
        <v>8</v>
      </c>
      <c r="V170" s="53" t="str">
        <f>IFERROR(
IF(tbl_abs[[#This Row],[Month of absence]]=0,"Unknown",
CHOOSE(tbl_abs[[#This Row],[Month of absence]],
"Jan","Feb","Mar","Apr","May","Jun","Jul","Aug","Sep","Oct","Nov","Dec")),"")</f>
        <v>Mar</v>
      </c>
      <c r="W170" s="53" t="str">
        <f>IFERROR(
IF(tbl_abs[[#This Row],[Age]]&lt;30,"&lt;30",
IF(tbl_abs[[#This Row],[Age]]&lt;40,"30–39",
IF(tbl_abs[[#This Row],[Age]]&lt;50,"40–49",
IF(tbl_abs[[#This Row],[Age]]&lt;60,"50–59",
"60+")))),"")</f>
        <v>50–59</v>
      </c>
      <c r="X170" s="53" t="str">
        <f>IFERROR(
IF(tbl_abs[[#This Row],[Distance from Residence to Work]]&lt;=5,"0–5",
IF(tbl_abs[[#This Row],[Distance from Residence to Work]]&lt;=10,"6–10",
IF(tbl_abs[[#This Row],[Distance from Residence to Work]]&lt;=20,"11–20",
"21+"))),"")</f>
        <v>11–20</v>
      </c>
      <c r="Y170" s="53" t="str">
        <f>IFERROR(
IF(tbl_abs[[#This Row],[Body Mass Index]]&lt;18.5,"Underweight",
IF(tbl_abs[[#This Row],[Body Mass Index]]&lt;25,"Normal",
IF(tbl_abs[[#This Row],[Body Mass Index]]&lt;30,"Overweight",
"Obese"))),"")</f>
        <v>Obese</v>
      </c>
      <c r="Z170" s="53" t="str">
        <f>IFERROR(
IF(tbl_abs[[#This Row],[Absenteeism time in hours]]&lt;=2,"0–2",
IF(tbl_abs[[#This Row],[Absenteeism time in hours]]&lt;=8,"3–8",
IF(tbl_abs[[#This Row],[Absenteeism time in hours]]&lt;=16,"9–16",
"17+"))),"")</f>
        <v>3–8</v>
      </c>
    </row>
    <row r="171" spans="1:26" ht="15" customHeight="1" x14ac:dyDescent="0.3">
      <c r="A171">
        <v>1</v>
      </c>
      <c r="B171">
        <v>0</v>
      </c>
      <c r="C171" s="1">
        <v>3</v>
      </c>
      <c r="D171">
        <v>5</v>
      </c>
      <c r="E171">
        <v>3</v>
      </c>
      <c r="F171">
        <v>235</v>
      </c>
      <c r="G171" s="1">
        <v>11</v>
      </c>
      <c r="H171">
        <v>14</v>
      </c>
      <c r="I171" s="1">
        <v>37</v>
      </c>
      <c r="J171" s="2">
        <v>244387</v>
      </c>
      <c r="K171">
        <v>98</v>
      </c>
      <c r="L171">
        <v>1</v>
      </c>
      <c r="M171">
        <v>3</v>
      </c>
      <c r="N171">
        <v>1</v>
      </c>
      <c r="O171">
        <v>0</v>
      </c>
      <c r="P171">
        <v>0</v>
      </c>
      <c r="Q171">
        <v>1</v>
      </c>
      <c r="R171">
        <v>88</v>
      </c>
      <c r="S171">
        <v>172</v>
      </c>
      <c r="T171">
        <v>29</v>
      </c>
      <c r="V171" s="53" t="str">
        <f>IFERROR(
IF(tbl_abs[[#This Row],[Month of absence]]=0,"Unknown",
CHOOSE(tbl_abs[[#This Row],[Month of absence]],
"Jan","Feb","Mar","Apr","May","Jun","Jul","Aug","Sep","Oct","Nov","Dec")),"")</f>
        <v>Mar</v>
      </c>
      <c r="W171" s="53" t="str">
        <f>IFERROR(
IF(tbl_abs[[#This Row],[Age]]&lt;30,"&lt;30",
IF(tbl_abs[[#This Row],[Age]]&lt;40,"30–39",
IF(tbl_abs[[#This Row],[Age]]&lt;50,"40–49",
IF(tbl_abs[[#This Row],[Age]]&lt;60,"50–59",
"60+")))),"")</f>
        <v>30–39</v>
      </c>
      <c r="X171" s="53" t="str">
        <f>IFERROR(
IF(tbl_abs[[#This Row],[Distance from Residence to Work]]&lt;=5,"0–5",
IF(tbl_abs[[#This Row],[Distance from Residence to Work]]&lt;=10,"6–10",
IF(tbl_abs[[#This Row],[Distance from Residence to Work]]&lt;=20,"11–20",
"21+"))),"")</f>
        <v>11–20</v>
      </c>
      <c r="Y171" s="53" t="str">
        <f>IFERROR(
IF(tbl_abs[[#This Row],[Body Mass Index]]&lt;18.5,"Underweight",
IF(tbl_abs[[#This Row],[Body Mass Index]]&lt;25,"Normal",
IF(tbl_abs[[#This Row],[Body Mass Index]]&lt;30,"Overweight",
"Obese"))),"")</f>
        <v>Overweight</v>
      </c>
      <c r="Z171" s="53" t="str">
        <f>IFERROR(
IF(tbl_abs[[#This Row],[Absenteeism time in hours]]&lt;=2,"0–2",
IF(tbl_abs[[#This Row],[Absenteeism time in hours]]&lt;=8,"3–8",
IF(tbl_abs[[#This Row],[Absenteeism time in hours]]&lt;=16,"9–16",
"17+"))),"")</f>
        <v>0–2</v>
      </c>
    </row>
    <row r="172" spans="1:26" ht="15" customHeight="1" x14ac:dyDescent="0.3">
      <c r="A172">
        <v>24</v>
      </c>
      <c r="B172">
        <v>0</v>
      </c>
      <c r="C172" s="1">
        <v>3</v>
      </c>
      <c r="D172">
        <v>5</v>
      </c>
      <c r="E172">
        <v>3</v>
      </c>
      <c r="F172">
        <v>246</v>
      </c>
      <c r="G172" s="1">
        <v>25</v>
      </c>
      <c r="H172">
        <v>16</v>
      </c>
      <c r="I172" s="1">
        <v>41</v>
      </c>
      <c r="J172" s="2">
        <v>244387</v>
      </c>
      <c r="K172">
        <v>98</v>
      </c>
      <c r="L172">
        <v>1</v>
      </c>
      <c r="M172">
        <v>1</v>
      </c>
      <c r="N172">
        <v>0</v>
      </c>
      <c r="O172">
        <v>1</v>
      </c>
      <c r="P172">
        <v>0</v>
      </c>
      <c r="Q172">
        <v>0</v>
      </c>
      <c r="R172">
        <v>67</v>
      </c>
      <c r="S172">
        <v>170</v>
      </c>
      <c r="T172">
        <v>23</v>
      </c>
      <c r="U172">
        <v>0</v>
      </c>
      <c r="V172" s="53" t="str">
        <f>IFERROR(
IF(tbl_abs[[#This Row],[Month of absence]]=0,"Unknown",
CHOOSE(tbl_abs[[#This Row],[Month of absence]],
"Jan","Feb","Mar","Apr","May","Jun","Jul","Aug","Sep","Oct","Nov","Dec")),"")</f>
        <v>Mar</v>
      </c>
      <c r="W172" s="53" t="str">
        <f>IFERROR(
IF(tbl_abs[[#This Row],[Age]]&lt;30,"&lt;30",
IF(tbl_abs[[#This Row],[Age]]&lt;40,"30–39",
IF(tbl_abs[[#This Row],[Age]]&lt;50,"40–49",
IF(tbl_abs[[#This Row],[Age]]&lt;60,"50–59",
"60+")))),"")</f>
        <v>40–49</v>
      </c>
      <c r="X172" s="53" t="str">
        <f>IFERROR(
IF(tbl_abs[[#This Row],[Distance from Residence to Work]]&lt;=5,"0–5",
IF(tbl_abs[[#This Row],[Distance from Residence to Work]]&lt;=10,"6–10",
IF(tbl_abs[[#This Row],[Distance from Residence to Work]]&lt;=20,"11–20",
"21+"))),"")</f>
        <v>21+</v>
      </c>
      <c r="Y172" s="53" t="str">
        <f>IFERROR(
IF(tbl_abs[[#This Row],[Body Mass Index]]&lt;18.5,"Underweight",
IF(tbl_abs[[#This Row],[Body Mass Index]]&lt;25,"Normal",
IF(tbl_abs[[#This Row],[Body Mass Index]]&lt;30,"Overweight",
"Obese"))),"")</f>
        <v>Normal</v>
      </c>
      <c r="Z172" s="53" t="str">
        <f>IFERROR(
IF(tbl_abs[[#This Row],[Absenteeism time in hours]]&lt;=2,"0–2",
IF(tbl_abs[[#This Row],[Absenteeism time in hours]]&lt;=8,"3–8",
IF(tbl_abs[[#This Row],[Absenteeism time in hours]]&lt;=16,"9–16",
"17+"))),"")</f>
        <v>0–2</v>
      </c>
    </row>
    <row r="173" spans="1:26" ht="15" customHeight="1" x14ac:dyDescent="0.3">
      <c r="A173">
        <v>36</v>
      </c>
      <c r="B173">
        <v>0</v>
      </c>
      <c r="C173" s="1">
        <v>3</v>
      </c>
      <c r="D173">
        <v>5</v>
      </c>
      <c r="E173">
        <v>3</v>
      </c>
      <c r="F173">
        <v>118</v>
      </c>
      <c r="G173" s="1">
        <v>13</v>
      </c>
      <c r="H173">
        <v>18</v>
      </c>
      <c r="I173" s="1">
        <v>50</v>
      </c>
      <c r="J173" s="2">
        <v>244387</v>
      </c>
      <c r="K173">
        <v>98</v>
      </c>
      <c r="L173">
        <v>1</v>
      </c>
      <c r="M173">
        <v>1</v>
      </c>
      <c r="N173">
        <v>1</v>
      </c>
      <c r="O173">
        <v>1</v>
      </c>
      <c r="P173">
        <v>0</v>
      </c>
      <c r="Q173">
        <v>0</v>
      </c>
      <c r="R173">
        <v>98</v>
      </c>
      <c r="S173">
        <v>178</v>
      </c>
      <c r="T173">
        <v>31</v>
      </c>
      <c r="U173">
        <v>0</v>
      </c>
      <c r="V173" s="53" t="str">
        <f>IFERROR(
IF(tbl_abs[[#This Row],[Month of absence]]=0,"Unknown",
CHOOSE(tbl_abs[[#This Row],[Month of absence]],
"Jan","Feb","Mar","Apr","May","Jun","Jul","Aug","Sep","Oct","Nov","Dec")),"")</f>
        <v>Mar</v>
      </c>
      <c r="W173" s="53" t="str">
        <f>IFERROR(
IF(tbl_abs[[#This Row],[Age]]&lt;30,"&lt;30",
IF(tbl_abs[[#This Row],[Age]]&lt;40,"30–39",
IF(tbl_abs[[#This Row],[Age]]&lt;50,"40–49",
IF(tbl_abs[[#This Row],[Age]]&lt;60,"50–59",
"60+")))),"")</f>
        <v>50–59</v>
      </c>
      <c r="X173" s="53" t="str">
        <f>IFERROR(
IF(tbl_abs[[#This Row],[Distance from Residence to Work]]&lt;=5,"0–5",
IF(tbl_abs[[#This Row],[Distance from Residence to Work]]&lt;=10,"6–10",
IF(tbl_abs[[#This Row],[Distance from Residence to Work]]&lt;=20,"11–20",
"21+"))),"")</f>
        <v>11–20</v>
      </c>
      <c r="Y173" s="53" t="str">
        <f>IFERROR(
IF(tbl_abs[[#This Row],[Body Mass Index]]&lt;18.5,"Underweight",
IF(tbl_abs[[#This Row],[Body Mass Index]]&lt;25,"Normal",
IF(tbl_abs[[#This Row],[Body Mass Index]]&lt;30,"Overweight",
"Obese"))),"")</f>
        <v>Obese</v>
      </c>
      <c r="Z173" s="53" t="str">
        <f>IFERROR(
IF(tbl_abs[[#This Row],[Absenteeism time in hours]]&lt;=2,"0–2",
IF(tbl_abs[[#This Row],[Absenteeism time in hours]]&lt;=8,"3–8",
IF(tbl_abs[[#This Row],[Absenteeism time in hours]]&lt;=16,"9–16",
"17+"))),"")</f>
        <v>0–2</v>
      </c>
    </row>
    <row r="174" spans="1:26" ht="15" customHeight="1" x14ac:dyDescent="0.3">
      <c r="A174">
        <v>3</v>
      </c>
      <c r="B174">
        <v>28</v>
      </c>
      <c r="C174" s="1">
        <v>3</v>
      </c>
      <c r="D174">
        <v>6</v>
      </c>
      <c r="E174">
        <v>3</v>
      </c>
      <c r="F174">
        <v>179</v>
      </c>
      <c r="G174" s="1">
        <v>51</v>
      </c>
      <c r="H174">
        <v>18</v>
      </c>
      <c r="I174" s="1">
        <v>38</v>
      </c>
      <c r="J174" s="2">
        <v>244387</v>
      </c>
      <c r="K174">
        <v>98</v>
      </c>
      <c r="L174">
        <v>0</v>
      </c>
      <c r="M174">
        <v>1</v>
      </c>
      <c r="N174">
        <v>0</v>
      </c>
      <c r="O174">
        <v>1</v>
      </c>
      <c r="P174">
        <v>0</v>
      </c>
      <c r="Q174">
        <v>0</v>
      </c>
      <c r="R174">
        <v>89</v>
      </c>
      <c r="S174">
        <v>170</v>
      </c>
      <c r="T174">
        <v>31</v>
      </c>
      <c r="U174">
        <v>8</v>
      </c>
      <c r="V174" s="53" t="str">
        <f>IFERROR(
IF(tbl_abs[[#This Row],[Month of absence]]=0,"Unknown",
CHOOSE(tbl_abs[[#This Row],[Month of absence]],
"Jan","Feb","Mar","Apr","May","Jun","Jul","Aug","Sep","Oct","Nov","Dec")),"")</f>
        <v>Mar</v>
      </c>
      <c r="W174" s="53" t="str">
        <f>IFERROR(
IF(tbl_abs[[#This Row],[Age]]&lt;30,"&lt;30",
IF(tbl_abs[[#This Row],[Age]]&lt;40,"30–39",
IF(tbl_abs[[#This Row],[Age]]&lt;50,"40–49",
IF(tbl_abs[[#This Row],[Age]]&lt;60,"50–59",
"60+")))),"")</f>
        <v>30–39</v>
      </c>
      <c r="X174" s="53" t="str">
        <f>IFERROR(
IF(tbl_abs[[#This Row],[Distance from Residence to Work]]&lt;=5,"0–5",
IF(tbl_abs[[#This Row],[Distance from Residence to Work]]&lt;=10,"6–10",
IF(tbl_abs[[#This Row],[Distance from Residence to Work]]&lt;=20,"11–20",
"21+"))),"")</f>
        <v>21+</v>
      </c>
      <c r="Y174" s="53" t="str">
        <f>IFERROR(
IF(tbl_abs[[#This Row],[Body Mass Index]]&lt;18.5,"Underweight",
IF(tbl_abs[[#This Row],[Body Mass Index]]&lt;25,"Normal",
IF(tbl_abs[[#This Row],[Body Mass Index]]&lt;30,"Overweight",
"Obese"))),"")</f>
        <v>Obese</v>
      </c>
      <c r="Z174" s="53" t="str">
        <f>IFERROR(
IF(tbl_abs[[#This Row],[Absenteeism time in hours]]&lt;=2,"0–2",
IF(tbl_abs[[#This Row],[Absenteeism time in hours]]&lt;=8,"3–8",
IF(tbl_abs[[#This Row],[Absenteeism time in hours]]&lt;=16,"9–16",
"17+"))),"")</f>
        <v>3–8</v>
      </c>
    </row>
    <row r="175" spans="1:26" ht="15" customHeight="1" x14ac:dyDescent="0.3">
      <c r="A175">
        <v>11</v>
      </c>
      <c r="B175">
        <v>22</v>
      </c>
      <c r="C175" s="1">
        <v>3</v>
      </c>
      <c r="D175">
        <v>6</v>
      </c>
      <c r="E175">
        <v>3</v>
      </c>
      <c r="F175">
        <v>289</v>
      </c>
      <c r="G175" s="1">
        <v>36</v>
      </c>
      <c r="H175">
        <v>13</v>
      </c>
      <c r="I175" s="1">
        <v>33</v>
      </c>
      <c r="J175" s="2">
        <v>244387</v>
      </c>
      <c r="K175">
        <v>98</v>
      </c>
      <c r="L175">
        <v>0</v>
      </c>
      <c r="M175">
        <v>1</v>
      </c>
      <c r="N175">
        <v>2</v>
      </c>
      <c r="O175">
        <v>1</v>
      </c>
      <c r="P175">
        <v>0</v>
      </c>
      <c r="Q175">
        <v>1</v>
      </c>
      <c r="R175">
        <v>90</v>
      </c>
      <c r="S175">
        <v>172</v>
      </c>
      <c r="T175">
        <v>30</v>
      </c>
      <c r="U175">
        <v>8</v>
      </c>
      <c r="V175" s="53" t="str">
        <f>IFERROR(
IF(tbl_abs[[#This Row],[Month of absence]]=0,"Unknown",
CHOOSE(tbl_abs[[#This Row],[Month of absence]],
"Jan","Feb","Mar","Apr","May","Jun","Jul","Aug","Sep","Oct","Nov","Dec")),"")</f>
        <v>Mar</v>
      </c>
      <c r="W175" s="53" t="str">
        <f>IFERROR(
IF(tbl_abs[[#This Row],[Age]]&lt;30,"&lt;30",
IF(tbl_abs[[#This Row],[Age]]&lt;40,"30–39",
IF(tbl_abs[[#This Row],[Age]]&lt;50,"40–49",
IF(tbl_abs[[#This Row],[Age]]&lt;60,"50–59",
"60+")))),"")</f>
        <v>30–39</v>
      </c>
      <c r="X175" s="53" t="str">
        <f>IFERROR(
IF(tbl_abs[[#This Row],[Distance from Residence to Work]]&lt;=5,"0–5",
IF(tbl_abs[[#This Row],[Distance from Residence to Work]]&lt;=10,"6–10",
IF(tbl_abs[[#This Row],[Distance from Residence to Work]]&lt;=20,"11–20",
"21+"))),"")</f>
        <v>21+</v>
      </c>
      <c r="Y175" s="53" t="str">
        <f>IFERROR(
IF(tbl_abs[[#This Row],[Body Mass Index]]&lt;18.5,"Underweight",
IF(tbl_abs[[#This Row],[Body Mass Index]]&lt;25,"Normal",
IF(tbl_abs[[#This Row],[Body Mass Index]]&lt;30,"Overweight",
"Obese"))),"")</f>
        <v>Obese</v>
      </c>
      <c r="Z175" s="53" t="str">
        <f>IFERROR(
IF(tbl_abs[[#This Row],[Absenteeism time in hours]]&lt;=2,"0–2",
IF(tbl_abs[[#This Row],[Absenteeism time in hours]]&lt;=8,"3–8",
IF(tbl_abs[[#This Row],[Absenteeism time in hours]]&lt;=16,"9–16",
"17+"))),"")</f>
        <v>3–8</v>
      </c>
    </row>
    <row r="176" spans="1:26" ht="15" customHeight="1" x14ac:dyDescent="0.3">
      <c r="A176">
        <v>20</v>
      </c>
      <c r="B176">
        <v>19</v>
      </c>
      <c r="C176" s="1">
        <v>3</v>
      </c>
      <c r="D176">
        <v>2</v>
      </c>
      <c r="E176">
        <v>3</v>
      </c>
      <c r="F176">
        <v>260</v>
      </c>
      <c r="G176" s="1">
        <v>50</v>
      </c>
      <c r="H176">
        <v>11</v>
      </c>
      <c r="I176" s="1">
        <v>36</v>
      </c>
      <c r="J176" s="2">
        <v>244387</v>
      </c>
      <c r="K176">
        <v>98</v>
      </c>
      <c r="L176">
        <v>0</v>
      </c>
      <c r="M176">
        <v>1</v>
      </c>
      <c r="N176">
        <v>4</v>
      </c>
      <c r="O176">
        <v>1</v>
      </c>
      <c r="P176">
        <v>0</v>
      </c>
      <c r="Q176">
        <v>0</v>
      </c>
      <c r="R176">
        <v>65</v>
      </c>
      <c r="S176">
        <v>168</v>
      </c>
      <c r="T176">
        <v>23</v>
      </c>
      <c r="U176">
        <v>8</v>
      </c>
      <c r="V176" s="53" t="str">
        <f>IFERROR(
IF(tbl_abs[[#This Row],[Month of absence]]=0,"Unknown",
CHOOSE(tbl_abs[[#This Row],[Month of absence]],
"Jan","Feb","Mar","Apr","May","Jun","Jul","Aug","Sep","Oct","Nov","Dec")),"")</f>
        <v>Mar</v>
      </c>
      <c r="W176" s="53" t="str">
        <f>IFERROR(
IF(tbl_abs[[#This Row],[Age]]&lt;30,"&lt;30",
IF(tbl_abs[[#This Row],[Age]]&lt;40,"30–39",
IF(tbl_abs[[#This Row],[Age]]&lt;50,"40–49",
IF(tbl_abs[[#This Row],[Age]]&lt;60,"50–59",
"60+")))),"")</f>
        <v>30–39</v>
      </c>
      <c r="X176" s="53" t="str">
        <f>IFERROR(
IF(tbl_abs[[#This Row],[Distance from Residence to Work]]&lt;=5,"0–5",
IF(tbl_abs[[#This Row],[Distance from Residence to Work]]&lt;=10,"6–10",
IF(tbl_abs[[#This Row],[Distance from Residence to Work]]&lt;=20,"11–20",
"21+"))),"")</f>
        <v>21+</v>
      </c>
      <c r="Y176" s="53" t="str">
        <f>IFERROR(
IF(tbl_abs[[#This Row],[Body Mass Index]]&lt;18.5,"Underweight",
IF(tbl_abs[[#This Row],[Body Mass Index]]&lt;25,"Normal",
IF(tbl_abs[[#This Row],[Body Mass Index]]&lt;30,"Overweight",
"Obese"))),"")</f>
        <v>Normal</v>
      </c>
      <c r="Z176" s="53" t="str">
        <f>IFERROR(
IF(tbl_abs[[#This Row],[Absenteeism time in hours]]&lt;=2,"0–2",
IF(tbl_abs[[#This Row],[Absenteeism time in hours]]&lt;=8,"3–8",
IF(tbl_abs[[#This Row],[Absenteeism time in hours]]&lt;=16,"9–16",
"17+"))),"")</f>
        <v>3–8</v>
      </c>
    </row>
    <row r="177" spans="1:26" ht="15" customHeight="1" x14ac:dyDescent="0.3">
      <c r="A177">
        <v>24</v>
      </c>
      <c r="B177">
        <v>28</v>
      </c>
      <c r="C177" s="1">
        <v>3</v>
      </c>
      <c r="D177">
        <v>3</v>
      </c>
      <c r="E177">
        <v>3</v>
      </c>
      <c r="F177">
        <v>246</v>
      </c>
      <c r="G177" s="1">
        <v>25</v>
      </c>
      <c r="H177">
        <v>16</v>
      </c>
      <c r="I177" s="1">
        <v>41</v>
      </c>
      <c r="J177" s="2">
        <v>244387</v>
      </c>
      <c r="K177">
        <v>98</v>
      </c>
      <c r="L177">
        <v>0</v>
      </c>
      <c r="M177">
        <v>1</v>
      </c>
      <c r="N177">
        <v>0</v>
      </c>
      <c r="O177">
        <v>1</v>
      </c>
      <c r="P177">
        <v>0</v>
      </c>
      <c r="Q177">
        <v>0</v>
      </c>
      <c r="R177">
        <v>67</v>
      </c>
      <c r="S177">
        <v>170</v>
      </c>
      <c r="T177">
        <v>23</v>
      </c>
      <c r="U177">
        <v>2</v>
      </c>
      <c r="V177" s="53" t="str">
        <f>IFERROR(
IF(tbl_abs[[#This Row],[Month of absence]]=0,"Unknown",
CHOOSE(tbl_abs[[#This Row],[Month of absence]],
"Jan","Feb","Mar","Apr","May","Jun","Jul","Aug","Sep","Oct","Nov","Dec")),"")</f>
        <v>Mar</v>
      </c>
      <c r="W177" s="53" t="str">
        <f>IFERROR(
IF(tbl_abs[[#This Row],[Age]]&lt;30,"&lt;30",
IF(tbl_abs[[#This Row],[Age]]&lt;40,"30–39",
IF(tbl_abs[[#This Row],[Age]]&lt;50,"40–49",
IF(tbl_abs[[#This Row],[Age]]&lt;60,"50–59",
"60+")))),"")</f>
        <v>40–49</v>
      </c>
      <c r="X177" s="53" t="str">
        <f>IFERROR(
IF(tbl_abs[[#This Row],[Distance from Residence to Work]]&lt;=5,"0–5",
IF(tbl_abs[[#This Row],[Distance from Residence to Work]]&lt;=10,"6–10",
IF(tbl_abs[[#This Row],[Distance from Residence to Work]]&lt;=20,"11–20",
"21+"))),"")</f>
        <v>21+</v>
      </c>
      <c r="Y177" s="53" t="str">
        <f>IFERROR(
IF(tbl_abs[[#This Row],[Body Mass Index]]&lt;18.5,"Underweight",
IF(tbl_abs[[#This Row],[Body Mass Index]]&lt;25,"Normal",
IF(tbl_abs[[#This Row],[Body Mass Index]]&lt;30,"Overweight",
"Obese"))),"")</f>
        <v>Normal</v>
      </c>
      <c r="Z177" s="53" t="str">
        <f>IFERROR(
IF(tbl_abs[[#This Row],[Absenteeism time in hours]]&lt;=2,"0–2",
IF(tbl_abs[[#This Row],[Absenteeism time in hours]]&lt;=8,"3–8",
IF(tbl_abs[[#This Row],[Absenteeism time in hours]]&lt;=16,"9–16",
"17+"))),"")</f>
        <v>0–2</v>
      </c>
    </row>
    <row r="178" spans="1:26" ht="15" customHeight="1" x14ac:dyDescent="0.3">
      <c r="A178">
        <v>3</v>
      </c>
      <c r="B178">
        <v>27</v>
      </c>
      <c r="C178" s="1">
        <v>3</v>
      </c>
      <c r="D178">
        <v>2</v>
      </c>
      <c r="E178">
        <v>2</v>
      </c>
      <c r="F178">
        <v>179</v>
      </c>
      <c r="G178" s="1">
        <v>51</v>
      </c>
      <c r="H178">
        <v>18</v>
      </c>
      <c r="I178" s="1">
        <v>38</v>
      </c>
      <c r="J178" s="2">
        <v>222196</v>
      </c>
      <c r="K178">
        <v>99</v>
      </c>
      <c r="L178">
        <v>0</v>
      </c>
      <c r="M178">
        <v>1</v>
      </c>
      <c r="N178">
        <v>0</v>
      </c>
      <c r="O178">
        <v>1</v>
      </c>
      <c r="P178">
        <v>0</v>
      </c>
      <c r="Q178">
        <v>0</v>
      </c>
      <c r="R178">
        <v>89</v>
      </c>
      <c r="S178">
        <v>170</v>
      </c>
      <c r="T178">
        <v>31</v>
      </c>
      <c r="U178">
        <v>2</v>
      </c>
      <c r="V178" s="53" t="str">
        <f>IFERROR(
IF(tbl_abs[[#This Row],[Month of absence]]=0,"Unknown",
CHOOSE(tbl_abs[[#This Row],[Month of absence]],
"Jan","Feb","Mar","Apr","May","Jun","Jul","Aug","Sep","Oct","Nov","Dec")),"")</f>
        <v>Mar</v>
      </c>
      <c r="W178" s="53" t="str">
        <f>IFERROR(
IF(tbl_abs[[#This Row],[Age]]&lt;30,"&lt;30",
IF(tbl_abs[[#This Row],[Age]]&lt;40,"30–39",
IF(tbl_abs[[#This Row],[Age]]&lt;50,"40–49",
IF(tbl_abs[[#This Row],[Age]]&lt;60,"50–59",
"60+")))),"")</f>
        <v>30–39</v>
      </c>
      <c r="X178" s="53" t="str">
        <f>IFERROR(
IF(tbl_abs[[#This Row],[Distance from Residence to Work]]&lt;=5,"0–5",
IF(tbl_abs[[#This Row],[Distance from Residence to Work]]&lt;=10,"6–10",
IF(tbl_abs[[#This Row],[Distance from Residence to Work]]&lt;=20,"11–20",
"21+"))),"")</f>
        <v>21+</v>
      </c>
      <c r="Y178" s="53" t="str">
        <f>IFERROR(
IF(tbl_abs[[#This Row],[Body Mass Index]]&lt;18.5,"Underweight",
IF(tbl_abs[[#This Row],[Body Mass Index]]&lt;25,"Normal",
IF(tbl_abs[[#This Row],[Body Mass Index]]&lt;30,"Overweight",
"Obese"))),"")</f>
        <v>Obese</v>
      </c>
      <c r="Z178" s="53" t="str">
        <f>IFERROR(
IF(tbl_abs[[#This Row],[Absenteeism time in hours]]&lt;=2,"0–2",
IF(tbl_abs[[#This Row],[Absenteeism time in hours]]&lt;=8,"3–8",
IF(tbl_abs[[#This Row],[Absenteeism time in hours]]&lt;=16,"9–16",
"17+"))),"")</f>
        <v>0–2</v>
      </c>
    </row>
    <row r="179" spans="1:26" ht="15" customHeight="1" x14ac:dyDescent="0.3">
      <c r="A179">
        <v>33</v>
      </c>
      <c r="B179">
        <v>23</v>
      </c>
      <c r="C179" s="1">
        <v>3</v>
      </c>
      <c r="D179">
        <v>2</v>
      </c>
      <c r="E179">
        <v>2</v>
      </c>
      <c r="F179">
        <v>248</v>
      </c>
      <c r="G179" s="1">
        <v>25</v>
      </c>
      <c r="H179">
        <v>14</v>
      </c>
      <c r="I179" s="1">
        <v>47</v>
      </c>
      <c r="J179" s="2">
        <v>222196</v>
      </c>
      <c r="K179">
        <v>99</v>
      </c>
      <c r="L179">
        <v>0</v>
      </c>
      <c r="M179">
        <v>1</v>
      </c>
      <c r="N179">
        <v>2</v>
      </c>
      <c r="O179">
        <v>0</v>
      </c>
      <c r="P179">
        <v>0</v>
      </c>
      <c r="Q179">
        <v>1</v>
      </c>
      <c r="R179">
        <v>86</v>
      </c>
      <c r="S179">
        <v>165</v>
      </c>
      <c r="T179">
        <v>32</v>
      </c>
      <c r="U179">
        <v>2</v>
      </c>
      <c r="V179" s="53" t="str">
        <f>IFERROR(
IF(tbl_abs[[#This Row],[Month of absence]]=0,"Unknown",
CHOOSE(tbl_abs[[#This Row],[Month of absence]],
"Jan","Feb","Mar","Apr","May","Jun","Jul","Aug","Sep","Oct","Nov","Dec")),"")</f>
        <v>Mar</v>
      </c>
      <c r="W179" s="53" t="str">
        <f>IFERROR(
IF(tbl_abs[[#This Row],[Age]]&lt;30,"&lt;30",
IF(tbl_abs[[#This Row],[Age]]&lt;40,"30–39",
IF(tbl_abs[[#This Row],[Age]]&lt;50,"40–49",
IF(tbl_abs[[#This Row],[Age]]&lt;60,"50–59",
"60+")))),"")</f>
        <v>40–49</v>
      </c>
      <c r="X179" s="53" t="str">
        <f>IFERROR(
IF(tbl_abs[[#This Row],[Distance from Residence to Work]]&lt;=5,"0–5",
IF(tbl_abs[[#This Row],[Distance from Residence to Work]]&lt;=10,"6–10",
IF(tbl_abs[[#This Row],[Distance from Residence to Work]]&lt;=20,"11–20",
"21+"))),"")</f>
        <v>21+</v>
      </c>
      <c r="Y179" s="53" t="str">
        <f>IFERROR(
IF(tbl_abs[[#This Row],[Body Mass Index]]&lt;18.5,"Underweight",
IF(tbl_abs[[#This Row],[Body Mass Index]]&lt;25,"Normal",
IF(tbl_abs[[#This Row],[Body Mass Index]]&lt;30,"Overweight",
"Obese"))),"")</f>
        <v>Obese</v>
      </c>
      <c r="Z179" s="53" t="str">
        <f>IFERROR(
IF(tbl_abs[[#This Row],[Absenteeism time in hours]]&lt;=2,"0–2",
IF(tbl_abs[[#This Row],[Absenteeism time in hours]]&lt;=8,"3–8",
IF(tbl_abs[[#This Row],[Absenteeism time in hours]]&lt;=16,"9–16",
"17+"))),"")</f>
        <v>0–2</v>
      </c>
    </row>
    <row r="180" spans="1:26" ht="15" customHeight="1" x14ac:dyDescent="0.3">
      <c r="A180">
        <v>9</v>
      </c>
      <c r="B180">
        <v>25</v>
      </c>
      <c r="C180" s="1">
        <v>3</v>
      </c>
      <c r="D180">
        <v>3</v>
      </c>
      <c r="E180">
        <v>2</v>
      </c>
      <c r="F180">
        <v>228</v>
      </c>
      <c r="G180" s="1">
        <v>14</v>
      </c>
      <c r="H180">
        <v>16</v>
      </c>
      <c r="I180" s="1">
        <v>58</v>
      </c>
      <c r="J180" s="2">
        <v>222196</v>
      </c>
      <c r="K180">
        <v>99</v>
      </c>
      <c r="L180">
        <v>0</v>
      </c>
      <c r="M180">
        <v>1</v>
      </c>
      <c r="N180">
        <v>2</v>
      </c>
      <c r="O180">
        <v>0</v>
      </c>
      <c r="P180">
        <v>0</v>
      </c>
      <c r="Q180">
        <v>1</v>
      </c>
      <c r="R180">
        <v>65</v>
      </c>
      <c r="S180">
        <v>172</v>
      </c>
      <c r="T180">
        <v>22</v>
      </c>
      <c r="U180">
        <v>3</v>
      </c>
      <c r="V180" s="53" t="str">
        <f>IFERROR(
IF(tbl_abs[[#This Row],[Month of absence]]=0,"Unknown",
CHOOSE(tbl_abs[[#This Row],[Month of absence]],
"Jan","Feb","Mar","Apr","May","Jun","Jul","Aug","Sep","Oct","Nov","Dec")),"")</f>
        <v>Mar</v>
      </c>
      <c r="W180" s="53" t="str">
        <f>IFERROR(
IF(tbl_abs[[#This Row],[Age]]&lt;30,"&lt;30",
IF(tbl_abs[[#This Row],[Age]]&lt;40,"30–39",
IF(tbl_abs[[#This Row],[Age]]&lt;50,"40–49",
IF(tbl_abs[[#This Row],[Age]]&lt;60,"50–59",
"60+")))),"")</f>
        <v>50–59</v>
      </c>
      <c r="X180" s="53" t="str">
        <f>IFERROR(
IF(tbl_abs[[#This Row],[Distance from Residence to Work]]&lt;=5,"0–5",
IF(tbl_abs[[#This Row],[Distance from Residence to Work]]&lt;=10,"6–10",
IF(tbl_abs[[#This Row],[Distance from Residence to Work]]&lt;=20,"11–20",
"21+"))),"")</f>
        <v>11–20</v>
      </c>
      <c r="Y180" s="53" t="str">
        <f>IFERROR(
IF(tbl_abs[[#This Row],[Body Mass Index]]&lt;18.5,"Underweight",
IF(tbl_abs[[#This Row],[Body Mass Index]]&lt;25,"Normal",
IF(tbl_abs[[#This Row],[Body Mass Index]]&lt;30,"Overweight",
"Obese"))),"")</f>
        <v>Normal</v>
      </c>
      <c r="Z180" s="53" t="str">
        <f>IFERROR(
IF(tbl_abs[[#This Row],[Absenteeism time in hours]]&lt;=2,"0–2",
IF(tbl_abs[[#This Row],[Absenteeism time in hours]]&lt;=8,"3–8",
IF(tbl_abs[[#This Row],[Absenteeism time in hours]]&lt;=16,"9–16",
"17+"))),"")</f>
        <v>3–8</v>
      </c>
    </row>
    <row r="181" spans="1:26" ht="15" customHeight="1" x14ac:dyDescent="0.3">
      <c r="A181">
        <v>33</v>
      </c>
      <c r="B181">
        <v>25</v>
      </c>
      <c r="C181" s="1">
        <v>3</v>
      </c>
      <c r="D181">
        <v>3</v>
      </c>
      <c r="E181">
        <v>2</v>
      </c>
      <c r="F181">
        <v>248</v>
      </c>
      <c r="G181" s="1">
        <v>25</v>
      </c>
      <c r="H181">
        <v>14</v>
      </c>
      <c r="I181" s="1">
        <v>47</v>
      </c>
      <c r="J181" s="2">
        <v>222196</v>
      </c>
      <c r="K181">
        <v>99</v>
      </c>
      <c r="L181">
        <v>0</v>
      </c>
      <c r="M181">
        <v>1</v>
      </c>
      <c r="N181">
        <v>2</v>
      </c>
      <c r="O181">
        <v>0</v>
      </c>
      <c r="P181">
        <v>0</v>
      </c>
      <c r="Q181">
        <v>1</v>
      </c>
      <c r="R181">
        <v>86</v>
      </c>
      <c r="S181">
        <v>165</v>
      </c>
      <c r="T181">
        <v>32</v>
      </c>
      <c r="U181">
        <v>3</v>
      </c>
      <c r="V181" s="53" t="str">
        <f>IFERROR(
IF(tbl_abs[[#This Row],[Month of absence]]=0,"Unknown",
CHOOSE(tbl_abs[[#This Row],[Month of absence]],
"Jan","Feb","Mar","Apr","May","Jun","Jul","Aug","Sep","Oct","Nov","Dec")),"")</f>
        <v>Mar</v>
      </c>
      <c r="W181" s="53" t="str">
        <f>IFERROR(
IF(tbl_abs[[#This Row],[Age]]&lt;30,"&lt;30",
IF(tbl_abs[[#This Row],[Age]]&lt;40,"30–39",
IF(tbl_abs[[#This Row],[Age]]&lt;50,"40–49",
IF(tbl_abs[[#This Row],[Age]]&lt;60,"50–59",
"60+")))),"")</f>
        <v>40–49</v>
      </c>
      <c r="X181" s="53" t="str">
        <f>IFERROR(
IF(tbl_abs[[#This Row],[Distance from Residence to Work]]&lt;=5,"0–5",
IF(tbl_abs[[#This Row],[Distance from Residence to Work]]&lt;=10,"6–10",
IF(tbl_abs[[#This Row],[Distance from Residence to Work]]&lt;=20,"11–20",
"21+"))),"")</f>
        <v>21+</v>
      </c>
      <c r="Y181" s="53" t="str">
        <f>IFERROR(
IF(tbl_abs[[#This Row],[Body Mass Index]]&lt;18.5,"Underweight",
IF(tbl_abs[[#This Row],[Body Mass Index]]&lt;25,"Normal",
IF(tbl_abs[[#This Row],[Body Mass Index]]&lt;30,"Overweight",
"Obese"))),"")</f>
        <v>Obese</v>
      </c>
      <c r="Z181" s="53" t="str">
        <f>IFERROR(
IF(tbl_abs[[#This Row],[Absenteeism time in hours]]&lt;=2,"0–2",
IF(tbl_abs[[#This Row],[Absenteeism time in hours]]&lt;=8,"3–8",
IF(tbl_abs[[#This Row],[Absenteeism time in hours]]&lt;=16,"9–16",
"17+"))),"")</f>
        <v>3–8</v>
      </c>
    </row>
    <row r="182" spans="1:26" ht="15" customHeight="1" x14ac:dyDescent="0.3">
      <c r="A182">
        <v>9</v>
      </c>
      <c r="B182">
        <v>12</v>
      </c>
      <c r="C182" s="1">
        <v>3</v>
      </c>
      <c r="D182">
        <v>3</v>
      </c>
      <c r="E182">
        <v>2</v>
      </c>
      <c r="F182">
        <v>228</v>
      </c>
      <c r="G182" s="1">
        <v>14</v>
      </c>
      <c r="H182">
        <v>16</v>
      </c>
      <c r="I182" s="1">
        <v>58</v>
      </c>
      <c r="J182" s="2">
        <v>222196</v>
      </c>
      <c r="K182">
        <v>99</v>
      </c>
      <c r="L182">
        <v>0</v>
      </c>
      <c r="M182">
        <v>1</v>
      </c>
      <c r="N182">
        <v>2</v>
      </c>
      <c r="O182">
        <v>0</v>
      </c>
      <c r="P182">
        <v>0</v>
      </c>
      <c r="Q182">
        <v>1</v>
      </c>
      <c r="R182">
        <v>65</v>
      </c>
      <c r="S182">
        <v>172</v>
      </c>
      <c r="T182">
        <v>22</v>
      </c>
      <c r="U182">
        <v>112</v>
      </c>
      <c r="V182" s="53" t="str">
        <f>IFERROR(
IF(tbl_abs[[#This Row],[Month of absence]]=0,"Unknown",
CHOOSE(tbl_abs[[#This Row],[Month of absence]],
"Jan","Feb","Mar","Apr","May","Jun","Jul","Aug","Sep","Oct","Nov","Dec")),"")</f>
        <v>Mar</v>
      </c>
      <c r="W182" s="53" t="str">
        <f>IFERROR(
IF(tbl_abs[[#This Row],[Age]]&lt;30,"&lt;30",
IF(tbl_abs[[#This Row],[Age]]&lt;40,"30–39",
IF(tbl_abs[[#This Row],[Age]]&lt;50,"40–49",
IF(tbl_abs[[#This Row],[Age]]&lt;60,"50–59",
"60+")))),"")</f>
        <v>50–59</v>
      </c>
      <c r="X182" s="53" t="str">
        <f>IFERROR(
IF(tbl_abs[[#This Row],[Distance from Residence to Work]]&lt;=5,"0–5",
IF(tbl_abs[[#This Row],[Distance from Residence to Work]]&lt;=10,"6–10",
IF(tbl_abs[[#This Row],[Distance from Residence to Work]]&lt;=20,"11–20",
"21+"))),"")</f>
        <v>11–20</v>
      </c>
      <c r="Y182" s="53" t="str">
        <f>IFERROR(
IF(tbl_abs[[#This Row],[Body Mass Index]]&lt;18.5,"Underweight",
IF(tbl_abs[[#This Row],[Body Mass Index]]&lt;25,"Normal",
IF(tbl_abs[[#This Row],[Body Mass Index]]&lt;30,"Overweight",
"Obese"))),"")</f>
        <v>Normal</v>
      </c>
      <c r="Z182" s="53" t="str">
        <f>IFERROR(
IF(tbl_abs[[#This Row],[Absenteeism time in hours]]&lt;=2,"0–2",
IF(tbl_abs[[#This Row],[Absenteeism time in hours]]&lt;=8,"3–8",
IF(tbl_abs[[#This Row],[Absenteeism time in hours]]&lt;=16,"9–16",
"17+"))),"")</f>
        <v>17+</v>
      </c>
    </row>
    <row r="183" spans="1:26" ht="15" customHeight="1" x14ac:dyDescent="0.3">
      <c r="A183">
        <v>3</v>
      </c>
      <c r="B183">
        <v>27</v>
      </c>
      <c r="C183" s="1">
        <v>3</v>
      </c>
      <c r="D183">
        <v>4</v>
      </c>
      <c r="E183">
        <v>2</v>
      </c>
      <c r="F183">
        <v>179</v>
      </c>
      <c r="G183" s="1">
        <v>51</v>
      </c>
      <c r="H183">
        <v>18</v>
      </c>
      <c r="I183" s="1">
        <v>38</v>
      </c>
      <c r="J183" s="2">
        <v>222196</v>
      </c>
      <c r="K183">
        <v>99</v>
      </c>
      <c r="L183">
        <v>0</v>
      </c>
      <c r="M183">
        <v>1</v>
      </c>
      <c r="N183">
        <v>0</v>
      </c>
      <c r="O183">
        <v>1</v>
      </c>
      <c r="P183">
        <v>0</v>
      </c>
      <c r="Q183">
        <v>0</v>
      </c>
      <c r="R183">
        <v>89</v>
      </c>
      <c r="S183">
        <v>170</v>
      </c>
      <c r="T183">
        <v>31</v>
      </c>
      <c r="U183">
        <v>2</v>
      </c>
      <c r="V183" s="53" t="str">
        <f>IFERROR(
IF(tbl_abs[[#This Row],[Month of absence]]=0,"Unknown",
CHOOSE(tbl_abs[[#This Row],[Month of absence]],
"Jan","Feb","Mar","Apr","May","Jun","Jul","Aug","Sep","Oct","Nov","Dec")),"")</f>
        <v>Mar</v>
      </c>
      <c r="W183" s="53" t="str">
        <f>IFERROR(
IF(tbl_abs[[#This Row],[Age]]&lt;30,"&lt;30",
IF(tbl_abs[[#This Row],[Age]]&lt;40,"30–39",
IF(tbl_abs[[#This Row],[Age]]&lt;50,"40–49",
IF(tbl_abs[[#This Row],[Age]]&lt;60,"50–59",
"60+")))),"")</f>
        <v>30–39</v>
      </c>
      <c r="X183" s="53" t="str">
        <f>IFERROR(
IF(tbl_abs[[#This Row],[Distance from Residence to Work]]&lt;=5,"0–5",
IF(tbl_abs[[#This Row],[Distance from Residence to Work]]&lt;=10,"6–10",
IF(tbl_abs[[#This Row],[Distance from Residence to Work]]&lt;=20,"11–20",
"21+"))),"")</f>
        <v>21+</v>
      </c>
      <c r="Y183" s="53" t="str">
        <f>IFERROR(
IF(tbl_abs[[#This Row],[Body Mass Index]]&lt;18.5,"Underweight",
IF(tbl_abs[[#This Row],[Body Mass Index]]&lt;25,"Normal",
IF(tbl_abs[[#This Row],[Body Mass Index]]&lt;30,"Overweight",
"Obese"))),"")</f>
        <v>Obese</v>
      </c>
      <c r="Z183" s="53" t="str">
        <f>IFERROR(
IF(tbl_abs[[#This Row],[Absenteeism time in hours]]&lt;=2,"0–2",
IF(tbl_abs[[#This Row],[Absenteeism time in hours]]&lt;=8,"3–8",
IF(tbl_abs[[#This Row],[Absenteeism time in hours]]&lt;=16,"9–16",
"17+"))),"")</f>
        <v>0–2</v>
      </c>
    </row>
    <row r="184" spans="1:26" ht="15" customHeight="1" x14ac:dyDescent="0.3">
      <c r="A184">
        <v>28</v>
      </c>
      <c r="B184">
        <v>27</v>
      </c>
      <c r="C184" s="1">
        <v>3</v>
      </c>
      <c r="D184">
        <v>5</v>
      </c>
      <c r="E184">
        <v>2</v>
      </c>
      <c r="F184">
        <v>225</v>
      </c>
      <c r="G184" s="1">
        <v>26</v>
      </c>
      <c r="H184">
        <v>9</v>
      </c>
      <c r="I184" s="1">
        <v>28</v>
      </c>
      <c r="J184" s="2">
        <v>222196</v>
      </c>
      <c r="K184">
        <v>99</v>
      </c>
      <c r="L184">
        <v>0</v>
      </c>
      <c r="M184">
        <v>1</v>
      </c>
      <c r="N184">
        <v>1</v>
      </c>
      <c r="O184">
        <v>0</v>
      </c>
      <c r="P184">
        <v>0</v>
      </c>
      <c r="Q184">
        <v>2</v>
      </c>
      <c r="R184">
        <v>69</v>
      </c>
      <c r="S184">
        <v>169</v>
      </c>
      <c r="T184">
        <v>24</v>
      </c>
      <c r="U184">
        <v>2</v>
      </c>
      <c r="V184" s="53" t="str">
        <f>IFERROR(
IF(tbl_abs[[#This Row],[Month of absence]]=0,"Unknown",
CHOOSE(tbl_abs[[#This Row],[Month of absence]],
"Jan","Feb","Mar","Apr","May","Jun","Jul","Aug","Sep","Oct","Nov","Dec")),"")</f>
        <v>Mar</v>
      </c>
      <c r="W184" s="53" t="str">
        <f>IFERROR(
IF(tbl_abs[[#This Row],[Age]]&lt;30,"&lt;30",
IF(tbl_abs[[#This Row],[Age]]&lt;40,"30–39",
IF(tbl_abs[[#This Row],[Age]]&lt;50,"40–49",
IF(tbl_abs[[#This Row],[Age]]&lt;60,"50–59",
"60+")))),"")</f>
        <v>&lt;30</v>
      </c>
      <c r="X184" s="53" t="str">
        <f>IFERROR(
IF(tbl_abs[[#This Row],[Distance from Residence to Work]]&lt;=5,"0–5",
IF(tbl_abs[[#This Row],[Distance from Residence to Work]]&lt;=10,"6–10",
IF(tbl_abs[[#This Row],[Distance from Residence to Work]]&lt;=20,"11–20",
"21+"))),"")</f>
        <v>21+</v>
      </c>
      <c r="Y184" s="53" t="str">
        <f>IFERROR(
IF(tbl_abs[[#This Row],[Body Mass Index]]&lt;18.5,"Underweight",
IF(tbl_abs[[#This Row],[Body Mass Index]]&lt;25,"Normal",
IF(tbl_abs[[#This Row],[Body Mass Index]]&lt;30,"Overweight",
"Obese"))),"")</f>
        <v>Normal</v>
      </c>
      <c r="Z184" s="53" t="str">
        <f>IFERROR(
IF(tbl_abs[[#This Row],[Absenteeism time in hours]]&lt;=2,"0–2",
IF(tbl_abs[[#This Row],[Absenteeism time in hours]]&lt;=8,"3–8",
IF(tbl_abs[[#This Row],[Absenteeism time in hours]]&lt;=16,"9–16",
"17+"))),"")</f>
        <v>0–2</v>
      </c>
    </row>
    <row r="185" spans="1:26" ht="15" customHeight="1" x14ac:dyDescent="0.3">
      <c r="A185">
        <v>3</v>
      </c>
      <c r="B185">
        <v>27</v>
      </c>
      <c r="C185" s="1">
        <v>3</v>
      </c>
      <c r="D185">
        <v>5</v>
      </c>
      <c r="E185">
        <v>2</v>
      </c>
      <c r="F185">
        <v>179</v>
      </c>
      <c r="G185" s="1">
        <v>51</v>
      </c>
      <c r="H185">
        <v>18</v>
      </c>
      <c r="I185" s="1">
        <v>38</v>
      </c>
      <c r="J185" s="2">
        <v>222196</v>
      </c>
      <c r="K185">
        <v>99</v>
      </c>
      <c r="L185">
        <v>0</v>
      </c>
      <c r="M185">
        <v>1</v>
      </c>
      <c r="N185">
        <v>0</v>
      </c>
      <c r="O185">
        <v>1</v>
      </c>
      <c r="P185">
        <v>0</v>
      </c>
      <c r="Q185">
        <v>0</v>
      </c>
      <c r="R185">
        <v>89</v>
      </c>
      <c r="S185">
        <v>170</v>
      </c>
      <c r="T185">
        <v>31</v>
      </c>
      <c r="U185">
        <v>3</v>
      </c>
      <c r="V185" s="53" t="str">
        <f>IFERROR(
IF(tbl_abs[[#This Row],[Month of absence]]=0,"Unknown",
CHOOSE(tbl_abs[[#This Row],[Month of absence]],
"Jan","Feb","Mar","Apr","May","Jun","Jul","Aug","Sep","Oct","Nov","Dec")),"")</f>
        <v>Mar</v>
      </c>
      <c r="W185" s="53" t="str">
        <f>IFERROR(
IF(tbl_abs[[#This Row],[Age]]&lt;30,"&lt;30",
IF(tbl_abs[[#This Row],[Age]]&lt;40,"30–39",
IF(tbl_abs[[#This Row],[Age]]&lt;50,"40–49",
IF(tbl_abs[[#This Row],[Age]]&lt;60,"50–59",
"60+")))),"")</f>
        <v>30–39</v>
      </c>
      <c r="X185" s="53" t="str">
        <f>IFERROR(
IF(tbl_abs[[#This Row],[Distance from Residence to Work]]&lt;=5,"0–5",
IF(tbl_abs[[#This Row],[Distance from Residence to Work]]&lt;=10,"6–10",
IF(tbl_abs[[#This Row],[Distance from Residence to Work]]&lt;=20,"11–20",
"21+"))),"")</f>
        <v>21+</v>
      </c>
      <c r="Y185" s="53" t="str">
        <f>IFERROR(
IF(tbl_abs[[#This Row],[Body Mass Index]]&lt;18.5,"Underweight",
IF(tbl_abs[[#This Row],[Body Mass Index]]&lt;25,"Normal",
IF(tbl_abs[[#This Row],[Body Mass Index]]&lt;30,"Overweight",
"Obese"))),"")</f>
        <v>Obese</v>
      </c>
      <c r="Z185" s="53" t="str">
        <f>IFERROR(
IF(tbl_abs[[#This Row],[Absenteeism time in hours]]&lt;=2,"0–2",
IF(tbl_abs[[#This Row],[Absenteeism time in hours]]&lt;=8,"3–8",
IF(tbl_abs[[#This Row],[Absenteeism time in hours]]&lt;=16,"9–16",
"17+"))),"")</f>
        <v>3–8</v>
      </c>
    </row>
    <row r="186" spans="1:26" ht="15" customHeight="1" x14ac:dyDescent="0.3">
      <c r="A186">
        <v>28</v>
      </c>
      <c r="B186">
        <v>25</v>
      </c>
      <c r="C186" s="1">
        <v>3</v>
      </c>
      <c r="D186">
        <v>5</v>
      </c>
      <c r="E186">
        <v>2</v>
      </c>
      <c r="F186">
        <v>225</v>
      </c>
      <c r="G186" s="1">
        <v>26</v>
      </c>
      <c r="H186">
        <v>9</v>
      </c>
      <c r="I186" s="1">
        <v>28</v>
      </c>
      <c r="J186" s="2">
        <v>222196</v>
      </c>
      <c r="K186">
        <v>99</v>
      </c>
      <c r="L186">
        <v>0</v>
      </c>
      <c r="M186">
        <v>1</v>
      </c>
      <c r="N186">
        <v>1</v>
      </c>
      <c r="O186">
        <v>0</v>
      </c>
      <c r="P186">
        <v>0</v>
      </c>
      <c r="Q186">
        <v>2</v>
      </c>
      <c r="R186">
        <v>69</v>
      </c>
      <c r="S186">
        <v>169</v>
      </c>
      <c r="T186">
        <v>24</v>
      </c>
      <c r="U186">
        <v>2</v>
      </c>
      <c r="V186" s="53" t="str">
        <f>IFERROR(
IF(tbl_abs[[#This Row],[Month of absence]]=0,"Unknown",
CHOOSE(tbl_abs[[#This Row],[Month of absence]],
"Jan","Feb","Mar","Apr","May","Jun","Jul","Aug","Sep","Oct","Nov","Dec")),"")</f>
        <v>Mar</v>
      </c>
      <c r="W186" s="53" t="str">
        <f>IFERROR(
IF(tbl_abs[[#This Row],[Age]]&lt;30,"&lt;30",
IF(tbl_abs[[#This Row],[Age]]&lt;40,"30–39",
IF(tbl_abs[[#This Row],[Age]]&lt;50,"40–49",
IF(tbl_abs[[#This Row],[Age]]&lt;60,"50–59",
"60+")))),"")</f>
        <v>&lt;30</v>
      </c>
      <c r="X186" s="53" t="str">
        <f>IFERROR(
IF(tbl_abs[[#This Row],[Distance from Residence to Work]]&lt;=5,"0–5",
IF(tbl_abs[[#This Row],[Distance from Residence to Work]]&lt;=10,"6–10",
IF(tbl_abs[[#This Row],[Distance from Residence to Work]]&lt;=20,"11–20",
"21+"))),"")</f>
        <v>21+</v>
      </c>
      <c r="Y186" s="53" t="str">
        <f>IFERROR(
IF(tbl_abs[[#This Row],[Body Mass Index]]&lt;18.5,"Underweight",
IF(tbl_abs[[#This Row],[Body Mass Index]]&lt;25,"Normal",
IF(tbl_abs[[#This Row],[Body Mass Index]]&lt;30,"Overweight",
"Obese"))),"")</f>
        <v>Normal</v>
      </c>
      <c r="Z186" s="53" t="str">
        <f>IFERROR(
IF(tbl_abs[[#This Row],[Absenteeism time in hours]]&lt;=2,"0–2",
IF(tbl_abs[[#This Row],[Absenteeism time in hours]]&lt;=8,"3–8",
IF(tbl_abs[[#This Row],[Absenteeism time in hours]]&lt;=16,"9–16",
"17+"))),"")</f>
        <v>0–2</v>
      </c>
    </row>
    <row r="187" spans="1:26" ht="15" customHeight="1" x14ac:dyDescent="0.3">
      <c r="A187">
        <v>22</v>
      </c>
      <c r="B187">
        <v>27</v>
      </c>
      <c r="C187" s="1">
        <v>3</v>
      </c>
      <c r="D187">
        <v>6</v>
      </c>
      <c r="E187">
        <v>2</v>
      </c>
      <c r="F187">
        <v>179</v>
      </c>
      <c r="G187" s="1">
        <v>26</v>
      </c>
      <c r="H187">
        <v>9</v>
      </c>
      <c r="I187" s="1">
        <v>30</v>
      </c>
      <c r="J187" s="2">
        <v>222196</v>
      </c>
      <c r="K187">
        <v>99</v>
      </c>
      <c r="L187">
        <v>0</v>
      </c>
      <c r="M187">
        <v>3</v>
      </c>
      <c r="N187">
        <v>0</v>
      </c>
      <c r="O187">
        <v>0</v>
      </c>
      <c r="P187">
        <v>0</v>
      </c>
      <c r="Q187">
        <v>0</v>
      </c>
      <c r="R187">
        <v>56</v>
      </c>
      <c r="S187">
        <v>171</v>
      </c>
      <c r="T187">
        <v>19</v>
      </c>
      <c r="U187">
        <v>3</v>
      </c>
      <c r="V187" s="53" t="str">
        <f>IFERROR(
IF(tbl_abs[[#This Row],[Month of absence]]=0,"Unknown",
CHOOSE(tbl_abs[[#This Row],[Month of absence]],
"Jan","Feb","Mar","Apr","May","Jun","Jul","Aug","Sep","Oct","Nov","Dec")),"")</f>
        <v>Mar</v>
      </c>
      <c r="W187" s="53" t="str">
        <f>IFERROR(
IF(tbl_abs[[#This Row],[Age]]&lt;30,"&lt;30",
IF(tbl_abs[[#This Row],[Age]]&lt;40,"30–39",
IF(tbl_abs[[#This Row],[Age]]&lt;50,"40–49",
IF(tbl_abs[[#This Row],[Age]]&lt;60,"50–59",
"60+")))),"")</f>
        <v>30–39</v>
      </c>
      <c r="X187" s="53" t="str">
        <f>IFERROR(
IF(tbl_abs[[#This Row],[Distance from Residence to Work]]&lt;=5,"0–5",
IF(tbl_abs[[#This Row],[Distance from Residence to Work]]&lt;=10,"6–10",
IF(tbl_abs[[#This Row],[Distance from Residence to Work]]&lt;=20,"11–20",
"21+"))),"")</f>
        <v>21+</v>
      </c>
      <c r="Y187" s="53" t="str">
        <f>IFERROR(
IF(tbl_abs[[#This Row],[Body Mass Index]]&lt;18.5,"Underweight",
IF(tbl_abs[[#This Row],[Body Mass Index]]&lt;25,"Normal",
IF(tbl_abs[[#This Row],[Body Mass Index]]&lt;30,"Overweight",
"Obese"))),"")</f>
        <v>Normal</v>
      </c>
      <c r="Z187" s="53" t="str">
        <f>IFERROR(
IF(tbl_abs[[#This Row],[Absenteeism time in hours]]&lt;=2,"0–2",
IF(tbl_abs[[#This Row],[Absenteeism time in hours]]&lt;=8,"3–8",
IF(tbl_abs[[#This Row],[Absenteeism time in hours]]&lt;=16,"9–16",
"17+"))),"")</f>
        <v>3–8</v>
      </c>
    </row>
    <row r="188" spans="1:26" ht="15" customHeight="1" x14ac:dyDescent="0.3">
      <c r="A188">
        <v>25</v>
      </c>
      <c r="B188">
        <v>25</v>
      </c>
      <c r="C188" s="1">
        <v>3</v>
      </c>
      <c r="D188">
        <v>2</v>
      </c>
      <c r="E188">
        <v>2</v>
      </c>
      <c r="F188">
        <v>235</v>
      </c>
      <c r="G188" s="1">
        <v>16</v>
      </c>
      <c r="H188">
        <v>8</v>
      </c>
      <c r="I188" s="1">
        <v>32</v>
      </c>
      <c r="J188" s="2">
        <v>222196</v>
      </c>
      <c r="K188">
        <v>99</v>
      </c>
      <c r="L188">
        <v>0</v>
      </c>
      <c r="M188">
        <v>3</v>
      </c>
      <c r="N188">
        <v>0</v>
      </c>
      <c r="O188">
        <v>0</v>
      </c>
      <c r="P188">
        <v>0</v>
      </c>
      <c r="Q188">
        <v>0</v>
      </c>
      <c r="R188">
        <v>75</v>
      </c>
      <c r="S188">
        <v>178</v>
      </c>
      <c r="T188">
        <v>25</v>
      </c>
      <c r="U188">
        <v>3</v>
      </c>
      <c r="V188" s="53" t="str">
        <f>IFERROR(
IF(tbl_abs[[#This Row],[Month of absence]]=0,"Unknown",
CHOOSE(tbl_abs[[#This Row],[Month of absence]],
"Jan","Feb","Mar","Apr","May","Jun","Jul","Aug","Sep","Oct","Nov","Dec")),"")</f>
        <v>Mar</v>
      </c>
      <c r="W188" s="53" t="str">
        <f>IFERROR(
IF(tbl_abs[[#This Row],[Age]]&lt;30,"&lt;30",
IF(tbl_abs[[#This Row],[Age]]&lt;40,"30–39",
IF(tbl_abs[[#This Row],[Age]]&lt;50,"40–49",
IF(tbl_abs[[#This Row],[Age]]&lt;60,"50–59",
"60+")))),"")</f>
        <v>30–39</v>
      </c>
      <c r="X188" s="53" t="str">
        <f>IFERROR(
IF(tbl_abs[[#This Row],[Distance from Residence to Work]]&lt;=5,"0–5",
IF(tbl_abs[[#This Row],[Distance from Residence to Work]]&lt;=10,"6–10",
IF(tbl_abs[[#This Row],[Distance from Residence to Work]]&lt;=20,"11–20",
"21+"))),"")</f>
        <v>11–20</v>
      </c>
      <c r="Y188" s="53" t="str">
        <f>IFERROR(
IF(tbl_abs[[#This Row],[Body Mass Index]]&lt;18.5,"Underweight",
IF(tbl_abs[[#This Row],[Body Mass Index]]&lt;25,"Normal",
IF(tbl_abs[[#This Row],[Body Mass Index]]&lt;30,"Overweight",
"Obese"))),"")</f>
        <v>Overweight</v>
      </c>
      <c r="Z188" s="53" t="str">
        <f>IFERROR(
IF(tbl_abs[[#This Row],[Absenteeism time in hours]]&lt;=2,"0–2",
IF(tbl_abs[[#This Row],[Absenteeism time in hours]]&lt;=8,"3–8",
IF(tbl_abs[[#This Row],[Absenteeism time in hours]]&lt;=16,"9–16",
"17+"))),"")</f>
        <v>3–8</v>
      </c>
    </row>
    <row r="189" spans="1:26" ht="15" customHeight="1" x14ac:dyDescent="0.3">
      <c r="A189">
        <v>10</v>
      </c>
      <c r="B189">
        <v>19</v>
      </c>
      <c r="C189" s="1">
        <v>3</v>
      </c>
      <c r="D189">
        <v>2</v>
      </c>
      <c r="E189">
        <v>2</v>
      </c>
      <c r="F189">
        <v>361</v>
      </c>
      <c r="G189" s="1">
        <v>52</v>
      </c>
      <c r="H189">
        <v>3</v>
      </c>
      <c r="I189" s="1">
        <v>28</v>
      </c>
      <c r="J189" s="2">
        <v>222196</v>
      </c>
      <c r="K189">
        <v>99</v>
      </c>
      <c r="L189">
        <v>0</v>
      </c>
      <c r="M189">
        <v>1</v>
      </c>
      <c r="N189">
        <v>1</v>
      </c>
      <c r="O189">
        <v>1</v>
      </c>
      <c r="P189">
        <v>0</v>
      </c>
      <c r="Q189">
        <v>4</v>
      </c>
      <c r="R189">
        <v>80</v>
      </c>
      <c r="S189">
        <v>172</v>
      </c>
      <c r="T189">
        <v>27</v>
      </c>
      <c r="U189">
        <v>8</v>
      </c>
      <c r="V189" s="53" t="str">
        <f>IFERROR(
IF(tbl_abs[[#This Row],[Month of absence]]=0,"Unknown",
CHOOSE(tbl_abs[[#This Row],[Month of absence]],
"Jan","Feb","Mar","Apr","May","Jun","Jul","Aug","Sep","Oct","Nov","Dec")),"")</f>
        <v>Mar</v>
      </c>
      <c r="W189" s="53" t="str">
        <f>IFERROR(
IF(tbl_abs[[#This Row],[Age]]&lt;30,"&lt;30",
IF(tbl_abs[[#This Row],[Age]]&lt;40,"30–39",
IF(tbl_abs[[#This Row],[Age]]&lt;50,"40–49",
IF(tbl_abs[[#This Row],[Age]]&lt;60,"50–59",
"60+")))),"")</f>
        <v>&lt;30</v>
      </c>
      <c r="X189" s="53" t="str">
        <f>IFERROR(
IF(tbl_abs[[#This Row],[Distance from Residence to Work]]&lt;=5,"0–5",
IF(tbl_abs[[#This Row],[Distance from Residence to Work]]&lt;=10,"6–10",
IF(tbl_abs[[#This Row],[Distance from Residence to Work]]&lt;=20,"11–20",
"21+"))),"")</f>
        <v>21+</v>
      </c>
      <c r="Y189" s="53" t="str">
        <f>IFERROR(
IF(tbl_abs[[#This Row],[Body Mass Index]]&lt;18.5,"Underweight",
IF(tbl_abs[[#This Row],[Body Mass Index]]&lt;25,"Normal",
IF(tbl_abs[[#This Row],[Body Mass Index]]&lt;30,"Overweight",
"Obese"))),"")</f>
        <v>Overweight</v>
      </c>
      <c r="Z189" s="53" t="str">
        <f>IFERROR(
IF(tbl_abs[[#This Row],[Absenteeism time in hours]]&lt;=2,"0–2",
IF(tbl_abs[[#This Row],[Absenteeism time in hours]]&lt;=8,"3–8",
IF(tbl_abs[[#This Row],[Absenteeism time in hours]]&lt;=16,"9–16",
"17+"))),"")</f>
        <v>3–8</v>
      </c>
    </row>
    <row r="190" spans="1:26" ht="15" customHeight="1" x14ac:dyDescent="0.3">
      <c r="A190">
        <v>3</v>
      </c>
      <c r="B190">
        <v>13</v>
      </c>
      <c r="C190" s="1">
        <v>3</v>
      </c>
      <c r="D190">
        <v>3</v>
      </c>
      <c r="E190">
        <v>2</v>
      </c>
      <c r="F190">
        <v>179</v>
      </c>
      <c r="G190" s="1">
        <v>51</v>
      </c>
      <c r="H190">
        <v>18</v>
      </c>
      <c r="I190" s="1">
        <v>38</v>
      </c>
      <c r="J190" s="2">
        <v>222196</v>
      </c>
      <c r="K190">
        <v>99</v>
      </c>
      <c r="L190">
        <v>0</v>
      </c>
      <c r="M190">
        <v>1</v>
      </c>
      <c r="N190">
        <v>0</v>
      </c>
      <c r="O190">
        <v>1</v>
      </c>
      <c r="P190">
        <v>0</v>
      </c>
      <c r="Q190">
        <v>0</v>
      </c>
      <c r="R190">
        <v>89</v>
      </c>
      <c r="S190">
        <v>170</v>
      </c>
      <c r="T190">
        <v>31</v>
      </c>
      <c r="U190">
        <v>8</v>
      </c>
      <c r="V190" s="53" t="str">
        <f>IFERROR(
IF(tbl_abs[[#This Row],[Month of absence]]=0,"Unknown",
CHOOSE(tbl_abs[[#This Row],[Month of absence]],
"Jan","Feb","Mar","Apr","May","Jun","Jul","Aug","Sep","Oct","Nov","Dec")),"")</f>
        <v>Mar</v>
      </c>
      <c r="W190" s="53" t="str">
        <f>IFERROR(
IF(tbl_abs[[#This Row],[Age]]&lt;30,"&lt;30",
IF(tbl_abs[[#This Row],[Age]]&lt;40,"30–39",
IF(tbl_abs[[#This Row],[Age]]&lt;50,"40–49",
IF(tbl_abs[[#This Row],[Age]]&lt;60,"50–59",
"60+")))),"")</f>
        <v>30–39</v>
      </c>
      <c r="X190" s="53" t="str">
        <f>IFERROR(
IF(tbl_abs[[#This Row],[Distance from Residence to Work]]&lt;=5,"0–5",
IF(tbl_abs[[#This Row],[Distance from Residence to Work]]&lt;=10,"6–10",
IF(tbl_abs[[#This Row],[Distance from Residence to Work]]&lt;=20,"11–20",
"21+"))),"")</f>
        <v>21+</v>
      </c>
      <c r="Y190" s="53" t="str">
        <f>IFERROR(
IF(tbl_abs[[#This Row],[Body Mass Index]]&lt;18.5,"Underweight",
IF(tbl_abs[[#This Row],[Body Mass Index]]&lt;25,"Normal",
IF(tbl_abs[[#This Row],[Body Mass Index]]&lt;30,"Overweight",
"Obese"))),"")</f>
        <v>Obese</v>
      </c>
      <c r="Z190" s="53" t="str">
        <f>IFERROR(
IF(tbl_abs[[#This Row],[Absenteeism time in hours]]&lt;=2,"0–2",
IF(tbl_abs[[#This Row],[Absenteeism time in hours]]&lt;=8,"3–8",
IF(tbl_abs[[#This Row],[Absenteeism time in hours]]&lt;=16,"9–16",
"17+"))),"")</f>
        <v>3–8</v>
      </c>
    </row>
    <row r="191" spans="1:26" ht="15" customHeight="1" x14ac:dyDescent="0.3">
      <c r="A191">
        <v>3</v>
      </c>
      <c r="B191">
        <v>27</v>
      </c>
      <c r="C191" s="1">
        <v>3</v>
      </c>
      <c r="D191">
        <v>4</v>
      </c>
      <c r="E191">
        <v>2</v>
      </c>
      <c r="F191">
        <v>179</v>
      </c>
      <c r="G191" s="1">
        <v>51</v>
      </c>
      <c r="H191">
        <v>18</v>
      </c>
      <c r="I191" s="1">
        <v>38</v>
      </c>
      <c r="J191" s="2">
        <v>222196</v>
      </c>
      <c r="K191">
        <v>99</v>
      </c>
      <c r="L191">
        <v>0</v>
      </c>
      <c r="M191">
        <v>1</v>
      </c>
      <c r="N191">
        <v>0</v>
      </c>
      <c r="O191">
        <v>1</v>
      </c>
      <c r="P191">
        <v>0</v>
      </c>
      <c r="Q191">
        <v>0</v>
      </c>
      <c r="R191">
        <v>89</v>
      </c>
      <c r="S191">
        <v>170</v>
      </c>
      <c r="T191">
        <v>31</v>
      </c>
      <c r="U191">
        <v>2</v>
      </c>
      <c r="V191" s="53" t="str">
        <f>IFERROR(
IF(tbl_abs[[#This Row],[Month of absence]]=0,"Unknown",
CHOOSE(tbl_abs[[#This Row],[Month of absence]],
"Jan","Feb","Mar","Apr","May","Jun","Jul","Aug","Sep","Oct","Nov","Dec")),"")</f>
        <v>Mar</v>
      </c>
      <c r="W191" s="53" t="str">
        <f>IFERROR(
IF(tbl_abs[[#This Row],[Age]]&lt;30,"&lt;30",
IF(tbl_abs[[#This Row],[Age]]&lt;40,"30–39",
IF(tbl_abs[[#This Row],[Age]]&lt;50,"40–49",
IF(tbl_abs[[#This Row],[Age]]&lt;60,"50–59",
"60+")))),"")</f>
        <v>30–39</v>
      </c>
      <c r="X191" s="53" t="str">
        <f>IFERROR(
IF(tbl_abs[[#This Row],[Distance from Residence to Work]]&lt;=5,"0–5",
IF(tbl_abs[[#This Row],[Distance from Residence to Work]]&lt;=10,"6–10",
IF(tbl_abs[[#This Row],[Distance from Residence to Work]]&lt;=20,"11–20",
"21+"))),"")</f>
        <v>21+</v>
      </c>
      <c r="Y191" s="53" t="str">
        <f>IFERROR(
IF(tbl_abs[[#This Row],[Body Mass Index]]&lt;18.5,"Underweight",
IF(tbl_abs[[#This Row],[Body Mass Index]]&lt;25,"Normal",
IF(tbl_abs[[#This Row],[Body Mass Index]]&lt;30,"Overweight",
"Obese"))),"")</f>
        <v>Obese</v>
      </c>
      <c r="Z191" s="53" t="str">
        <f>IFERROR(
IF(tbl_abs[[#This Row],[Absenteeism time in hours]]&lt;=2,"0–2",
IF(tbl_abs[[#This Row],[Absenteeism time in hours]]&lt;=8,"3–8",
IF(tbl_abs[[#This Row],[Absenteeism time in hours]]&lt;=16,"9–16",
"17+"))),"")</f>
        <v>0–2</v>
      </c>
    </row>
    <row r="192" spans="1:26" ht="15" customHeight="1" x14ac:dyDescent="0.3">
      <c r="A192">
        <v>3</v>
      </c>
      <c r="B192">
        <v>27</v>
      </c>
      <c r="C192" s="1">
        <v>3</v>
      </c>
      <c r="D192">
        <v>5</v>
      </c>
      <c r="E192">
        <v>2</v>
      </c>
      <c r="F192">
        <v>179</v>
      </c>
      <c r="G192" s="1">
        <v>51</v>
      </c>
      <c r="H192">
        <v>18</v>
      </c>
      <c r="I192" s="1">
        <v>38</v>
      </c>
      <c r="J192" s="2">
        <v>222196</v>
      </c>
      <c r="K192">
        <v>99</v>
      </c>
      <c r="L192">
        <v>0</v>
      </c>
      <c r="M192">
        <v>1</v>
      </c>
      <c r="N192">
        <v>0</v>
      </c>
      <c r="O192">
        <v>1</v>
      </c>
      <c r="P192">
        <v>0</v>
      </c>
      <c r="Q192">
        <v>0</v>
      </c>
      <c r="R192">
        <v>89</v>
      </c>
      <c r="S192">
        <v>170</v>
      </c>
      <c r="T192">
        <v>31</v>
      </c>
      <c r="U192">
        <v>3</v>
      </c>
      <c r="V192" s="53" t="str">
        <f>IFERROR(
IF(tbl_abs[[#This Row],[Month of absence]]=0,"Unknown",
CHOOSE(tbl_abs[[#This Row],[Month of absence]],
"Jan","Feb","Mar","Apr","May","Jun","Jul","Aug","Sep","Oct","Nov","Dec")),"")</f>
        <v>Mar</v>
      </c>
      <c r="W192" s="53" t="str">
        <f>IFERROR(
IF(tbl_abs[[#This Row],[Age]]&lt;30,"&lt;30",
IF(tbl_abs[[#This Row],[Age]]&lt;40,"30–39",
IF(tbl_abs[[#This Row],[Age]]&lt;50,"40–49",
IF(tbl_abs[[#This Row],[Age]]&lt;60,"50–59",
"60+")))),"")</f>
        <v>30–39</v>
      </c>
      <c r="X192" s="53" t="str">
        <f>IFERROR(
IF(tbl_abs[[#This Row],[Distance from Residence to Work]]&lt;=5,"0–5",
IF(tbl_abs[[#This Row],[Distance from Residence to Work]]&lt;=10,"6–10",
IF(tbl_abs[[#This Row],[Distance from Residence to Work]]&lt;=20,"11–20",
"21+"))),"")</f>
        <v>21+</v>
      </c>
      <c r="Y192" s="53" t="str">
        <f>IFERROR(
IF(tbl_abs[[#This Row],[Body Mass Index]]&lt;18.5,"Underweight",
IF(tbl_abs[[#This Row],[Body Mass Index]]&lt;25,"Normal",
IF(tbl_abs[[#This Row],[Body Mass Index]]&lt;30,"Overweight",
"Obese"))),"")</f>
        <v>Obese</v>
      </c>
      <c r="Z192" s="53" t="str">
        <f>IFERROR(
IF(tbl_abs[[#This Row],[Absenteeism time in hours]]&lt;=2,"0–2",
IF(tbl_abs[[#This Row],[Absenteeism time in hours]]&lt;=8,"3–8",
IF(tbl_abs[[#This Row],[Absenteeism time in hours]]&lt;=16,"9–16",
"17+"))),"")</f>
        <v>3–8</v>
      </c>
    </row>
    <row r="193" spans="1:26" ht="15" customHeight="1" x14ac:dyDescent="0.3">
      <c r="A193">
        <v>22</v>
      </c>
      <c r="B193">
        <v>27</v>
      </c>
      <c r="C193" s="1">
        <v>3</v>
      </c>
      <c r="D193">
        <v>6</v>
      </c>
      <c r="E193">
        <v>2</v>
      </c>
      <c r="F193">
        <v>179</v>
      </c>
      <c r="G193" s="1">
        <v>26</v>
      </c>
      <c r="H193">
        <v>9</v>
      </c>
      <c r="I193" s="1">
        <v>30</v>
      </c>
      <c r="J193" s="2">
        <v>222196</v>
      </c>
      <c r="K193">
        <v>99</v>
      </c>
      <c r="L193">
        <v>0</v>
      </c>
      <c r="M193">
        <v>3</v>
      </c>
      <c r="N193">
        <v>0</v>
      </c>
      <c r="O193">
        <v>0</v>
      </c>
      <c r="P193">
        <v>0</v>
      </c>
      <c r="Q193">
        <v>0</v>
      </c>
      <c r="R193">
        <v>56</v>
      </c>
      <c r="S193">
        <v>171</v>
      </c>
      <c r="T193">
        <v>19</v>
      </c>
      <c r="U193">
        <v>2</v>
      </c>
      <c r="V193" s="53" t="str">
        <f>IFERROR(
IF(tbl_abs[[#This Row],[Month of absence]]=0,"Unknown",
CHOOSE(tbl_abs[[#This Row],[Month of absence]],
"Jan","Feb","Mar","Apr","May","Jun","Jul","Aug","Sep","Oct","Nov","Dec")),"")</f>
        <v>Mar</v>
      </c>
      <c r="W193" s="53" t="str">
        <f>IFERROR(
IF(tbl_abs[[#This Row],[Age]]&lt;30,"&lt;30",
IF(tbl_abs[[#This Row],[Age]]&lt;40,"30–39",
IF(tbl_abs[[#This Row],[Age]]&lt;50,"40–49",
IF(tbl_abs[[#This Row],[Age]]&lt;60,"50–59",
"60+")))),"")</f>
        <v>30–39</v>
      </c>
      <c r="X193" s="53" t="str">
        <f>IFERROR(
IF(tbl_abs[[#This Row],[Distance from Residence to Work]]&lt;=5,"0–5",
IF(tbl_abs[[#This Row],[Distance from Residence to Work]]&lt;=10,"6–10",
IF(tbl_abs[[#This Row],[Distance from Residence to Work]]&lt;=20,"11–20",
"21+"))),"")</f>
        <v>21+</v>
      </c>
      <c r="Y193" s="53" t="str">
        <f>IFERROR(
IF(tbl_abs[[#This Row],[Body Mass Index]]&lt;18.5,"Underweight",
IF(tbl_abs[[#This Row],[Body Mass Index]]&lt;25,"Normal",
IF(tbl_abs[[#This Row],[Body Mass Index]]&lt;30,"Overweight",
"Obese"))),"")</f>
        <v>Normal</v>
      </c>
      <c r="Z193" s="53" t="str">
        <f>IFERROR(
IF(tbl_abs[[#This Row],[Absenteeism time in hours]]&lt;=2,"0–2",
IF(tbl_abs[[#This Row],[Absenteeism time in hours]]&lt;=8,"3–8",
IF(tbl_abs[[#This Row],[Absenteeism time in hours]]&lt;=16,"9–16",
"17+"))),"")</f>
        <v>0–2</v>
      </c>
    </row>
    <row r="194" spans="1:26" ht="15" customHeight="1" x14ac:dyDescent="0.3">
      <c r="A194">
        <v>3</v>
      </c>
      <c r="B194">
        <v>10</v>
      </c>
      <c r="C194" s="1">
        <v>3</v>
      </c>
      <c r="D194">
        <v>2</v>
      </c>
      <c r="E194">
        <v>2</v>
      </c>
      <c r="F194">
        <v>179</v>
      </c>
      <c r="G194" s="1">
        <v>51</v>
      </c>
      <c r="H194">
        <v>18</v>
      </c>
      <c r="I194" s="1">
        <v>38</v>
      </c>
      <c r="J194" s="2">
        <v>222196</v>
      </c>
      <c r="K194">
        <v>99</v>
      </c>
      <c r="L194">
        <v>0</v>
      </c>
      <c r="M194">
        <v>1</v>
      </c>
      <c r="N194">
        <v>0</v>
      </c>
      <c r="O194">
        <v>1</v>
      </c>
      <c r="P194">
        <v>0</v>
      </c>
      <c r="Q194">
        <v>0</v>
      </c>
      <c r="R194">
        <v>89</v>
      </c>
      <c r="S194">
        <v>170</v>
      </c>
      <c r="T194">
        <v>31</v>
      </c>
      <c r="U194">
        <v>4</v>
      </c>
      <c r="V194" s="53" t="str">
        <f>IFERROR(
IF(tbl_abs[[#This Row],[Month of absence]]=0,"Unknown",
CHOOSE(tbl_abs[[#This Row],[Month of absence]],
"Jan","Feb","Mar","Apr","May","Jun","Jul","Aug","Sep","Oct","Nov","Dec")),"")</f>
        <v>Mar</v>
      </c>
      <c r="W194" s="53" t="str">
        <f>IFERROR(
IF(tbl_abs[[#This Row],[Age]]&lt;30,"&lt;30",
IF(tbl_abs[[#This Row],[Age]]&lt;40,"30–39",
IF(tbl_abs[[#This Row],[Age]]&lt;50,"40–49",
IF(tbl_abs[[#This Row],[Age]]&lt;60,"50–59",
"60+")))),"")</f>
        <v>30–39</v>
      </c>
      <c r="X194" s="53" t="str">
        <f>IFERROR(
IF(tbl_abs[[#This Row],[Distance from Residence to Work]]&lt;=5,"0–5",
IF(tbl_abs[[#This Row],[Distance from Residence to Work]]&lt;=10,"6–10",
IF(tbl_abs[[#This Row],[Distance from Residence to Work]]&lt;=20,"11–20",
"21+"))),"")</f>
        <v>21+</v>
      </c>
      <c r="Y194" s="53" t="str">
        <f>IFERROR(
IF(tbl_abs[[#This Row],[Body Mass Index]]&lt;18.5,"Underweight",
IF(tbl_abs[[#This Row],[Body Mass Index]]&lt;25,"Normal",
IF(tbl_abs[[#This Row],[Body Mass Index]]&lt;30,"Overweight",
"Obese"))),"")</f>
        <v>Obese</v>
      </c>
      <c r="Z194" s="53" t="str">
        <f>IFERROR(
IF(tbl_abs[[#This Row],[Absenteeism time in hours]]&lt;=2,"0–2",
IF(tbl_abs[[#This Row],[Absenteeism time in hours]]&lt;=8,"3–8",
IF(tbl_abs[[#This Row],[Absenteeism time in hours]]&lt;=16,"9–16",
"17+"))),"")</f>
        <v>3–8</v>
      </c>
    </row>
    <row r="195" spans="1:26" ht="15" customHeight="1" x14ac:dyDescent="0.3">
      <c r="A195">
        <v>33</v>
      </c>
      <c r="B195">
        <v>13</v>
      </c>
      <c r="C195" s="1">
        <v>3</v>
      </c>
      <c r="D195">
        <v>2</v>
      </c>
      <c r="E195">
        <v>2</v>
      </c>
      <c r="F195">
        <v>248</v>
      </c>
      <c r="G195" s="1">
        <v>25</v>
      </c>
      <c r="H195">
        <v>14</v>
      </c>
      <c r="I195" s="1">
        <v>47</v>
      </c>
      <c r="J195" s="2">
        <v>222196</v>
      </c>
      <c r="K195">
        <v>99</v>
      </c>
      <c r="L195">
        <v>0</v>
      </c>
      <c r="M195">
        <v>1</v>
      </c>
      <c r="N195">
        <v>2</v>
      </c>
      <c r="O195">
        <v>0</v>
      </c>
      <c r="P195">
        <v>0</v>
      </c>
      <c r="Q195">
        <v>1</v>
      </c>
      <c r="R195">
        <v>86</v>
      </c>
      <c r="S195">
        <v>165</v>
      </c>
      <c r="T195">
        <v>32</v>
      </c>
      <c r="U195">
        <v>2</v>
      </c>
      <c r="V195" s="53" t="str">
        <f>IFERROR(
IF(tbl_abs[[#This Row],[Month of absence]]=0,"Unknown",
CHOOSE(tbl_abs[[#This Row],[Month of absence]],
"Jan","Feb","Mar","Apr","May","Jun","Jul","Aug","Sep","Oct","Nov","Dec")),"")</f>
        <v>Mar</v>
      </c>
      <c r="W195" s="53" t="str">
        <f>IFERROR(
IF(tbl_abs[[#This Row],[Age]]&lt;30,"&lt;30",
IF(tbl_abs[[#This Row],[Age]]&lt;40,"30–39",
IF(tbl_abs[[#This Row],[Age]]&lt;50,"40–49",
IF(tbl_abs[[#This Row],[Age]]&lt;60,"50–59",
"60+")))),"")</f>
        <v>40–49</v>
      </c>
      <c r="X195" s="53" t="str">
        <f>IFERROR(
IF(tbl_abs[[#This Row],[Distance from Residence to Work]]&lt;=5,"0–5",
IF(tbl_abs[[#This Row],[Distance from Residence to Work]]&lt;=10,"6–10",
IF(tbl_abs[[#This Row],[Distance from Residence to Work]]&lt;=20,"11–20",
"21+"))),"")</f>
        <v>21+</v>
      </c>
      <c r="Y195" s="53" t="str">
        <f>IFERROR(
IF(tbl_abs[[#This Row],[Body Mass Index]]&lt;18.5,"Underweight",
IF(tbl_abs[[#This Row],[Body Mass Index]]&lt;25,"Normal",
IF(tbl_abs[[#This Row],[Body Mass Index]]&lt;30,"Overweight",
"Obese"))),"")</f>
        <v>Obese</v>
      </c>
      <c r="Z195" s="53" t="str">
        <f>IFERROR(
IF(tbl_abs[[#This Row],[Absenteeism time in hours]]&lt;=2,"0–2",
IF(tbl_abs[[#This Row],[Absenteeism time in hours]]&lt;=8,"3–8",
IF(tbl_abs[[#This Row],[Absenteeism time in hours]]&lt;=16,"9–16",
"17+"))),"")</f>
        <v>0–2</v>
      </c>
    </row>
    <row r="196" spans="1:26" ht="15" customHeight="1" x14ac:dyDescent="0.3">
      <c r="A196">
        <v>3</v>
      </c>
      <c r="B196">
        <v>27</v>
      </c>
      <c r="C196" s="1">
        <v>3</v>
      </c>
      <c r="D196">
        <v>2</v>
      </c>
      <c r="E196">
        <v>2</v>
      </c>
      <c r="F196">
        <v>179</v>
      </c>
      <c r="G196" s="1">
        <v>51</v>
      </c>
      <c r="H196">
        <v>18</v>
      </c>
      <c r="I196" s="1">
        <v>38</v>
      </c>
      <c r="J196" s="2">
        <v>222196</v>
      </c>
      <c r="K196">
        <v>99</v>
      </c>
      <c r="L196">
        <v>0</v>
      </c>
      <c r="M196">
        <v>1</v>
      </c>
      <c r="N196">
        <v>0</v>
      </c>
      <c r="O196">
        <v>1</v>
      </c>
      <c r="P196">
        <v>0</v>
      </c>
      <c r="Q196">
        <v>0</v>
      </c>
      <c r="R196">
        <v>89</v>
      </c>
      <c r="S196">
        <v>170</v>
      </c>
      <c r="T196">
        <v>31</v>
      </c>
      <c r="U196">
        <v>3</v>
      </c>
      <c r="V196" s="53" t="str">
        <f>IFERROR(
IF(tbl_abs[[#This Row],[Month of absence]]=0,"Unknown",
CHOOSE(tbl_abs[[#This Row],[Month of absence]],
"Jan","Feb","Mar","Apr","May","Jun","Jul","Aug","Sep","Oct","Nov","Dec")),"")</f>
        <v>Mar</v>
      </c>
      <c r="W196" s="53" t="str">
        <f>IFERROR(
IF(tbl_abs[[#This Row],[Age]]&lt;30,"&lt;30",
IF(tbl_abs[[#This Row],[Age]]&lt;40,"30–39",
IF(tbl_abs[[#This Row],[Age]]&lt;50,"40–49",
IF(tbl_abs[[#This Row],[Age]]&lt;60,"50–59",
"60+")))),"")</f>
        <v>30–39</v>
      </c>
      <c r="X196" s="53" t="str">
        <f>IFERROR(
IF(tbl_abs[[#This Row],[Distance from Residence to Work]]&lt;=5,"0–5",
IF(tbl_abs[[#This Row],[Distance from Residence to Work]]&lt;=10,"6–10",
IF(tbl_abs[[#This Row],[Distance from Residence to Work]]&lt;=20,"11–20",
"21+"))),"")</f>
        <v>21+</v>
      </c>
      <c r="Y196" s="53" t="str">
        <f>IFERROR(
IF(tbl_abs[[#This Row],[Body Mass Index]]&lt;18.5,"Underweight",
IF(tbl_abs[[#This Row],[Body Mass Index]]&lt;25,"Normal",
IF(tbl_abs[[#This Row],[Body Mass Index]]&lt;30,"Overweight",
"Obese"))),"")</f>
        <v>Obese</v>
      </c>
      <c r="Z196" s="53" t="str">
        <f>IFERROR(
IF(tbl_abs[[#This Row],[Absenteeism time in hours]]&lt;=2,"0–2",
IF(tbl_abs[[#This Row],[Absenteeism time in hours]]&lt;=8,"3–8",
IF(tbl_abs[[#This Row],[Absenteeism time in hours]]&lt;=16,"9–16",
"17+"))),"")</f>
        <v>3–8</v>
      </c>
    </row>
    <row r="197" spans="1:26" ht="15" customHeight="1" x14ac:dyDescent="0.3">
      <c r="A197">
        <v>28</v>
      </c>
      <c r="B197">
        <v>7</v>
      </c>
      <c r="C197" s="1">
        <v>3</v>
      </c>
      <c r="D197">
        <v>2</v>
      </c>
      <c r="E197">
        <v>2</v>
      </c>
      <c r="F197">
        <v>225</v>
      </c>
      <c r="G197" s="1">
        <v>26</v>
      </c>
      <c r="H197">
        <v>9</v>
      </c>
      <c r="I197" s="1">
        <v>28</v>
      </c>
      <c r="J197" s="2">
        <v>222196</v>
      </c>
      <c r="K197">
        <v>99</v>
      </c>
      <c r="L197">
        <v>0</v>
      </c>
      <c r="M197">
        <v>1</v>
      </c>
      <c r="N197">
        <v>1</v>
      </c>
      <c r="O197">
        <v>0</v>
      </c>
      <c r="P197">
        <v>0</v>
      </c>
      <c r="Q197">
        <v>2</v>
      </c>
      <c r="R197">
        <v>69</v>
      </c>
      <c r="S197">
        <v>169</v>
      </c>
      <c r="T197">
        <v>24</v>
      </c>
      <c r="U197">
        <v>8</v>
      </c>
      <c r="V197" s="53" t="str">
        <f>IFERROR(
IF(tbl_abs[[#This Row],[Month of absence]]=0,"Unknown",
CHOOSE(tbl_abs[[#This Row],[Month of absence]],
"Jan","Feb","Mar","Apr","May","Jun","Jul","Aug","Sep","Oct","Nov","Dec")),"")</f>
        <v>Mar</v>
      </c>
      <c r="W197" s="53" t="str">
        <f>IFERROR(
IF(tbl_abs[[#This Row],[Age]]&lt;30,"&lt;30",
IF(tbl_abs[[#This Row],[Age]]&lt;40,"30–39",
IF(tbl_abs[[#This Row],[Age]]&lt;50,"40–49",
IF(tbl_abs[[#This Row],[Age]]&lt;60,"50–59",
"60+")))),"")</f>
        <v>&lt;30</v>
      </c>
      <c r="X197" s="53" t="str">
        <f>IFERROR(
IF(tbl_abs[[#This Row],[Distance from Residence to Work]]&lt;=5,"0–5",
IF(tbl_abs[[#This Row],[Distance from Residence to Work]]&lt;=10,"6–10",
IF(tbl_abs[[#This Row],[Distance from Residence to Work]]&lt;=20,"11–20",
"21+"))),"")</f>
        <v>21+</v>
      </c>
      <c r="Y197" s="53" t="str">
        <f>IFERROR(
IF(tbl_abs[[#This Row],[Body Mass Index]]&lt;18.5,"Underweight",
IF(tbl_abs[[#This Row],[Body Mass Index]]&lt;25,"Normal",
IF(tbl_abs[[#This Row],[Body Mass Index]]&lt;30,"Overweight",
"Obese"))),"")</f>
        <v>Normal</v>
      </c>
      <c r="Z197" s="53" t="str">
        <f>IFERROR(
IF(tbl_abs[[#This Row],[Absenteeism time in hours]]&lt;=2,"0–2",
IF(tbl_abs[[#This Row],[Absenteeism time in hours]]&lt;=8,"3–8",
IF(tbl_abs[[#This Row],[Absenteeism time in hours]]&lt;=16,"9–16",
"17+"))),"")</f>
        <v>3–8</v>
      </c>
    </row>
    <row r="198" spans="1:26" ht="15" customHeight="1" x14ac:dyDescent="0.3">
      <c r="A198">
        <v>3</v>
      </c>
      <c r="B198">
        <v>27</v>
      </c>
      <c r="C198" s="1">
        <v>3</v>
      </c>
      <c r="D198">
        <v>3</v>
      </c>
      <c r="E198">
        <v>2</v>
      </c>
      <c r="F198">
        <v>179</v>
      </c>
      <c r="G198" s="1">
        <v>51</v>
      </c>
      <c r="H198">
        <v>18</v>
      </c>
      <c r="I198" s="1">
        <v>38</v>
      </c>
      <c r="J198" s="2">
        <v>222196</v>
      </c>
      <c r="K198">
        <v>99</v>
      </c>
      <c r="L198">
        <v>0</v>
      </c>
      <c r="M198">
        <v>1</v>
      </c>
      <c r="N198">
        <v>0</v>
      </c>
      <c r="O198">
        <v>1</v>
      </c>
      <c r="P198">
        <v>0</v>
      </c>
      <c r="Q198">
        <v>0</v>
      </c>
      <c r="R198">
        <v>89</v>
      </c>
      <c r="S198">
        <v>170</v>
      </c>
      <c r="T198">
        <v>31</v>
      </c>
      <c r="U198">
        <v>2</v>
      </c>
      <c r="V198" s="53" t="str">
        <f>IFERROR(
IF(tbl_abs[[#This Row],[Month of absence]]=0,"Unknown",
CHOOSE(tbl_abs[[#This Row],[Month of absence]],
"Jan","Feb","Mar","Apr","May","Jun","Jul","Aug","Sep","Oct","Nov","Dec")),"")</f>
        <v>Mar</v>
      </c>
      <c r="W198" s="53" t="str">
        <f>IFERROR(
IF(tbl_abs[[#This Row],[Age]]&lt;30,"&lt;30",
IF(tbl_abs[[#This Row],[Age]]&lt;40,"30–39",
IF(tbl_abs[[#This Row],[Age]]&lt;50,"40–49",
IF(tbl_abs[[#This Row],[Age]]&lt;60,"50–59",
"60+")))),"")</f>
        <v>30–39</v>
      </c>
      <c r="X198" s="53" t="str">
        <f>IFERROR(
IF(tbl_abs[[#This Row],[Distance from Residence to Work]]&lt;=5,"0–5",
IF(tbl_abs[[#This Row],[Distance from Residence to Work]]&lt;=10,"6–10",
IF(tbl_abs[[#This Row],[Distance from Residence to Work]]&lt;=20,"11–20",
"21+"))),"")</f>
        <v>21+</v>
      </c>
      <c r="Y198" s="53" t="str">
        <f>IFERROR(
IF(tbl_abs[[#This Row],[Body Mass Index]]&lt;18.5,"Underweight",
IF(tbl_abs[[#This Row],[Body Mass Index]]&lt;25,"Normal",
IF(tbl_abs[[#This Row],[Body Mass Index]]&lt;30,"Overweight",
"Obese"))),"")</f>
        <v>Obese</v>
      </c>
      <c r="Z198" s="53" t="str">
        <f>IFERROR(
IF(tbl_abs[[#This Row],[Absenteeism time in hours]]&lt;=2,"0–2",
IF(tbl_abs[[#This Row],[Absenteeism time in hours]]&lt;=8,"3–8",
IF(tbl_abs[[#This Row],[Absenteeism time in hours]]&lt;=16,"9–16",
"17+"))),"")</f>
        <v>0–2</v>
      </c>
    </row>
    <row r="199" spans="1:26" ht="15" customHeight="1" x14ac:dyDescent="0.3">
      <c r="A199">
        <v>11</v>
      </c>
      <c r="B199">
        <v>23</v>
      </c>
      <c r="C199" s="1">
        <v>3</v>
      </c>
      <c r="D199">
        <v>4</v>
      </c>
      <c r="E199">
        <v>2</v>
      </c>
      <c r="F199">
        <v>289</v>
      </c>
      <c r="G199" s="1">
        <v>36</v>
      </c>
      <c r="H199">
        <v>13</v>
      </c>
      <c r="I199" s="1">
        <v>33</v>
      </c>
      <c r="J199" s="2">
        <v>222196</v>
      </c>
      <c r="K199">
        <v>99</v>
      </c>
      <c r="L199">
        <v>0</v>
      </c>
      <c r="M199">
        <v>1</v>
      </c>
      <c r="N199">
        <v>2</v>
      </c>
      <c r="O199">
        <v>1</v>
      </c>
      <c r="P199">
        <v>0</v>
      </c>
      <c r="Q199">
        <v>1</v>
      </c>
      <c r="R199">
        <v>90</v>
      </c>
      <c r="S199">
        <v>172</v>
      </c>
      <c r="T199">
        <v>30</v>
      </c>
      <c r="U199">
        <v>8</v>
      </c>
      <c r="V199" s="53" t="str">
        <f>IFERROR(
IF(tbl_abs[[#This Row],[Month of absence]]=0,"Unknown",
CHOOSE(tbl_abs[[#This Row],[Month of absence]],
"Jan","Feb","Mar","Apr","May","Jun","Jul","Aug","Sep","Oct","Nov","Dec")),"")</f>
        <v>Mar</v>
      </c>
      <c r="W199" s="53" t="str">
        <f>IFERROR(
IF(tbl_abs[[#This Row],[Age]]&lt;30,"&lt;30",
IF(tbl_abs[[#This Row],[Age]]&lt;40,"30–39",
IF(tbl_abs[[#This Row],[Age]]&lt;50,"40–49",
IF(tbl_abs[[#This Row],[Age]]&lt;60,"50–59",
"60+")))),"")</f>
        <v>30–39</v>
      </c>
      <c r="X199" s="53" t="str">
        <f>IFERROR(
IF(tbl_abs[[#This Row],[Distance from Residence to Work]]&lt;=5,"0–5",
IF(tbl_abs[[#This Row],[Distance from Residence to Work]]&lt;=10,"6–10",
IF(tbl_abs[[#This Row],[Distance from Residence to Work]]&lt;=20,"11–20",
"21+"))),"")</f>
        <v>21+</v>
      </c>
      <c r="Y199" s="53" t="str">
        <f>IFERROR(
IF(tbl_abs[[#This Row],[Body Mass Index]]&lt;18.5,"Underweight",
IF(tbl_abs[[#This Row],[Body Mass Index]]&lt;25,"Normal",
IF(tbl_abs[[#This Row],[Body Mass Index]]&lt;30,"Overweight",
"Obese"))),"")</f>
        <v>Obese</v>
      </c>
      <c r="Z199" s="53" t="str">
        <f>IFERROR(
IF(tbl_abs[[#This Row],[Absenteeism time in hours]]&lt;=2,"0–2",
IF(tbl_abs[[#This Row],[Absenteeism time in hours]]&lt;=8,"3–8",
IF(tbl_abs[[#This Row],[Absenteeism time in hours]]&lt;=16,"9–16",
"17+"))),"")</f>
        <v>3–8</v>
      </c>
    </row>
    <row r="200" spans="1:26" ht="15" customHeight="1" x14ac:dyDescent="0.3">
      <c r="A200">
        <v>9</v>
      </c>
      <c r="B200">
        <v>25</v>
      </c>
      <c r="C200" s="1">
        <v>3</v>
      </c>
      <c r="D200">
        <v>4</v>
      </c>
      <c r="E200">
        <v>2</v>
      </c>
      <c r="F200">
        <v>228</v>
      </c>
      <c r="G200" s="1">
        <v>14</v>
      </c>
      <c r="H200">
        <v>16</v>
      </c>
      <c r="I200" s="1">
        <v>58</v>
      </c>
      <c r="J200" s="2">
        <v>222196</v>
      </c>
      <c r="K200">
        <v>99</v>
      </c>
      <c r="L200">
        <v>0</v>
      </c>
      <c r="M200">
        <v>1</v>
      </c>
      <c r="N200">
        <v>2</v>
      </c>
      <c r="O200">
        <v>0</v>
      </c>
      <c r="P200">
        <v>0</v>
      </c>
      <c r="Q200">
        <v>1</v>
      </c>
      <c r="R200">
        <v>65</v>
      </c>
      <c r="S200">
        <v>172</v>
      </c>
      <c r="T200">
        <v>22</v>
      </c>
      <c r="U200">
        <v>2</v>
      </c>
      <c r="V200" s="53" t="str">
        <f>IFERROR(
IF(tbl_abs[[#This Row],[Month of absence]]=0,"Unknown",
CHOOSE(tbl_abs[[#This Row],[Month of absence]],
"Jan","Feb","Mar","Apr","May","Jun","Jul","Aug","Sep","Oct","Nov","Dec")),"")</f>
        <v>Mar</v>
      </c>
      <c r="W200" s="53" t="str">
        <f>IFERROR(
IF(tbl_abs[[#This Row],[Age]]&lt;30,"&lt;30",
IF(tbl_abs[[#This Row],[Age]]&lt;40,"30–39",
IF(tbl_abs[[#This Row],[Age]]&lt;50,"40–49",
IF(tbl_abs[[#This Row],[Age]]&lt;60,"50–59",
"60+")))),"")</f>
        <v>50–59</v>
      </c>
      <c r="X200" s="53" t="str">
        <f>IFERROR(
IF(tbl_abs[[#This Row],[Distance from Residence to Work]]&lt;=5,"0–5",
IF(tbl_abs[[#This Row],[Distance from Residence to Work]]&lt;=10,"6–10",
IF(tbl_abs[[#This Row],[Distance from Residence to Work]]&lt;=20,"11–20",
"21+"))),"")</f>
        <v>11–20</v>
      </c>
      <c r="Y200" s="53" t="str">
        <f>IFERROR(
IF(tbl_abs[[#This Row],[Body Mass Index]]&lt;18.5,"Underweight",
IF(tbl_abs[[#This Row],[Body Mass Index]]&lt;25,"Normal",
IF(tbl_abs[[#This Row],[Body Mass Index]]&lt;30,"Overweight",
"Obese"))),"")</f>
        <v>Normal</v>
      </c>
      <c r="Z200" s="53" t="str">
        <f>IFERROR(
IF(tbl_abs[[#This Row],[Absenteeism time in hours]]&lt;=2,"0–2",
IF(tbl_abs[[#This Row],[Absenteeism time in hours]]&lt;=8,"3–8",
IF(tbl_abs[[#This Row],[Absenteeism time in hours]]&lt;=16,"9–16",
"17+"))),"")</f>
        <v>0–2</v>
      </c>
    </row>
    <row r="201" spans="1:26" ht="15" customHeight="1" x14ac:dyDescent="0.3">
      <c r="A201">
        <v>3</v>
      </c>
      <c r="B201">
        <v>27</v>
      </c>
      <c r="C201" s="1">
        <v>3</v>
      </c>
      <c r="D201">
        <v>4</v>
      </c>
      <c r="E201">
        <v>2</v>
      </c>
      <c r="F201">
        <v>179</v>
      </c>
      <c r="G201" s="1">
        <v>51</v>
      </c>
      <c r="H201">
        <v>18</v>
      </c>
      <c r="I201" s="1">
        <v>38</v>
      </c>
      <c r="J201" s="2">
        <v>222196</v>
      </c>
      <c r="K201">
        <v>99</v>
      </c>
      <c r="L201">
        <v>0</v>
      </c>
      <c r="M201">
        <v>1</v>
      </c>
      <c r="N201">
        <v>0</v>
      </c>
      <c r="O201">
        <v>1</v>
      </c>
      <c r="P201">
        <v>0</v>
      </c>
      <c r="Q201">
        <v>0</v>
      </c>
      <c r="R201">
        <v>89</v>
      </c>
      <c r="S201">
        <v>170</v>
      </c>
      <c r="T201">
        <v>31</v>
      </c>
      <c r="U201">
        <v>2</v>
      </c>
      <c r="V201" s="53" t="str">
        <f>IFERROR(
IF(tbl_abs[[#This Row],[Month of absence]]=0,"Unknown",
CHOOSE(tbl_abs[[#This Row],[Month of absence]],
"Jan","Feb","Mar","Apr","May","Jun","Jul","Aug","Sep","Oct","Nov","Dec")),"")</f>
        <v>Mar</v>
      </c>
      <c r="W201" s="53" t="str">
        <f>IFERROR(
IF(tbl_abs[[#This Row],[Age]]&lt;30,"&lt;30",
IF(tbl_abs[[#This Row],[Age]]&lt;40,"30–39",
IF(tbl_abs[[#This Row],[Age]]&lt;50,"40–49",
IF(tbl_abs[[#This Row],[Age]]&lt;60,"50–59",
"60+")))),"")</f>
        <v>30–39</v>
      </c>
      <c r="X201" s="53" t="str">
        <f>IFERROR(
IF(tbl_abs[[#This Row],[Distance from Residence to Work]]&lt;=5,"0–5",
IF(tbl_abs[[#This Row],[Distance from Residence to Work]]&lt;=10,"6–10",
IF(tbl_abs[[#This Row],[Distance from Residence to Work]]&lt;=20,"11–20",
"21+"))),"")</f>
        <v>21+</v>
      </c>
      <c r="Y201" s="53" t="str">
        <f>IFERROR(
IF(tbl_abs[[#This Row],[Body Mass Index]]&lt;18.5,"Underweight",
IF(tbl_abs[[#This Row],[Body Mass Index]]&lt;25,"Normal",
IF(tbl_abs[[#This Row],[Body Mass Index]]&lt;30,"Overweight",
"Obese"))),"")</f>
        <v>Obese</v>
      </c>
      <c r="Z201" s="53" t="str">
        <f>IFERROR(
IF(tbl_abs[[#This Row],[Absenteeism time in hours]]&lt;=2,"0–2",
IF(tbl_abs[[#This Row],[Absenteeism time in hours]]&lt;=8,"3–8",
IF(tbl_abs[[#This Row],[Absenteeism time in hours]]&lt;=16,"9–16",
"17+"))),"")</f>
        <v>0–2</v>
      </c>
    </row>
    <row r="202" spans="1:26" ht="15" customHeight="1" x14ac:dyDescent="0.3">
      <c r="A202">
        <v>33</v>
      </c>
      <c r="B202">
        <v>23</v>
      </c>
      <c r="C202" s="1">
        <v>3</v>
      </c>
      <c r="D202">
        <v>5</v>
      </c>
      <c r="E202">
        <v>2</v>
      </c>
      <c r="F202">
        <v>248</v>
      </c>
      <c r="G202" s="1">
        <v>25</v>
      </c>
      <c r="H202">
        <v>14</v>
      </c>
      <c r="I202" s="1">
        <v>47</v>
      </c>
      <c r="J202" s="2">
        <v>222196</v>
      </c>
      <c r="K202">
        <v>99</v>
      </c>
      <c r="L202">
        <v>0</v>
      </c>
      <c r="M202">
        <v>1</v>
      </c>
      <c r="N202">
        <v>2</v>
      </c>
      <c r="O202">
        <v>0</v>
      </c>
      <c r="P202">
        <v>0</v>
      </c>
      <c r="Q202">
        <v>1</v>
      </c>
      <c r="R202">
        <v>86</v>
      </c>
      <c r="S202">
        <v>165</v>
      </c>
      <c r="T202">
        <v>32</v>
      </c>
      <c r="U202">
        <v>3</v>
      </c>
      <c r="V202" s="53" t="str">
        <f>IFERROR(
IF(tbl_abs[[#This Row],[Month of absence]]=0,"Unknown",
CHOOSE(tbl_abs[[#This Row],[Month of absence]],
"Jan","Feb","Mar","Apr","May","Jun","Jul","Aug","Sep","Oct","Nov","Dec")),"")</f>
        <v>Mar</v>
      </c>
      <c r="W202" s="53" t="str">
        <f>IFERROR(
IF(tbl_abs[[#This Row],[Age]]&lt;30,"&lt;30",
IF(tbl_abs[[#This Row],[Age]]&lt;40,"30–39",
IF(tbl_abs[[#This Row],[Age]]&lt;50,"40–49",
IF(tbl_abs[[#This Row],[Age]]&lt;60,"50–59",
"60+")))),"")</f>
        <v>40–49</v>
      </c>
      <c r="X202" s="53" t="str">
        <f>IFERROR(
IF(tbl_abs[[#This Row],[Distance from Residence to Work]]&lt;=5,"0–5",
IF(tbl_abs[[#This Row],[Distance from Residence to Work]]&lt;=10,"6–10",
IF(tbl_abs[[#This Row],[Distance from Residence to Work]]&lt;=20,"11–20",
"21+"))),"")</f>
        <v>21+</v>
      </c>
      <c r="Y202" s="53" t="str">
        <f>IFERROR(
IF(tbl_abs[[#This Row],[Body Mass Index]]&lt;18.5,"Underweight",
IF(tbl_abs[[#This Row],[Body Mass Index]]&lt;25,"Normal",
IF(tbl_abs[[#This Row],[Body Mass Index]]&lt;30,"Overweight",
"Obese"))),"")</f>
        <v>Obese</v>
      </c>
      <c r="Z202" s="53" t="str">
        <f>IFERROR(
IF(tbl_abs[[#This Row],[Absenteeism time in hours]]&lt;=2,"0–2",
IF(tbl_abs[[#This Row],[Absenteeism time in hours]]&lt;=8,"3–8",
IF(tbl_abs[[#This Row],[Absenteeism time in hours]]&lt;=16,"9–16",
"17+"))),"")</f>
        <v>3–8</v>
      </c>
    </row>
    <row r="203" spans="1:26" ht="15" customHeight="1" x14ac:dyDescent="0.3">
      <c r="A203">
        <v>3</v>
      </c>
      <c r="B203">
        <v>27</v>
      </c>
      <c r="C203" s="1">
        <v>3</v>
      </c>
      <c r="D203">
        <v>5</v>
      </c>
      <c r="E203">
        <v>2</v>
      </c>
      <c r="F203">
        <v>179</v>
      </c>
      <c r="G203" s="1">
        <v>51</v>
      </c>
      <c r="H203">
        <v>18</v>
      </c>
      <c r="I203" s="1">
        <v>38</v>
      </c>
      <c r="J203" s="2">
        <v>222196</v>
      </c>
      <c r="K203">
        <v>99</v>
      </c>
      <c r="L203">
        <v>0</v>
      </c>
      <c r="M203">
        <v>1</v>
      </c>
      <c r="N203">
        <v>0</v>
      </c>
      <c r="O203">
        <v>1</v>
      </c>
      <c r="P203">
        <v>0</v>
      </c>
      <c r="Q203">
        <v>0</v>
      </c>
      <c r="R203">
        <v>89</v>
      </c>
      <c r="S203">
        <v>170</v>
      </c>
      <c r="T203">
        <v>31</v>
      </c>
      <c r="U203">
        <v>3</v>
      </c>
      <c r="V203" s="53" t="str">
        <f>IFERROR(
IF(tbl_abs[[#This Row],[Month of absence]]=0,"Unknown",
CHOOSE(tbl_abs[[#This Row],[Month of absence]],
"Jan","Feb","Mar","Apr","May","Jun","Jul","Aug","Sep","Oct","Nov","Dec")),"")</f>
        <v>Mar</v>
      </c>
      <c r="W203" s="53" t="str">
        <f>IFERROR(
IF(tbl_abs[[#This Row],[Age]]&lt;30,"&lt;30",
IF(tbl_abs[[#This Row],[Age]]&lt;40,"30–39",
IF(tbl_abs[[#This Row],[Age]]&lt;50,"40–49",
IF(tbl_abs[[#This Row],[Age]]&lt;60,"50–59",
"60+")))),"")</f>
        <v>30–39</v>
      </c>
      <c r="X203" s="53" t="str">
        <f>IFERROR(
IF(tbl_abs[[#This Row],[Distance from Residence to Work]]&lt;=5,"0–5",
IF(tbl_abs[[#This Row],[Distance from Residence to Work]]&lt;=10,"6–10",
IF(tbl_abs[[#This Row],[Distance from Residence to Work]]&lt;=20,"11–20",
"21+"))),"")</f>
        <v>21+</v>
      </c>
      <c r="Y203" s="53" t="str">
        <f>IFERROR(
IF(tbl_abs[[#This Row],[Body Mass Index]]&lt;18.5,"Underweight",
IF(tbl_abs[[#This Row],[Body Mass Index]]&lt;25,"Normal",
IF(tbl_abs[[#This Row],[Body Mass Index]]&lt;30,"Overweight",
"Obese"))),"")</f>
        <v>Obese</v>
      </c>
      <c r="Z203" s="53" t="str">
        <f>IFERROR(
IF(tbl_abs[[#This Row],[Absenteeism time in hours]]&lt;=2,"0–2",
IF(tbl_abs[[#This Row],[Absenteeism time in hours]]&lt;=8,"3–8",
IF(tbl_abs[[#This Row],[Absenteeism time in hours]]&lt;=16,"9–16",
"17+"))),"")</f>
        <v>3–8</v>
      </c>
    </row>
    <row r="204" spans="1:26" ht="15" customHeight="1" x14ac:dyDescent="0.3">
      <c r="A204">
        <v>22</v>
      </c>
      <c r="B204">
        <v>23</v>
      </c>
      <c r="C204" s="1">
        <v>3</v>
      </c>
      <c r="D204">
        <v>6</v>
      </c>
      <c r="E204">
        <v>2</v>
      </c>
      <c r="F204">
        <v>179</v>
      </c>
      <c r="G204" s="1">
        <v>26</v>
      </c>
      <c r="H204">
        <v>9</v>
      </c>
      <c r="I204" s="1">
        <v>30</v>
      </c>
      <c r="J204" s="2">
        <v>222196</v>
      </c>
      <c r="K204">
        <v>99</v>
      </c>
      <c r="L204">
        <v>0</v>
      </c>
      <c r="M204">
        <v>3</v>
      </c>
      <c r="N204">
        <v>0</v>
      </c>
      <c r="O204">
        <v>0</v>
      </c>
      <c r="P204">
        <v>0</v>
      </c>
      <c r="Q204">
        <v>0</v>
      </c>
      <c r="R204">
        <v>56</v>
      </c>
      <c r="S204">
        <v>171</v>
      </c>
      <c r="T204">
        <v>19</v>
      </c>
      <c r="U204">
        <v>2</v>
      </c>
      <c r="V204" s="53" t="str">
        <f>IFERROR(
IF(tbl_abs[[#This Row],[Month of absence]]=0,"Unknown",
CHOOSE(tbl_abs[[#This Row],[Month of absence]],
"Jan","Feb","Mar","Apr","May","Jun","Jul","Aug","Sep","Oct","Nov","Dec")),"")</f>
        <v>Mar</v>
      </c>
      <c r="W204" s="53" t="str">
        <f>IFERROR(
IF(tbl_abs[[#This Row],[Age]]&lt;30,"&lt;30",
IF(tbl_abs[[#This Row],[Age]]&lt;40,"30–39",
IF(tbl_abs[[#This Row],[Age]]&lt;50,"40–49",
IF(tbl_abs[[#This Row],[Age]]&lt;60,"50–59",
"60+")))),"")</f>
        <v>30–39</v>
      </c>
      <c r="X204" s="53" t="str">
        <f>IFERROR(
IF(tbl_abs[[#This Row],[Distance from Residence to Work]]&lt;=5,"0–5",
IF(tbl_abs[[#This Row],[Distance from Residence to Work]]&lt;=10,"6–10",
IF(tbl_abs[[#This Row],[Distance from Residence to Work]]&lt;=20,"11–20",
"21+"))),"")</f>
        <v>21+</v>
      </c>
      <c r="Y204" s="53" t="str">
        <f>IFERROR(
IF(tbl_abs[[#This Row],[Body Mass Index]]&lt;18.5,"Underweight",
IF(tbl_abs[[#This Row],[Body Mass Index]]&lt;25,"Normal",
IF(tbl_abs[[#This Row],[Body Mass Index]]&lt;30,"Overweight",
"Obese"))),"")</f>
        <v>Normal</v>
      </c>
      <c r="Z204" s="53" t="str">
        <f>IFERROR(
IF(tbl_abs[[#This Row],[Absenteeism time in hours]]&lt;=2,"0–2",
IF(tbl_abs[[#This Row],[Absenteeism time in hours]]&lt;=8,"3–8",
IF(tbl_abs[[#This Row],[Absenteeism time in hours]]&lt;=16,"9–16",
"17+"))),"")</f>
        <v>0–2</v>
      </c>
    </row>
    <row r="205" spans="1:26" ht="15" customHeight="1" x14ac:dyDescent="0.3">
      <c r="A205">
        <v>3</v>
      </c>
      <c r="B205">
        <v>27</v>
      </c>
      <c r="C205" s="1">
        <v>3</v>
      </c>
      <c r="D205">
        <v>6</v>
      </c>
      <c r="E205">
        <v>2</v>
      </c>
      <c r="F205">
        <v>179</v>
      </c>
      <c r="G205" s="1">
        <v>51</v>
      </c>
      <c r="H205">
        <v>18</v>
      </c>
      <c r="I205" s="1">
        <v>38</v>
      </c>
      <c r="J205" s="2">
        <v>222196</v>
      </c>
      <c r="K205">
        <v>99</v>
      </c>
      <c r="L205">
        <v>0</v>
      </c>
      <c r="M205">
        <v>1</v>
      </c>
      <c r="N205">
        <v>0</v>
      </c>
      <c r="O205">
        <v>1</v>
      </c>
      <c r="P205">
        <v>0</v>
      </c>
      <c r="Q205">
        <v>0</v>
      </c>
      <c r="R205">
        <v>89</v>
      </c>
      <c r="S205">
        <v>170</v>
      </c>
      <c r="T205">
        <v>31</v>
      </c>
      <c r="U205">
        <v>3</v>
      </c>
      <c r="V205" s="53" t="str">
        <f>IFERROR(
IF(tbl_abs[[#This Row],[Month of absence]]=0,"Unknown",
CHOOSE(tbl_abs[[#This Row],[Month of absence]],
"Jan","Feb","Mar","Apr","May","Jun","Jul","Aug","Sep","Oct","Nov","Dec")),"")</f>
        <v>Mar</v>
      </c>
      <c r="W205" s="53" t="str">
        <f>IFERROR(
IF(tbl_abs[[#This Row],[Age]]&lt;30,"&lt;30",
IF(tbl_abs[[#This Row],[Age]]&lt;40,"30–39",
IF(tbl_abs[[#This Row],[Age]]&lt;50,"40–49",
IF(tbl_abs[[#This Row],[Age]]&lt;60,"50–59",
"60+")))),"")</f>
        <v>30–39</v>
      </c>
      <c r="X205" s="53" t="str">
        <f>IFERROR(
IF(tbl_abs[[#This Row],[Distance from Residence to Work]]&lt;=5,"0–5",
IF(tbl_abs[[#This Row],[Distance from Residence to Work]]&lt;=10,"6–10",
IF(tbl_abs[[#This Row],[Distance from Residence to Work]]&lt;=20,"11–20",
"21+"))),"")</f>
        <v>21+</v>
      </c>
      <c r="Y205" s="53" t="str">
        <f>IFERROR(
IF(tbl_abs[[#This Row],[Body Mass Index]]&lt;18.5,"Underweight",
IF(tbl_abs[[#This Row],[Body Mass Index]]&lt;25,"Normal",
IF(tbl_abs[[#This Row],[Body Mass Index]]&lt;30,"Overweight",
"Obese"))),"")</f>
        <v>Obese</v>
      </c>
      <c r="Z205" s="53" t="str">
        <f>IFERROR(
IF(tbl_abs[[#This Row],[Absenteeism time in hours]]&lt;=2,"0–2",
IF(tbl_abs[[#This Row],[Absenteeism time in hours]]&lt;=8,"3–8",
IF(tbl_abs[[#This Row],[Absenteeism time in hours]]&lt;=16,"9–16",
"17+"))),"")</f>
        <v>3–8</v>
      </c>
    </row>
    <row r="206" spans="1:26" ht="15" customHeight="1" x14ac:dyDescent="0.3">
      <c r="A206">
        <v>3</v>
      </c>
      <c r="B206">
        <v>27</v>
      </c>
      <c r="C206" s="1">
        <v>3</v>
      </c>
      <c r="D206">
        <v>3</v>
      </c>
      <c r="E206">
        <v>3</v>
      </c>
      <c r="F206">
        <v>179</v>
      </c>
      <c r="G206" s="1">
        <v>51</v>
      </c>
      <c r="H206">
        <v>18</v>
      </c>
      <c r="I206" s="1">
        <v>38</v>
      </c>
      <c r="J206" s="2">
        <v>222196</v>
      </c>
      <c r="K206">
        <v>99</v>
      </c>
      <c r="L206">
        <v>0</v>
      </c>
      <c r="M206">
        <v>1</v>
      </c>
      <c r="N206">
        <v>0</v>
      </c>
      <c r="O206">
        <v>1</v>
      </c>
      <c r="P206">
        <v>0</v>
      </c>
      <c r="Q206">
        <v>0</v>
      </c>
      <c r="R206">
        <v>89</v>
      </c>
      <c r="S206">
        <v>170</v>
      </c>
      <c r="T206">
        <v>31</v>
      </c>
      <c r="U206">
        <v>3</v>
      </c>
      <c r="V206" s="53" t="str">
        <f>IFERROR(
IF(tbl_abs[[#This Row],[Month of absence]]=0,"Unknown",
CHOOSE(tbl_abs[[#This Row],[Month of absence]],
"Jan","Feb","Mar","Apr","May","Jun","Jul","Aug","Sep","Oct","Nov","Dec")),"")</f>
        <v>Mar</v>
      </c>
      <c r="W206" s="53" t="str">
        <f>IFERROR(
IF(tbl_abs[[#This Row],[Age]]&lt;30,"&lt;30",
IF(tbl_abs[[#This Row],[Age]]&lt;40,"30–39",
IF(tbl_abs[[#This Row],[Age]]&lt;50,"40–49",
IF(tbl_abs[[#This Row],[Age]]&lt;60,"50–59",
"60+")))),"")</f>
        <v>30–39</v>
      </c>
      <c r="X206" s="53" t="str">
        <f>IFERROR(
IF(tbl_abs[[#This Row],[Distance from Residence to Work]]&lt;=5,"0–5",
IF(tbl_abs[[#This Row],[Distance from Residence to Work]]&lt;=10,"6–10",
IF(tbl_abs[[#This Row],[Distance from Residence to Work]]&lt;=20,"11–20",
"21+"))),"")</f>
        <v>21+</v>
      </c>
      <c r="Y206" s="53" t="str">
        <f>IFERROR(
IF(tbl_abs[[#This Row],[Body Mass Index]]&lt;18.5,"Underweight",
IF(tbl_abs[[#This Row],[Body Mass Index]]&lt;25,"Normal",
IF(tbl_abs[[#This Row],[Body Mass Index]]&lt;30,"Overweight",
"Obese"))),"")</f>
        <v>Obese</v>
      </c>
      <c r="Z206" s="53" t="str">
        <f>IFERROR(
IF(tbl_abs[[#This Row],[Absenteeism time in hours]]&lt;=2,"0–2",
IF(tbl_abs[[#This Row],[Absenteeism time in hours]]&lt;=8,"3–8",
IF(tbl_abs[[#This Row],[Absenteeism time in hours]]&lt;=16,"9–16",
"17+"))),"")</f>
        <v>3–8</v>
      </c>
    </row>
    <row r="207" spans="1:26" ht="15" customHeight="1" x14ac:dyDescent="0.3">
      <c r="A207">
        <v>16</v>
      </c>
      <c r="B207">
        <v>23</v>
      </c>
      <c r="C207" s="1">
        <v>3</v>
      </c>
      <c r="D207">
        <v>4</v>
      </c>
      <c r="E207">
        <v>3</v>
      </c>
      <c r="F207">
        <v>118</v>
      </c>
      <c r="G207" s="1">
        <v>15</v>
      </c>
      <c r="H207">
        <v>24</v>
      </c>
      <c r="I207" s="1">
        <v>46</v>
      </c>
      <c r="J207" s="2">
        <v>222196</v>
      </c>
      <c r="K207">
        <v>99</v>
      </c>
      <c r="L207">
        <v>0</v>
      </c>
      <c r="M207">
        <v>1</v>
      </c>
      <c r="N207">
        <v>2</v>
      </c>
      <c r="O207">
        <v>1</v>
      </c>
      <c r="P207">
        <v>1</v>
      </c>
      <c r="Q207">
        <v>0</v>
      </c>
      <c r="R207">
        <v>75</v>
      </c>
      <c r="S207">
        <v>175</v>
      </c>
      <c r="T207">
        <v>25</v>
      </c>
      <c r="U207">
        <v>8</v>
      </c>
      <c r="V207" s="53" t="str">
        <f>IFERROR(
IF(tbl_abs[[#This Row],[Month of absence]]=0,"Unknown",
CHOOSE(tbl_abs[[#This Row],[Month of absence]],
"Jan","Feb","Mar","Apr","May","Jun","Jul","Aug","Sep","Oct","Nov","Dec")),"")</f>
        <v>Mar</v>
      </c>
      <c r="W207" s="53" t="str">
        <f>IFERROR(
IF(tbl_abs[[#This Row],[Age]]&lt;30,"&lt;30",
IF(tbl_abs[[#This Row],[Age]]&lt;40,"30–39",
IF(tbl_abs[[#This Row],[Age]]&lt;50,"40–49",
IF(tbl_abs[[#This Row],[Age]]&lt;60,"50–59",
"60+")))),"")</f>
        <v>40–49</v>
      </c>
      <c r="X207" s="53" t="str">
        <f>IFERROR(
IF(tbl_abs[[#This Row],[Distance from Residence to Work]]&lt;=5,"0–5",
IF(tbl_abs[[#This Row],[Distance from Residence to Work]]&lt;=10,"6–10",
IF(tbl_abs[[#This Row],[Distance from Residence to Work]]&lt;=20,"11–20",
"21+"))),"")</f>
        <v>11–20</v>
      </c>
      <c r="Y207" s="53" t="str">
        <f>IFERROR(
IF(tbl_abs[[#This Row],[Body Mass Index]]&lt;18.5,"Underweight",
IF(tbl_abs[[#This Row],[Body Mass Index]]&lt;25,"Normal",
IF(tbl_abs[[#This Row],[Body Mass Index]]&lt;30,"Overweight",
"Obese"))),"")</f>
        <v>Overweight</v>
      </c>
      <c r="Z207" s="53" t="str">
        <f>IFERROR(
IF(tbl_abs[[#This Row],[Absenteeism time in hours]]&lt;=2,"0–2",
IF(tbl_abs[[#This Row],[Absenteeism time in hours]]&lt;=8,"3–8",
IF(tbl_abs[[#This Row],[Absenteeism time in hours]]&lt;=16,"9–16",
"17+"))),"")</f>
        <v>3–8</v>
      </c>
    </row>
    <row r="208" spans="1:26" ht="15" customHeight="1" x14ac:dyDescent="0.3">
      <c r="A208">
        <v>14</v>
      </c>
      <c r="B208">
        <v>13</v>
      </c>
      <c r="C208" s="1">
        <v>3</v>
      </c>
      <c r="D208">
        <v>4</v>
      </c>
      <c r="E208">
        <v>3</v>
      </c>
      <c r="F208">
        <v>155</v>
      </c>
      <c r="G208" s="1">
        <v>12</v>
      </c>
      <c r="H208">
        <v>14</v>
      </c>
      <c r="I208" s="1">
        <v>34</v>
      </c>
      <c r="J208" s="2">
        <v>222196</v>
      </c>
      <c r="K208">
        <v>99</v>
      </c>
      <c r="L208">
        <v>0</v>
      </c>
      <c r="M208">
        <v>1</v>
      </c>
      <c r="N208">
        <v>2</v>
      </c>
      <c r="O208">
        <v>1</v>
      </c>
      <c r="P208">
        <v>0</v>
      </c>
      <c r="Q208">
        <v>0</v>
      </c>
      <c r="R208">
        <v>95</v>
      </c>
      <c r="S208">
        <v>196</v>
      </c>
      <c r="T208">
        <v>25</v>
      </c>
      <c r="U208">
        <v>24</v>
      </c>
      <c r="V208" s="53" t="str">
        <f>IFERROR(
IF(tbl_abs[[#This Row],[Month of absence]]=0,"Unknown",
CHOOSE(tbl_abs[[#This Row],[Month of absence]],
"Jan","Feb","Mar","Apr","May","Jun","Jul","Aug","Sep","Oct","Nov","Dec")),"")</f>
        <v>Mar</v>
      </c>
      <c r="W208" s="53" t="str">
        <f>IFERROR(
IF(tbl_abs[[#This Row],[Age]]&lt;30,"&lt;30",
IF(tbl_abs[[#This Row],[Age]]&lt;40,"30–39",
IF(tbl_abs[[#This Row],[Age]]&lt;50,"40–49",
IF(tbl_abs[[#This Row],[Age]]&lt;60,"50–59",
"60+")))),"")</f>
        <v>30–39</v>
      </c>
      <c r="X208" s="53" t="str">
        <f>IFERROR(
IF(tbl_abs[[#This Row],[Distance from Residence to Work]]&lt;=5,"0–5",
IF(tbl_abs[[#This Row],[Distance from Residence to Work]]&lt;=10,"6–10",
IF(tbl_abs[[#This Row],[Distance from Residence to Work]]&lt;=20,"11–20",
"21+"))),"")</f>
        <v>11–20</v>
      </c>
      <c r="Y208" s="53" t="str">
        <f>IFERROR(
IF(tbl_abs[[#This Row],[Body Mass Index]]&lt;18.5,"Underweight",
IF(tbl_abs[[#This Row],[Body Mass Index]]&lt;25,"Normal",
IF(tbl_abs[[#This Row],[Body Mass Index]]&lt;30,"Overweight",
"Obese"))),"")</f>
        <v>Overweight</v>
      </c>
      <c r="Z208" s="53" t="str">
        <f>IFERROR(
IF(tbl_abs[[#This Row],[Absenteeism time in hours]]&lt;=2,"0–2",
IF(tbl_abs[[#This Row],[Absenteeism time in hours]]&lt;=8,"3–8",
IF(tbl_abs[[#This Row],[Absenteeism time in hours]]&lt;=16,"9–16",
"17+"))),"")</f>
        <v>17+</v>
      </c>
    </row>
    <row r="209" spans="1:26" ht="15" customHeight="1" x14ac:dyDescent="0.3">
      <c r="A209">
        <v>3</v>
      </c>
      <c r="B209">
        <v>27</v>
      </c>
      <c r="C209" s="1">
        <v>3</v>
      </c>
      <c r="D209">
        <v>4</v>
      </c>
      <c r="E209">
        <v>3</v>
      </c>
      <c r="F209">
        <v>179</v>
      </c>
      <c r="G209" s="1">
        <v>51</v>
      </c>
      <c r="H209">
        <v>18</v>
      </c>
      <c r="I209" s="1">
        <v>38</v>
      </c>
      <c r="J209" s="2">
        <v>222196</v>
      </c>
      <c r="K209">
        <v>99</v>
      </c>
      <c r="L209">
        <v>0</v>
      </c>
      <c r="M209">
        <v>1</v>
      </c>
      <c r="N209">
        <v>0</v>
      </c>
      <c r="O209">
        <v>1</v>
      </c>
      <c r="P209">
        <v>0</v>
      </c>
      <c r="Q209">
        <v>0</v>
      </c>
      <c r="R209">
        <v>89</v>
      </c>
      <c r="S209">
        <v>170</v>
      </c>
      <c r="T209">
        <v>31</v>
      </c>
      <c r="U209">
        <v>3</v>
      </c>
      <c r="V209" s="53" t="str">
        <f>IFERROR(
IF(tbl_abs[[#This Row],[Month of absence]]=0,"Unknown",
CHOOSE(tbl_abs[[#This Row],[Month of absence]],
"Jan","Feb","Mar","Apr","May","Jun","Jul","Aug","Sep","Oct","Nov","Dec")),"")</f>
        <v>Mar</v>
      </c>
      <c r="W209" s="53" t="str">
        <f>IFERROR(
IF(tbl_abs[[#This Row],[Age]]&lt;30,"&lt;30",
IF(tbl_abs[[#This Row],[Age]]&lt;40,"30–39",
IF(tbl_abs[[#This Row],[Age]]&lt;50,"40–49",
IF(tbl_abs[[#This Row],[Age]]&lt;60,"50–59",
"60+")))),"")</f>
        <v>30–39</v>
      </c>
      <c r="X209" s="53" t="str">
        <f>IFERROR(
IF(tbl_abs[[#This Row],[Distance from Residence to Work]]&lt;=5,"0–5",
IF(tbl_abs[[#This Row],[Distance from Residence to Work]]&lt;=10,"6–10",
IF(tbl_abs[[#This Row],[Distance from Residence to Work]]&lt;=20,"11–20",
"21+"))),"")</f>
        <v>21+</v>
      </c>
      <c r="Y209" s="53" t="str">
        <f>IFERROR(
IF(tbl_abs[[#This Row],[Body Mass Index]]&lt;18.5,"Underweight",
IF(tbl_abs[[#This Row],[Body Mass Index]]&lt;25,"Normal",
IF(tbl_abs[[#This Row],[Body Mass Index]]&lt;30,"Overweight",
"Obese"))),"")</f>
        <v>Obese</v>
      </c>
      <c r="Z209" s="53" t="str">
        <f>IFERROR(
IF(tbl_abs[[#This Row],[Absenteeism time in hours]]&lt;=2,"0–2",
IF(tbl_abs[[#This Row],[Absenteeism time in hours]]&lt;=8,"3–8",
IF(tbl_abs[[#This Row],[Absenteeism time in hours]]&lt;=16,"9–16",
"17+"))),"")</f>
        <v>3–8</v>
      </c>
    </row>
    <row r="210" spans="1:26" ht="15" customHeight="1" x14ac:dyDescent="0.3">
      <c r="A210">
        <v>3</v>
      </c>
      <c r="B210">
        <v>27</v>
      </c>
      <c r="C210" s="1">
        <v>3</v>
      </c>
      <c r="D210">
        <v>5</v>
      </c>
      <c r="E210">
        <v>3</v>
      </c>
      <c r="F210">
        <v>179</v>
      </c>
      <c r="G210" s="1">
        <v>51</v>
      </c>
      <c r="H210">
        <v>18</v>
      </c>
      <c r="I210" s="1">
        <v>38</v>
      </c>
      <c r="J210" s="2">
        <v>222196</v>
      </c>
      <c r="K210">
        <v>99</v>
      </c>
      <c r="L210">
        <v>0</v>
      </c>
      <c r="M210">
        <v>1</v>
      </c>
      <c r="N210">
        <v>0</v>
      </c>
      <c r="O210">
        <v>1</v>
      </c>
      <c r="P210">
        <v>0</v>
      </c>
      <c r="Q210">
        <v>0</v>
      </c>
      <c r="R210">
        <v>89</v>
      </c>
      <c r="S210">
        <v>170</v>
      </c>
      <c r="T210">
        <v>31</v>
      </c>
      <c r="U210">
        <v>3</v>
      </c>
      <c r="V210" s="53" t="str">
        <f>IFERROR(
IF(tbl_abs[[#This Row],[Month of absence]]=0,"Unknown",
CHOOSE(tbl_abs[[#This Row],[Month of absence]],
"Jan","Feb","Mar","Apr","May","Jun","Jul","Aug","Sep","Oct","Nov","Dec")),"")</f>
        <v>Mar</v>
      </c>
      <c r="W210" s="53" t="str">
        <f>IFERROR(
IF(tbl_abs[[#This Row],[Age]]&lt;30,"&lt;30",
IF(tbl_abs[[#This Row],[Age]]&lt;40,"30–39",
IF(tbl_abs[[#This Row],[Age]]&lt;50,"40–49",
IF(tbl_abs[[#This Row],[Age]]&lt;60,"50–59",
"60+")))),"")</f>
        <v>30–39</v>
      </c>
      <c r="X210" s="53" t="str">
        <f>IFERROR(
IF(tbl_abs[[#This Row],[Distance from Residence to Work]]&lt;=5,"0–5",
IF(tbl_abs[[#This Row],[Distance from Residence to Work]]&lt;=10,"6–10",
IF(tbl_abs[[#This Row],[Distance from Residence to Work]]&lt;=20,"11–20",
"21+"))),"")</f>
        <v>21+</v>
      </c>
      <c r="Y210" s="53" t="str">
        <f>IFERROR(
IF(tbl_abs[[#This Row],[Body Mass Index]]&lt;18.5,"Underweight",
IF(tbl_abs[[#This Row],[Body Mass Index]]&lt;25,"Normal",
IF(tbl_abs[[#This Row],[Body Mass Index]]&lt;30,"Overweight",
"Obese"))),"")</f>
        <v>Obese</v>
      </c>
      <c r="Z210" s="53" t="str">
        <f>IFERROR(
IF(tbl_abs[[#This Row],[Absenteeism time in hours]]&lt;=2,"0–2",
IF(tbl_abs[[#This Row],[Absenteeism time in hours]]&lt;=8,"3–8",
IF(tbl_abs[[#This Row],[Absenteeism time in hours]]&lt;=16,"9–16",
"17+"))),"")</f>
        <v>3–8</v>
      </c>
    </row>
    <row r="211" spans="1:26" ht="15" customHeight="1" x14ac:dyDescent="0.3">
      <c r="A211">
        <v>22</v>
      </c>
      <c r="B211">
        <v>13</v>
      </c>
      <c r="C211" s="1">
        <v>3</v>
      </c>
      <c r="D211">
        <v>2</v>
      </c>
      <c r="E211">
        <v>3</v>
      </c>
      <c r="F211">
        <v>179</v>
      </c>
      <c r="G211" s="1">
        <v>26</v>
      </c>
      <c r="H211">
        <v>9</v>
      </c>
      <c r="I211" s="1">
        <v>30</v>
      </c>
      <c r="J211" s="2">
        <v>222196</v>
      </c>
      <c r="K211">
        <v>99</v>
      </c>
      <c r="L211">
        <v>0</v>
      </c>
      <c r="M211">
        <v>3</v>
      </c>
      <c r="N211">
        <v>0</v>
      </c>
      <c r="O211">
        <v>0</v>
      </c>
      <c r="P211">
        <v>0</v>
      </c>
      <c r="Q211">
        <v>0</v>
      </c>
      <c r="R211">
        <v>56</v>
      </c>
      <c r="S211">
        <v>171</v>
      </c>
      <c r="T211">
        <v>19</v>
      </c>
      <c r="U211">
        <v>2</v>
      </c>
      <c r="V211" s="53" t="str">
        <f>IFERROR(
IF(tbl_abs[[#This Row],[Month of absence]]=0,"Unknown",
CHOOSE(tbl_abs[[#This Row],[Month of absence]],
"Jan","Feb","Mar","Apr","May","Jun","Jul","Aug","Sep","Oct","Nov","Dec")),"")</f>
        <v>Mar</v>
      </c>
      <c r="W211" s="53" t="str">
        <f>IFERROR(
IF(tbl_abs[[#This Row],[Age]]&lt;30,"&lt;30",
IF(tbl_abs[[#This Row],[Age]]&lt;40,"30–39",
IF(tbl_abs[[#This Row],[Age]]&lt;50,"40–49",
IF(tbl_abs[[#This Row],[Age]]&lt;60,"50–59",
"60+")))),"")</f>
        <v>30–39</v>
      </c>
      <c r="X211" s="53" t="str">
        <f>IFERROR(
IF(tbl_abs[[#This Row],[Distance from Residence to Work]]&lt;=5,"0–5",
IF(tbl_abs[[#This Row],[Distance from Residence to Work]]&lt;=10,"6–10",
IF(tbl_abs[[#This Row],[Distance from Residence to Work]]&lt;=20,"11–20",
"21+"))),"")</f>
        <v>21+</v>
      </c>
      <c r="Y211" s="53" t="str">
        <f>IFERROR(
IF(tbl_abs[[#This Row],[Body Mass Index]]&lt;18.5,"Underweight",
IF(tbl_abs[[#This Row],[Body Mass Index]]&lt;25,"Normal",
IF(tbl_abs[[#This Row],[Body Mass Index]]&lt;30,"Overweight",
"Obese"))),"")</f>
        <v>Normal</v>
      </c>
      <c r="Z211" s="53" t="str">
        <f>IFERROR(
IF(tbl_abs[[#This Row],[Absenteeism time in hours]]&lt;=2,"0–2",
IF(tbl_abs[[#This Row],[Absenteeism time in hours]]&lt;=8,"3–8",
IF(tbl_abs[[#This Row],[Absenteeism time in hours]]&lt;=16,"9–16",
"17+"))),"")</f>
        <v>0–2</v>
      </c>
    </row>
    <row r="212" spans="1:26" ht="15" customHeight="1" x14ac:dyDescent="0.3">
      <c r="A212">
        <v>11</v>
      </c>
      <c r="B212">
        <v>19</v>
      </c>
      <c r="C212" s="1">
        <v>3</v>
      </c>
      <c r="D212">
        <v>2</v>
      </c>
      <c r="E212">
        <v>3</v>
      </c>
      <c r="F212">
        <v>289</v>
      </c>
      <c r="G212" s="1">
        <v>36</v>
      </c>
      <c r="H212">
        <v>13</v>
      </c>
      <c r="I212" s="1">
        <v>33</v>
      </c>
      <c r="J212" s="2">
        <v>222196</v>
      </c>
      <c r="K212">
        <v>99</v>
      </c>
      <c r="L212">
        <v>0</v>
      </c>
      <c r="M212">
        <v>1</v>
      </c>
      <c r="N212">
        <v>2</v>
      </c>
      <c r="O212">
        <v>1</v>
      </c>
      <c r="P212">
        <v>0</v>
      </c>
      <c r="Q212">
        <v>1</v>
      </c>
      <c r="R212">
        <v>90</v>
      </c>
      <c r="S212">
        <v>172</v>
      </c>
      <c r="T212">
        <v>30</v>
      </c>
      <c r="U212">
        <v>104</v>
      </c>
      <c r="V212" s="53" t="str">
        <f>IFERROR(
IF(tbl_abs[[#This Row],[Month of absence]]=0,"Unknown",
CHOOSE(tbl_abs[[#This Row],[Month of absence]],
"Jan","Feb","Mar","Apr","May","Jun","Jul","Aug","Sep","Oct","Nov","Dec")),"")</f>
        <v>Mar</v>
      </c>
      <c r="W212" s="53" t="str">
        <f>IFERROR(
IF(tbl_abs[[#This Row],[Age]]&lt;30,"&lt;30",
IF(tbl_abs[[#This Row],[Age]]&lt;40,"30–39",
IF(tbl_abs[[#This Row],[Age]]&lt;50,"40–49",
IF(tbl_abs[[#This Row],[Age]]&lt;60,"50–59",
"60+")))),"")</f>
        <v>30–39</v>
      </c>
      <c r="X212" s="53" t="str">
        <f>IFERROR(
IF(tbl_abs[[#This Row],[Distance from Residence to Work]]&lt;=5,"0–5",
IF(tbl_abs[[#This Row],[Distance from Residence to Work]]&lt;=10,"6–10",
IF(tbl_abs[[#This Row],[Distance from Residence to Work]]&lt;=20,"11–20",
"21+"))),"")</f>
        <v>21+</v>
      </c>
      <c r="Y212" s="53" t="str">
        <f>IFERROR(
IF(tbl_abs[[#This Row],[Body Mass Index]]&lt;18.5,"Underweight",
IF(tbl_abs[[#This Row],[Body Mass Index]]&lt;25,"Normal",
IF(tbl_abs[[#This Row],[Body Mass Index]]&lt;30,"Overweight",
"Obese"))),"")</f>
        <v>Obese</v>
      </c>
      <c r="Z212" s="53" t="str">
        <f>IFERROR(
IF(tbl_abs[[#This Row],[Absenteeism time in hours]]&lt;=2,"0–2",
IF(tbl_abs[[#This Row],[Absenteeism time in hours]]&lt;=8,"3–8",
IF(tbl_abs[[#This Row],[Absenteeism time in hours]]&lt;=16,"9–16",
"17+"))),"")</f>
        <v>17+</v>
      </c>
    </row>
    <row r="213" spans="1:26" ht="15" customHeight="1" x14ac:dyDescent="0.3">
      <c r="A213">
        <v>13</v>
      </c>
      <c r="B213">
        <v>22</v>
      </c>
      <c r="C213" s="1">
        <v>3</v>
      </c>
      <c r="D213">
        <v>4</v>
      </c>
      <c r="E213">
        <v>3</v>
      </c>
      <c r="F213">
        <v>369</v>
      </c>
      <c r="G213" s="1">
        <v>17</v>
      </c>
      <c r="H213">
        <v>12</v>
      </c>
      <c r="I213" s="1">
        <v>31</v>
      </c>
      <c r="J213" s="2">
        <v>222196</v>
      </c>
      <c r="K213">
        <v>99</v>
      </c>
      <c r="L213">
        <v>0</v>
      </c>
      <c r="M213">
        <v>1</v>
      </c>
      <c r="N213">
        <v>3</v>
      </c>
      <c r="O213">
        <v>1</v>
      </c>
      <c r="P213">
        <v>0</v>
      </c>
      <c r="Q213">
        <v>0</v>
      </c>
      <c r="R213">
        <v>70</v>
      </c>
      <c r="S213">
        <v>169</v>
      </c>
      <c r="T213">
        <v>25</v>
      </c>
      <c r="U213">
        <v>8</v>
      </c>
      <c r="V213" s="53" t="str">
        <f>IFERROR(
IF(tbl_abs[[#This Row],[Month of absence]]=0,"Unknown",
CHOOSE(tbl_abs[[#This Row],[Month of absence]],
"Jan","Feb","Mar","Apr","May","Jun","Jul","Aug","Sep","Oct","Nov","Dec")),"")</f>
        <v>Mar</v>
      </c>
      <c r="W213" s="53" t="str">
        <f>IFERROR(
IF(tbl_abs[[#This Row],[Age]]&lt;30,"&lt;30",
IF(tbl_abs[[#This Row],[Age]]&lt;40,"30–39",
IF(tbl_abs[[#This Row],[Age]]&lt;50,"40–49",
IF(tbl_abs[[#This Row],[Age]]&lt;60,"50–59",
"60+")))),"")</f>
        <v>30–39</v>
      </c>
      <c r="X213" s="53" t="str">
        <f>IFERROR(
IF(tbl_abs[[#This Row],[Distance from Residence to Work]]&lt;=5,"0–5",
IF(tbl_abs[[#This Row],[Distance from Residence to Work]]&lt;=10,"6–10",
IF(tbl_abs[[#This Row],[Distance from Residence to Work]]&lt;=20,"11–20",
"21+"))),"")</f>
        <v>11–20</v>
      </c>
      <c r="Y213" s="53" t="str">
        <f>IFERROR(
IF(tbl_abs[[#This Row],[Body Mass Index]]&lt;18.5,"Underweight",
IF(tbl_abs[[#This Row],[Body Mass Index]]&lt;25,"Normal",
IF(tbl_abs[[#This Row],[Body Mass Index]]&lt;30,"Overweight",
"Obese"))),"")</f>
        <v>Overweight</v>
      </c>
      <c r="Z213" s="53" t="str">
        <f>IFERROR(
IF(tbl_abs[[#This Row],[Absenteeism time in hours]]&lt;=2,"0–2",
IF(tbl_abs[[#This Row],[Absenteeism time in hours]]&lt;=8,"3–8",
IF(tbl_abs[[#This Row],[Absenteeism time in hours]]&lt;=16,"9–16",
"17+"))),"")</f>
        <v>3–8</v>
      </c>
    </row>
    <row r="214" spans="1:26" ht="15" customHeight="1" x14ac:dyDescent="0.3">
      <c r="A214">
        <v>15</v>
      </c>
      <c r="B214">
        <v>28</v>
      </c>
      <c r="C214" s="1">
        <v>4</v>
      </c>
      <c r="D214">
        <v>4</v>
      </c>
      <c r="E214">
        <v>3</v>
      </c>
      <c r="F214">
        <v>291</v>
      </c>
      <c r="G214" s="1">
        <v>31</v>
      </c>
      <c r="H214">
        <v>12</v>
      </c>
      <c r="I214" s="1">
        <v>40</v>
      </c>
      <c r="J214" s="2">
        <v>326452</v>
      </c>
      <c r="K214">
        <v>96</v>
      </c>
      <c r="L214">
        <v>0</v>
      </c>
      <c r="M214">
        <v>1</v>
      </c>
      <c r="N214">
        <v>1</v>
      </c>
      <c r="O214">
        <v>1</v>
      </c>
      <c r="P214">
        <v>0</v>
      </c>
      <c r="Q214">
        <v>1</v>
      </c>
      <c r="R214">
        <v>73</v>
      </c>
      <c r="S214">
        <v>171</v>
      </c>
      <c r="T214">
        <v>25</v>
      </c>
      <c r="U214">
        <v>1</v>
      </c>
      <c r="V214" s="53" t="str">
        <f>IFERROR(
IF(tbl_abs[[#This Row],[Month of absence]]=0,"Unknown",
CHOOSE(tbl_abs[[#This Row],[Month of absence]],
"Jan","Feb","Mar","Apr","May","Jun","Jul","Aug","Sep","Oct","Nov","Dec")),"")</f>
        <v>Apr</v>
      </c>
      <c r="W214" s="53" t="str">
        <f>IFERROR(
IF(tbl_abs[[#This Row],[Age]]&lt;30,"&lt;30",
IF(tbl_abs[[#This Row],[Age]]&lt;40,"30–39",
IF(tbl_abs[[#This Row],[Age]]&lt;50,"40–49",
IF(tbl_abs[[#This Row],[Age]]&lt;60,"50–59",
"60+")))),"")</f>
        <v>40–49</v>
      </c>
      <c r="X214" s="53" t="str">
        <f>IFERROR(
IF(tbl_abs[[#This Row],[Distance from Residence to Work]]&lt;=5,"0–5",
IF(tbl_abs[[#This Row],[Distance from Residence to Work]]&lt;=10,"6–10",
IF(tbl_abs[[#This Row],[Distance from Residence to Work]]&lt;=20,"11–20",
"21+"))),"")</f>
        <v>21+</v>
      </c>
      <c r="Y214" s="53" t="str">
        <f>IFERROR(
IF(tbl_abs[[#This Row],[Body Mass Index]]&lt;18.5,"Underweight",
IF(tbl_abs[[#This Row],[Body Mass Index]]&lt;25,"Normal",
IF(tbl_abs[[#This Row],[Body Mass Index]]&lt;30,"Overweight",
"Obese"))),"")</f>
        <v>Overweight</v>
      </c>
      <c r="Z214" s="53" t="str">
        <f>IFERROR(
IF(tbl_abs[[#This Row],[Absenteeism time in hours]]&lt;=2,"0–2",
IF(tbl_abs[[#This Row],[Absenteeism time in hours]]&lt;=8,"3–8",
IF(tbl_abs[[#This Row],[Absenteeism time in hours]]&lt;=16,"9–16",
"17+"))),"")</f>
        <v>0–2</v>
      </c>
    </row>
    <row r="215" spans="1:26" ht="15" customHeight="1" x14ac:dyDescent="0.3">
      <c r="A215">
        <v>28</v>
      </c>
      <c r="B215">
        <v>23</v>
      </c>
      <c r="C215" s="1">
        <v>4</v>
      </c>
      <c r="D215">
        <v>4</v>
      </c>
      <c r="E215">
        <v>3</v>
      </c>
      <c r="F215">
        <v>225</v>
      </c>
      <c r="G215" s="1">
        <v>26</v>
      </c>
      <c r="H215">
        <v>9</v>
      </c>
      <c r="I215" s="1">
        <v>28</v>
      </c>
      <c r="J215" s="2">
        <v>326452</v>
      </c>
      <c r="K215">
        <v>96</v>
      </c>
      <c r="L215">
        <v>0</v>
      </c>
      <c r="M215">
        <v>1</v>
      </c>
      <c r="N215">
        <v>1</v>
      </c>
      <c r="O215">
        <v>0</v>
      </c>
      <c r="P215">
        <v>0</v>
      </c>
      <c r="Q215">
        <v>2</v>
      </c>
      <c r="R215">
        <v>69</v>
      </c>
      <c r="S215">
        <v>169</v>
      </c>
      <c r="T215">
        <v>24</v>
      </c>
      <c r="U215">
        <v>1</v>
      </c>
      <c r="V215" s="53" t="str">
        <f>IFERROR(
IF(tbl_abs[[#This Row],[Month of absence]]=0,"Unknown",
CHOOSE(tbl_abs[[#This Row],[Month of absence]],
"Jan","Feb","Mar","Apr","May","Jun","Jul","Aug","Sep","Oct","Nov","Dec")),"")</f>
        <v>Apr</v>
      </c>
      <c r="W215" s="53" t="str">
        <f>IFERROR(
IF(tbl_abs[[#This Row],[Age]]&lt;30,"&lt;30",
IF(tbl_abs[[#This Row],[Age]]&lt;40,"30–39",
IF(tbl_abs[[#This Row],[Age]]&lt;50,"40–49",
IF(tbl_abs[[#This Row],[Age]]&lt;60,"50–59",
"60+")))),"")</f>
        <v>&lt;30</v>
      </c>
      <c r="X215" s="53" t="str">
        <f>IFERROR(
IF(tbl_abs[[#This Row],[Distance from Residence to Work]]&lt;=5,"0–5",
IF(tbl_abs[[#This Row],[Distance from Residence to Work]]&lt;=10,"6–10",
IF(tbl_abs[[#This Row],[Distance from Residence to Work]]&lt;=20,"11–20",
"21+"))),"")</f>
        <v>21+</v>
      </c>
      <c r="Y215" s="53" t="str">
        <f>IFERROR(
IF(tbl_abs[[#This Row],[Body Mass Index]]&lt;18.5,"Underweight",
IF(tbl_abs[[#This Row],[Body Mass Index]]&lt;25,"Normal",
IF(tbl_abs[[#This Row],[Body Mass Index]]&lt;30,"Overweight",
"Obese"))),"")</f>
        <v>Normal</v>
      </c>
      <c r="Z215" s="53" t="str">
        <f>IFERROR(
IF(tbl_abs[[#This Row],[Absenteeism time in hours]]&lt;=2,"0–2",
IF(tbl_abs[[#This Row],[Absenteeism time in hours]]&lt;=8,"3–8",
IF(tbl_abs[[#This Row],[Absenteeism time in hours]]&lt;=16,"9–16",
"17+"))),"")</f>
        <v>0–2</v>
      </c>
    </row>
    <row r="216" spans="1:26" ht="15" customHeight="1" x14ac:dyDescent="0.3">
      <c r="A216">
        <v>14</v>
      </c>
      <c r="B216">
        <v>28</v>
      </c>
      <c r="C216" s="1">
        <v>4</v>
      </c>
      <c r="D216">
        <v>3</v>
      </c>
      <c r="E216">
        <v>3</v>
      </c>
      <c r="F216">
        <v>155</v>
      </c>
      <c r="G216" s="1">
        <v>12</v>
      </c>
      <c r="H216">
        <v>14</v>
      </c>
      <c r="I216" s="1">
        <v>34</v>
      </c>
      <c r="J216" s="2">
        <v>326452</v>
      </c>
      <c r="K216">
        <v>96</v>
      </c>
      <c r="L216">
        <v>0</v>
      </c>
      <c r="M216">
        <v>1</v>
      </c>
      <c r="N216">
        <v>2</v>
      </c>
      <c r="O216">
        <v>1</v>
      </c>
      <c r="P216">
        <v>0</v>
      </c>
      <c r="Q216">
        <v>0</v>
      </c>
      <c r="R216">
        <v>95</v>
      </c>
      <c r="S216">
        <v>196</v>
      </c>
      <c r="T216">
        <v>25</v>
      </c>
      <c r="U216">
        <v>1</v>
      </c>
      <c r="V216" s="53" t="str">
        <f>IFERROR(
IF(tbl_abs[[#This Row],[Month of absence]]=0,"Unknown",
CHOOSE(tbl_abs[[#This Row],[Month of absence]],
"Jan","Feb","Mar","Apr","May","Jun","Jul","Aug","Sep","Oct","Nov","Dec")),"")</f>
        <v>Apr</v>
      </c>
      <c r="W216" s="53" t="str">
        <f>IFERROR(
IF(tbl_abs[[#This Row],[Age]]&lt;30,"&lt;30",
IF(tbl_abs[[#This Row],[Age]]&lt;40,"30–39",
IF(tbl_abs[[#This Row],[Age]]&lt;50,"40–49",
IF(tbl_abs[[#This Row],[Age]]&lt;60,"50–59",
"60+")))),"")</f>
        <v>30–39</v>
      </c>
      <c r="X216" s="53" t="str">
        <f>IFERROR(
IF(tbl_abs[[#This Row],[Distance from Residence to Work]]&lt;=5,"0–5",
IF(tbl_abs[[#This Row],[Distance from Residence to Work]]&lt;=10,"6–10",
IF(tbl_abs[[#This Row],[Distance from Residence to Work]]&lt;=20,"11–20",
"21+"))),"")</f>
        <v>11–20</v>
      </c>
      <c r="Y216" s="53" t="str">
        <f>IFERROR(
IF(tbl_abs[[#This Row],[Body Mass Index]]&lt;18.5,"Underweight",
IF(tbl_abs[[#This Row],[Body Mass Index]]&lt;25,"Normal",
IF(tbl_abs[[#This Row],[Body Mass Index]]&lt;30,"Overweight",
"Obese"))),"")</f>
        <v>Overweight</v>
      </c>
      <c r="Z216" s="53" t="str">
        <f>IFERROR(
IF(tbl_abs[[#This Row],[Absenteeism time in hours]]&lt;=2,"0–2",
IF(tbl_abs[[#This Row],[Absenteeism time in hours]]&lt;=8,"3–8",
IF(tbl_abs[[#This Row],[Absenteeism time in hours]]&lt;=16,"9–16",
"17+"))),"")</f>
        <v>0–2</v>
      </c>
    </row>
    <row r="217" spans="1:26" ht="15" customHeight="1" x14ac:dyDescent="0.3">
      <c r="A217">
        <v>24</v>
      </c>
      <c r="B217">
        <v>13</v>
      </c>
      <c r="C217" s="1">
        <v>4</v>
      </c>
      <c r="D217">
        <v>4</v>
      </c>
      <c r="E217">
        <v>3</v>
      </c>
      <c r="F217">
        <v>246</v>
      </c>
      <c r="G217" s="1">
        <v>25</v>
      </c>
      <c r="H217">
        <v>16</v>
      </c>
      <c r="I217" s="1">
        <v>41</v>
      </c>
      <c r="J217" s="2">
        <v>326452</v>
      </c>
      <c r="K217">
        <v>96</v>
      </c>
      <c r="L217">
        <v>0</v>
      </c>
      <c r="M217">
        <v>1</v>
      </c>
      <c r="N217">
        <v>0</v>
      </c>
      <c r="O217">
        <v>1</v>
      </c>
      <c r="P217">
        <v>0</v>
      </c>
      <c r="Q217">
        <v>0</v>
      </c>
      <c r="R217">
        <v>67</v>
      </c>
      <c r="S217">
        <v>170</v>
      </c>
      <c r="T217">
        <v>23</v>
      </c>
      <c r="U217">
        <v>24</v>
      </c>
      <c r="V217" s="53" t="str">
        <f>IFERROR(
IF(tbl_abs[[#This Row],[Month of absence]]=0,"Unknown",
CHOOSE(tbl_abs[[#This Row],[Month of absence]],
"Jan","Feb","Mar","Apr","May","Jun","Jul","Aug","Sep","Oct","Nov","Dec")),"")</f>
        <v>Apr</v>
      </c>
      <c r="W217" s="53" t="str">
        <f>IFERROR(
IF(tbl_abs[[#This Row],[Age]]&lt;30,"&lt;30",
IF(tbl_abs[[#This Row],[Age]]&lt;40,"30–39",
IF(tbl_abs[[#This Row],[Age]]&lt;50,"40–49",
IF(tbl_abs[[#This Row],[Age]]&lt;60,"50–59",
"60+")))),"")</f>
        <v>40–49</v>
      </c>
      <c r="X217" s="53" t="str">
        <f>IFERROR(
IF(tbl_abs[[#This Row],[Distance from Residence to Work]]&lt;=5,"0–5",
IF(tbl_abs[[#This Row],[Distance from Residence to Work]]&lt;=10,"6–10",
IF(tbl_abs[[#This Row],[Distance from Residence to Work]]&lt;=20,"11–20",
"21+"))),"")</f>
        <v>21+</v>
      </c>
      <c r="Y217" s="53" t="str">
        <f>IFERROR(
IF(tbl_abs[[#This Row],[Body Mass Index]]&lt;18.5,"Underweight",
IF(tbl_abs[[#This Row],[Body Mass Index]]&lt;25,"Normal",
IF(tbl_abs[[#This Row],[Body Mass Index]]&lt;30,"Overweight",
"Obese"))),"")</f>
        <v>Normal</v>
      </c>
      <c r="Z217" s="53" t="str">
        <f>IFERROR(
IF(tbl_abs[[#This Row],[Absenteeism time in hours]]&lt;=2,"0–2",
IF(tbl_abs[[#This Row],[Absenteeism time in hours]]&lt;=8,"3–8",
IF(tbl_abs[[#This Row],[Absenteeism time in hours]]&lt;=16,"9–16",
"17+"))),"")</f>
        <v>17+</v>
      </c>
    </row>
    <row r="218" spans="1:26" ht="15" customHeight="1" x14ac:dyDescent="0.3">
      <c r="A218">
        <v>14</v>
      </c>
      <c r="B218">
        <v>23</v>
      </c>
      <c r="C218" s="1">
        <v>4</v>
      </c>
      <c r="D218">
        <v>5</v>
      </c>
      <c r="E218">
        <v>3</v>
      </c>
      <c r="F218">
        <v>155</v>
      </c>
      <c r="G218" s="1">
        <v>12</v>
      </c>
      <c r="H218">
        <v>14</v>
      </c>
      <c r="I218" s="1">
        <v>34</v>
      </c>
      <c r="J218" s="2">
        <v>326452</v>
      </c>
      <c r="K218">
        <v>96</v>
      </c>
      <c r="L218">
        <v>0</v>
      </c>
      <c r="M218">
        <v>1</v>
      </c>
      <c r="N218">
        <v>2</v>
      </c>
      <c r="O218">
        <v>1</v>
      </c>
      <c r="P218">
        <v>0</v>
      </c>
      <c r="Q218">
        <v>0</v>
      </c>
      <c r="R218">
        <v>95</v>
      </c>
      <c r="S218">
        <v>196</v>
      </c>
      <c r="T218">
        <v>25</v>
      </c>
      <c r="U218">
        <v>1</v>
      </c>
      <c r="V218" s="53" t="str">
        <f>IFERROR(
IF(tbl_abs[[#This Row],[Month of absence]]=0,"Unknown",
CHOOSE(tbl_abs[[#This Row],[Month of absence]],
"Jan","Feb","Mar","Apr","May","Jun","Jul","Aug","Sep","Oct","Nov","Dec")),"")</f>
        <v>Apr</v>
      </c>
      <c r="W218" s="53" t="str">
        <f>IFERROR(
IF(tbl_abs[[#This Row],[Age]]&lt;30,"&lt;30",
IF(tbl_abs[[#This Row],[Age]]&lt;40,"30–39",
IF(tbl_abs[[#This Row],[Age]]&lt;50,"40–49",
IF(tbl_abs[[#This Row],[Age]]&lt;60,"50–59",
"60+")))),"")</f>
        <v>30–39</v>
      </c>
      <c r="X218" s="53" t="str">
        <f>IFERROR(
IF(tbl_abs[[#This Row],[Distance from Residence to Work]]&lt;=5,"0–5",
IF(tbl_abs[[#This Row],[Distance from Residence to Work]]&lt;=10,"6–10",
IF(tbl_abs[[#This Row],[Distance from Residence to Work]]&lt;=20,"11–20",
"21+"))),"")</f>
        <v>11–20</v>
      </c>
      <c r="Y218" s="53" t="str">
        <f>IFERROR(
IF(tbl_abs[[#This Row],[Body Mass Index]]&lt;18.5,"Underweight",
IF(tbl_abs[[#This Row],[Body Mass Index]]&lt;25,"Normal",
IF(tbl_abs[[#This Row],[Body Mass Index]]&lt;30,"Overweight",
"Obese"))),"")</f>
        <v>Overweight</v>
      </c>
      <c r="Z218" s="53" t="str">
        <f>IFERROR(
IF(tbl_abs[[#This Row],[Absenteeism time in hours]]&lt;=2,"0–2",
IF(tbl_abs[[#This Row],[Absenteeism time in hours]]&lt;=8,"3–8",
IF(tbl_abs[[#This Row],[Absenteeism time in hours]]&lt;=16,"9–16",
"17+"))),"")</f>
        <v>0–2</v>
      </c>
    </row>
    <row r="219" spans="1:26" ht="15" customHeight="1" x14ac:dyDescent="0.3">
      <c r="A219">
        <v>28</v>
      </c>
      <c r="B219">
        <v>28</v>
      </c>
      <c r="C219" s="1">
        <v>4</v>
      </c>
      <c r="D219">
        <v>6</v>
      </c>
      <c r="E219">
        <v>3</v>
      </c>
      <c r="F219">
        <v>225</v>
      </c>
      <c r="G219" s="1">
        <v>26</v>
      </c>
      <c r="H219">
        <v>9</v>
      </c>
      <c r="I219" s="1">
        <v>28</v>
      </c>
      <c r="J219" s="2">
        <v>326452</v>
      </c>
      <c r="K219">
        <v>96</v>
      </c>
      <c r="L219">
        <v>0</v>
      </c>
      <c r="M219">
        <v>1</v>
      </c>
      <c r="N219">
        <v>1</v>
      </c>
      <c r="O219">
        <v>0</v>
      </c>
      <c r="P219">
        <v>0</v>
      </c>
      <c r="Q219">
        <v>2</v>
      </c>
      <c r="R219">
        <v>69</v>
      </c>
      <c r="S219">
        <v>169</v>
      </c>
      <c r="T219">
        <v>24</v>
      </c>
      <c r="U219">
        <v>2</v>
      </c>
      <c r="V219" s="53" t="str">
        <f>IFERROR(
IF(tbl_abs[[#This Row],[Month of absence]]=0,"Unknown",
CHOOSE(tbl_abs[[#This Row],[Month of absence]],
"Jan","Feb","Mar","Apr","May","Jun","Jul","Aug","Sep","Oct","Nov","Dec")),"")</f>
        <v>Apr</v>
      </c>
      <c r="W219" s="53" t="str">
        <f>IFERROR(
IF(tbl_abs[[#This Row],[Age]]&lt;30,"&lt;30",
IF(tbl_abs[[#This Row],[Age]]&lt;40,"30–39",
IF(tbl_abs[[#This Row],[Age]]&lt;50,"40–49",
IF(tbl_abs[[#This Row],[Age]]&lt;60,"50–59",
"60+")))),"")</f>
        <v>&lt;30</v>
      </c>
      <c r="X219" s="53" t="str">
        <f>IFERROR(
IF(tbl_abs[[#This Row],[Distance from Residence to Work]]&lt;=5,"0–5",
IF(tbl_abs[[#This Row],[Distance from Residence to Work]]&lt;=10,"6–10",
IF(tbl_abs[[#This Row],[Distance from Residence to Work]]&lt;=20,"11–20",
"21+"))),"")</f>
        <v>21+</v>
      </c>
      <c r="Y219" s="53" t="str">
        <f>IFERROR(
IF(tbl_abs[[#This Row],[Body Mass Index]]&lt;18.5,"Underweight",
IF(tbl_abs[[#This Row],[Body Mass Index]]&lt;25,"Normal",
IF(tbl_abs[[#This Row],[Body Mass Index]]&lt;30,"Overweight",
"Obese"))),"")</f>
        <v>Normal</v>
      </c>
      <c r="Z219" s="53" t="str">
        <f>IFERROR(
IF(tbl_abs[[#This Row],[Absenteeism time in hours]]&lt;=2,"0–2",
IF(tbl_abs[[#This Row],[Absenteeism time in hours]]&lt;=8,"3–8",
IF(tbl_abs[[#This Row],[Absenteeism time in hours]]&lt;=16,"9–16",
"17+"))),"")</f>
        <v>0–2</v>
      </c>
    </row>
    <row r="220" spans="1:26" ht="15" customHeight="1" x14ac:dyDescent="0.3">
      <c r="A220">
        <v>20</v>
      </c>
      <c r="B220">
        <v>28</v>
      </c>
      <c r="C220" s="1">
        <v>4</v>
      </c>
      <c r="D220">
        <v>6</v>
      </c>
      <c r="E220">
        <v>3</v>
      </c>
      <c r="F220">
        <v>260</v>
      </c>
      <c r="G220" s="1">
        <v>50</v>
      </c>
      <c r="H220">
        <v>11</v>
      </c>
      <c r="I220" s="1">
        <v>36</v>
      </c>
      <c r="J220" s="2">
        <v>326452</v>
      </c>
      <c r="K220">
        <v>96</v>
      </c>
      <c r="L220">
        <v>0</v>
      </c>
      <c r="M220">
        <v>1</v>
      </c>
      <c r="N220">
        <v>4</v>
      </c>
      <c r="O220">
        <v>1</v>
      </c>
      <c r="P220">
        <v>0</v>
      </c>
      <c r="Q220">
        <v>0</v>
      </c>
      <c r="R220">
        <v>65</v>
      </c>
      <c r="S220">
        <v>168</v>
      </c>
      <c r="T220">
        <v>23</v>
      </c>
      <c r="U220">
        <v>4</v>
      </c>
      <c r="V220" s="53" t="str">
        <f>IFERROR(
IF(tbl_abs[[#This Row],[Month of absence]]=0,"Unknown",
CHOOSE(tbl_abs[[#This Row],[Month of absence]],
"Jan","Feb","Mar","Apr","May","Jun","Jul","Aug","Sep","Oct","Nov","Dec")),"")</f>
        <v>Apr</v>
      </c>
      <c r="W220" s="53" t="str">
        <f>IFERROR(
IF(tbl_abs[[#This Row],[Age]]&lt;30,"&lt;30",
IF(tbl_abs[[#This Row],[Age]]&lt;40,"30–39",
IF(tbl_abs[[#This Row],[Age]]&lt;50,"40–49",
IF(tbl_abs[[#This Row],[Age]]&lt;60,"50–59",
"60+")))),"")</f>
        <v>30–39</v>
      </c>
      <c r="X220" s="53" t="str">
        <f>IFERROR(
IF(tbl_abs[[#This Row],[Distance from Residence to Work]]&lt;=5,"0–5",
IF(tbl_abs[[#This Row],[Distance from Residence to Work]]&lt;=10,"6–10",
IF(tbl_abs[[#This Row],[Distance from Residence to Work]]&lt;=20,"11–20",
"21+"))),"")</f>
        <v>21+</v>
      </c>
      <c r="Y220" s="53" t="str">
        <f>IFERROR(
IF(tbl_abs[[#This Row],[Body Mass Index]]&lt;18.5,"Underweight",
IF(tbl_abs[[#This Row],[Body Mass Index]]&lt;25,"Normal",
IF(tbl_abs[[#This Row],[Body Mass Index]]&lt;30,"Overweight",
"Obese"))),"")</f>
        <v>Normal</v>
      </c>
      <c r="Z220" s="53" t="str">
        <f>IFERROR(
IF(tbl_abs[[#This Row],[Absenteeism time in hours]]&lt;=2,"0–2",
IF(tbl_abs[[#This Row],[Absenteeism time in hours]]&lt;=8,"3–8",
IF(tbl_abs[[#This Row],[Absenteeism time in hours]]&lt;=16,"9–16",
"17+"))),"")</f>
        <v>3–8</v>
      </c>
    </row>
    <row r="221" spans="1:26" ht="15" customHeight="1" x14ac:dyDescent="0.3">
      <c r="A221">
        <v>3</v>
      </c>
      <c r="B221">
        <v>13</v>
      </c>
      <c r="C221" s="1">
        <v>4</v>
      </c>
      <c r="D221">
        <v>4</v>
      </c>
      <c r="E221">
        <v>3</v>
      </c>
      <c r="F221">
        <v>179</v>
      </c>
      <c r="G221" s="1">
        <v>51</v>
      </c>
      <c r="H221">
        <v>18</v>
      </c>
      <c r="I221" s="1">
        <v>38</v>
      </c>
      <c r="J221" s="2">
        <v>326452</v>
      </c>
      <c r="K221">
        <v>96</v>
      </c>
      <c r="L221">
        <v>0</v>
      </c>
      <c r="M221">
        <v>1</v>
      </c>
      <c r="N221">
        <v>0</v>
      </c>
      <c r="O221">
        <v>1</v>
      </c>
      <c r="P221">
        <v>0</v>
      </c>
      <c r="Q221">
        <v>0</v>
      </c>
      <c r="R221">
        <v>89</v>
      </c>
      <c r="S221">
        <v>170</v>
      </c>
      <c r="T221">
        <v>31</v>
      </c>
      <c r="U221">
        <v>24</v>
      </c>
      <c r="V221" s="53" t="str">
        <f>IFERROR(
IF(tbl_abs[[#This Row],[Month of absence]]=0,"Unknown",
CHOOSE(tbl_abs[[#This Row],[Month of absence]],
"Jan","Feb","Mar","Apr","May","Jun","Jul","Aug","Sep","Oct","Nov","Dec")),"")</f>
        <v>Apr</v>
      </c>
      <c r="W221" s="53" t="str">
        <f>IFERROR(
IF(tbl_abs[[#This Row],[Age]]&lt;30,"&lt;30",
IF(tbl_abs[[#This Row],[Age]]&lt;40,"30–39",
IF(tbl_abs[[#This Row],[Age]]&lt;50,"40–49",
IF(tbl_abs[[#This Row],[Age]]&lt;60,"50–59",
"60+")))),"")</f>
        <v>30–39</v>
      </c>
      <c r="X221" s="53" t="str">
        <f>IFERROR(
IF(tbl_abs[[#This Row],[Distance from Residence to Work]]&lt;=5,"0–5",
IF(tbl_abs[[#This Row],[Distance from Residence to Work]]&lt;=10,"6–10",
IF(tbl_abs[[#This Row],[Distance from Residence to Work]]&lt;=20,"11–20",
"21+"))),"")</f>
        <v>21+</v>
      </c>
      <c r="Y221" s="53" t="str">
        <f>IFERROR(
IF(tbl_abs[[#This Row],[Body Mass Index]]&lt;18.5,"Underweight",
IF(tbl_abs[[#This Row],[Body Mass Index]]&lt;25,"Normal",
IF(tbl_abs[[#This Row],[Body Mass Index]]&lt;30,"Overweight",
"Obese"))),"")</f>
        <v>Obese</v>
      </c>
      <c r="Z221" s="53" t="str">
        <f>IFERROR(
IF(tbl_abs[[#This Row],[Absenteeism time in hours]]&lt;=2,"0–2",
IF(tbl_abs[[#This Row],[Absenteeism time in hours]]&lt;=8,"3–8",
IF(tbl_abs[[#This Row],[Absenteeism time in hours]]&lt;=16,"9–16",
"17+"))),"")</f>
        <v>17+</v>
      </c>
    </row>
    <row r="222" spans="1:26" ht="15" customHeight="1" x14ac:dyDescent="0.3">
      <c r="A222">
        <v>36</v>
      </c>
      <c r="B222">
        <v>23</v>
      </c>
      <c r="C222" s="1">
        <v>4</v>
      </c>
      <c r="D222">
        <v>5</v>
      </c>
      <c r="E222">
        <v>3</v>
      </c>
      <c r="F222">
        <v>118</v>
      </c>
      <c r="G222" s="1">
        <v>13</v>
      </c>
      <c r="H222">
        <v>18</v>
      </c>
      <c r="I222" s="1">
        <v>50</v>
      </c>
      <c r="J222" s="2">
        <v>326452</v>
      </c>
      <c r="K222">
        <v>96</v>
      </c>
      <c r="L222">
        <v>0</v>
      </c>
      <c r="M222">
        <v>1</v>
      </c>
      <c r="N222">
        <v>1</v>
      </c>
      <c r="O222">
        <v>1</v>
      </c>
      <c r="P222">
        <v>0</v>
      </c>
      <c r="Q222">
        <v>0</v>
      </c>
      <c r="R222">
        <v>98</v>
      </c>
      <c r="S222">
        <v>178</v>
      </c>
      <c r="T222">
        <v>31</v>
      </c>
      <c r="U222">
        <v>1</v>
      </c>
      <c r="V222" s="53" t="str">
        <f>IFERROR(
IF(tbl_abs[[#This Row],[Month of absence]]=0,"Unknown",
CHOOSE(tbl_abs[[#This Row],[Month of absence]],
"Jan","Feb","Mar","Apr","May","Jun","Jul","Aug","Sep","Oct","Nov","Dec")),"")</f>
        <v>Apr</v>
      </c>
      <c r="W222" s="53" t="str">
        <f>IFERROR(
IF(tbl_abs[[#This Row],[Age]]&lt;30,"&lt;30",
IF(tbl_abs[[#This Row],[Age]]&lt;40,"30–39",
IF(tbl_abs[[#This Row],[Age]]&lt;50,"40–49",
IF(tbl_abs[[#This Row],[Age]]&lt;60,"50–59",
"60+")))),"")</f>
        <v>50–59</v>
      </c>
      <c r="X222" s="53" t="str">
        <f>IFERROR(
IF(tbl_abs[[#This Row],[Distance from Residence to Work]]&lt;=5,"0–5",
IF(tbl_abs[[#This Row],[Distance from Residence to Work]]&lt;=10,"6–10",
IF(tbl_abs[[#This Row],[Distance from Residence to Work]]&lt;=20,"11–20",
"21+"))),"")</f>
        <v>11–20</v>
      </c>
      <c r="Y222" s="53" t="str">
        <f>IFERROR(
IF(tbl_abs[[#This Row],[Body Mass Index]]&lt;18.5,"Underweight",
IF(tbl_abs[[#This Row],[Body Mass Index]]&lt;25,"Normal",
IF(tbl_abs[[#This Row],[Body Mass Index]]&lt;30,"Overweight",
"Obese"))),"")</f>
        <v>Obese</v>
      </c>
      <c r="Z222" s="53" t="str">
        <f>IFERROR(
IF(tbl_abs[[#This Row],[Absenteeism time in hours]]&lt;=2,"0–2",
IF(tbl_abs[[#This Row],[Absenteeism time in hours]]&lt;=8,"3–8",
IF(tbl_abs[[#This Row],[Absenteeism time in hours]]&lt;=16,"9–16",
"17+"))),"")</f>
        <v>0–2</v>
      </c>
    </row>
    <row r="223" spans="1:26" ht="15" customHeight="1" x14ac:dyDescent="0.3">
      <c r="A223">
        <v>15</v>
      </c>
      <c r="B223">
        <v>23</v>
      </c>
      <c r="C223" s="1">
        <v>4</v>
      </c>
      <c r="D223">
        <v>6</v>
      </c>
      <c r="E223">
        <v>3</v>
      </c>
      <c r="F223">
        <v>291</v>
      </c>
      <c r="G223" s="1">
        <v>31</v>
      </c>
      <c r="H223">
        <v>12</v>
      </c>
      <c r="I223" s="1">
        <v>40</v>
      </c>
      <c r="J223" s="2">
        <v>326452</v>
      </c>
      <c r="K223">
        <v>96</v>
      </c>
      <c r="L223">
        <v>0</v>
      </c>
      <c r="M223">
        <v>1</v>
      </c>
      <c r="N223">
        <v>1</v>
      </c>
      <c r="O223">
        <v>1</v>
      </c>
      <c r="P223">
        <v>0</v>
      </c>
      <c r="Q223">
        <v>1</v>
      </c>
      <c r="R223">
        <v>73</v>
      </c>
      <c r="S223">
        <v>171</v>
      </c>
      <c r="T223">
        <v>25</v>
      </c>
      <c r="U223">
        <v>3</v>
      </c>
      <c r="V223" s="53" t="str">
        <f>IFERROR(
IF(tbl_abs[[#This Row],[Month of absence]]=0,"Unknown",
CHOOSE(tbl_abs[[#This Row],[Month of absence]],
"Jan","Feb","Mar","Apr","May","Jun","Jul","Aug","Sep","Oct","Nov","Dec")),"")</f>
        <v>Apr</v>
      </c>
      <c r="W223" s="53" t="str">
        <f>IFERROR(
IF(tbl_abs[[#This Row],[Age]]&lt;30,"&lt;30",
IF(tbl_abs[[#This Row],[Age]]&lt;40,"30–39",
IF(tbl_abs[[#This Row],[Age]]&lt;50,"40–49",
IF(tbl_abs[[#This Row],[Age]]&lt;60,"50–59",
"60+")))),"")</f>
        <v>40–49</v>
      </c>
      <c r="X223" s="53" t="str">
        <f>IFERROR(
IF(tbl_abs[[#This Row],[Distance from Residence to Work]]&lt;=5,"0–5",
IF(tbl_abs[[#This Row],[Distance from Residence to Work]]&lt;=10,"6–10",
IF(tbl_abs[[#This Row],[Distance from Residence to Work]]&lt;=20,"11–20",
"21+"))),"")</f>
        <v>21+</v>
      </c>
      <c r="Y223" s="53" t="str">
        <f>IFERROR(
IF(tbl_abs[[#This Row],[Body Mass Index]]&lt;18.5,"Underweight",
IF(tbl_abs[[#This Row],[Body Mass Index]]&lt;25,"Normal",
IF(tbl_abs[[#This Row],[Body Mass Index]]&lt;30,"Overweight",
"Obese"))),"")</f>
        <v>Overweight</v>
      </c>
      <c r="Z223" s="53" t="str">
        <f>IFERROR(
IF(tbl_abs[[#This Row],[Absenteeism time in hours]]&lt;=2,"0–2",
IF(tbl_abs[[#This Row],[Absenteeism time in hours]]&lt;=8,"3–8",
IF(tbl_abs[[#This Row],[Absenteeism time in hours]]&lt;=16,"9–16",
"17+"))),"")</f>
        <v>3–8</v>
      </c>
    </row>
    <row r="224" spans="1:26" ht="15" customHeight="1" x14ac:dyDescent="0.3">
      <c r="A224">
        <v>24</v>
      </c>
      <c r="B224">
        <v>14</v>
      </c>
      <c r="C224" s="1">
        <v>4</v>
      </c>
      <c r="D224">
        <v>6</v>
      </c>
      <c r="E224">
        <v>3</v>
      </c>
      <c r="F224">
        <v>246</v>
      </c>
      <c r="G224" s="1">
        <v>25</v>
      </c>
      <c r="H224">
        <v>16</v>
      </c>
      <c r="I224" s="1">
        <v>41</v>
      </c>
      <c r="J224" s="2">
        <v>326452</v>
      </c>
      <c r="K224">
        <v>96</v>
      </c>
      <c r="L224">
        <v>0</v>
      </c>
      <c r="M224">
        <v>1</v>
      </c>
      <c r="N224">
        <v>0</v>
      </c>
      <c r="O224">
        <v>1</v>
      </c>
      <c r="P224">
        <v>0</v>
      </c>
      <c r="Q224">
        <v>0</v>
      </c>
      <c r="R224">
        <v>67</v>
      </c>
      <c r="S224">
        <v>170</v>
      </c>
      <c r="T224">
        <v>23</v>
      </c>
      <c r="U224">
        <v>8</v>
      </c>
      <c r="V224" s="53" t="str">
        <f>IFERROR(
IF(tbl_abs[[#This Row],[Month of absence]]=0,"Unknown",
CHOOSE(tbl_abs[[#This Row],[Month of absence]],
"Jan","Feb","Mar","Apr","May","Jun","Jul","Aug","Sep","Oct","Nov","Dec")),"")</f>
        <v>Apr</v>
      </c>
      <c r="W224" s="53" t="str">
        <f>IFERROR(
IF(tbl_abs[[#This Row],[Age]]&lt;30,"&lt;30",
IF(tbl_abs[[#This Row],[Age]]&lt;40,"30–39",
IF(tbl_abs[[#This Row],[Age]]&lt;50,"40–49",
IF(tbl_abs[[#This Row],[Age]]&lt;60,"50–59",
"60+")))),"")</f>
        <v>40–49</v>
      </c>
      <c r="X224" s="53" t="str">
        <f>IFERROR(
IF(tbl_abs[[#This Row],[Distance from Residence to Work]]&lt;=5,"0–5",
IF(tbl_abs[[#This Row],[Distance from Residence to Work]]&lt;=10,"6–10",
IF(tbl_abs[[#This Row],[Distance from Residence to Work]]&lt;=20,"11–20",
"21+"))),"")</f>
        <v>21+</v>
      </c>
      <c r="Y224" s="53" t="str">
        <f>IFERROR(
IF(tbl_abs[[#This Row],[Body Mass Index]]&lt;18.5,"Underweight",
IF(tbl_abs[[#This Row],[Body Mass Index]]&lt;25,"Normal",
IF(tbl_abs[[#This Row],[Body Mass Index]]&lt;30,"Overweight",
"Obese"))),"")</f>
        <v>Normal</v>
      </c>
      <c r="Z224" s="53" t="str">
        <f>IFERROR(
IF(tbl_abs[[#This Row],[Absenteeism time in hours]]&lt;=2,"0–2",
IF(tbl_abs[[#This Row],[Absenteeism time in hours]]&lt;=8,"3–8",
IF(tbl_abs[[#This Row],[Absenteeism time in hours]]&lt;=16,"9–16",
"17+"))),"")</f>
        <v>3–8</v>
      </c>
    </row>
    <row r="225" spans="1:26" ht="15" customHeight="1" x14ac:dyDescent="0.3">
      <c r="A225">
        <v>15</v>
      </c>
      <c r="B225">
        <v>28</v>
      </c>
      <c r="C225" s="1">
        <v>4</v>
      </c>
      <c r="D225">
        <v>6</v>
      </c>
      <c r="E225">
        <v>3</v>
      </c>
      <c r="F225">
        <v>291</v>
      </c>
      <c r="G225" s="1">
        <v>31</v>
      </c>
      <c r="H225">
        <v>12</v>
      </c>
      <c r="I225" s="1">
        <v>40</v>
      </c>
      <c r="J225" s="2">
        <v>326452</v>
      </c>
      <c r="K225">
        <v>96</v>
      </c>
      <c r="L225">
        <v>0</v>
      </c>
      <c r="M225">
        <v>1</v>
      </c>
      <c r="N225">
        <v>1</v>
      </c>
      <c r="O225">
        <v>1</v>
      </c>
      <c r="P225">
        <v>0</v>
      </c>
      <c r="Q225">
        <v>1</v>
      </c>
      <c r="R225">
        <v>73</v>
      </c>
      <c r="S225">
        <v>171</v>
      </c>
      <c r="T225">
        <v>25</v>
      </c>
      <c r="U225">
        <v>1</v>
      </c>
      <c r="V225" s="53" t="str">
        <f>IFERROR(
IF(tbl_abs[[#This Row],[Month of absence]]=0,"Unknown",
CHOOSE(tbl_abs[[#This Row],[Month of absence]],
"Jan","Feb","Mar","Apr","May","Jun","Jul","Aug","Sep","Oct","Nov","Dec")),"")</f>
        <v>Apr</v>
      </c>
      <c r="W225" s="53" t="str">
        <f>IFERROR(
IF(tbl_abs[[#This Row],[Age]]&lt;30,"&lt;30",
IF(tbl_abs[[#This Row],[Age]]&lt;40,"30–39",
IF(tbl_abs[[#This Row],[Age]]&lt;50,"40–49",
IF(tbl_abs[[#This Row],[Age]]&lt;60,"50–59",
"60+")))),"")</f>
        <v>40–49</v>
      </c>
      <c r="X225" s="53" t="str">
        <f>IFERROR(
IF(tbl_abs[[#This Row],[Distance from Residence to Work]]&lt;=5,"0–5",
IF(tbl_abs[[#This Row],[Distance from Residence to Work]]&lt;=10,"6–10",
IF(tbl_abs[[#This Row],[Distance from Residence to Work]]&lt;=20,"11–20",
"21+"))),"")</f>
        <v>21+</v>
      </c>
      <c r="Y225" s="53" t="str">
        <f>IFERROR(
IF(tbl_abs[[#This Row],[Body Mass Index]]&lt;18.5,"Underweight",
IF(tbl_abs[[#This Row],[Body Mass Index]]&lt;25,"Normal",
IF(tbl_abs[[#This Row],[Body Mass Index]]&lt;30,"Overweight",
"Obese"))),"")</f>
        <v>Overweight</v>
      </c>
      <c r="Z225" s="53" t="str">
        <f>IFERROR(
IF(tbl_abs[[#This Row],[Absenteeism time in hours]]&lt;=2,"0–2",
IF(tbl_abs[[#This Row],[Absenteeism time in hours]]&lt;=8,"3–8",
IF(tbl_abs[[#This Row],[Absenteeism time in hours]]&lt;=16,"9–16",
"17+"))),"")</f>
        <v>0–2</v>
      </c>
    </row>
    <row r="226" spans="1:26" ht="15" customHeight="1" x14ac:dyDescent="0.3">
      <c r="A226">
        <v>33</v>
      </c>
      <c r="B226">
        <v>28</v>
      </c>
      <c r="C226" s="1">
        <v>4</v>
      </c>
      <c r="D226">
        <v>6</v>
      </c>
      <c r="E226">
        <v>3</v>
      </c>
      <c r="F226">
        <v>248</v>
      </c>
      <c r="G226" s="1">
        <v>25</v>
      </c>
      <c r="H226">
        <v>14</v>
      </c>
      <c r="I226" s="1">
        <v>47</v>
      </c>
      <c r="J226" s="2">
        <v>326452</v>
      </c>
      <c r="K226">
        <v>96</v>
      </c>
      <c r="L226">
        <v>0</v>
      </c>
      <c r="M226">
        <v>1</v>
      </c>
      <c r="N226">
        <v>2</v>
      </c>
      <c r="O226">
        <v>0</v>
      </c>
      <c r="P226">
        <v>0</v>
      </c>
      <c r="Q226">
        <v>1</v>
      </c>
      <c r="R226">
        <v>86</v>
      </c>
      <c r="S226">
        <v>165</v>
      </c>
      <c r="T226">
        <v>32</v>
      </c>
      <c r="U226">
        <v>8</v>
      </c>
      <c r="V226" s="53" t="str">
        <f>IFERROR(
IF(tbl_abs[[#This Row],[Month of absence]]=0,"Unknown",
CHOOSE(tbl_abs[[#This Row],[Month of absence]],
"Jan","Feb","Mar","Apr","May","Jun","Jul","Aug","Sep","Oct","Nov","Dec")),"")</f>
        <v>Apr</v>
      </c>
      <c r="W226" s="53" t="str">
        <f>IFERROR(
IF(tbl_abs[[#This Row],[Age]]&lt;30,"&lt;30",
IF(tbl_abs[[#This Row],[Age]]&lt;40,"30–39",
IF(tbl_abs[[#This Row],[Age]]&lt;50,"40–49",
IF(tbl_abs[[#This Row],[Age]]&lt;60,"50–59",
"60+")))),"")</f>
        <v>40–49</v>
      </c>
      <c r="X226" s="53" t="str">
        <f>IFERROR(
IF(tbl_abs[[#This Row],[Distance from Residence to Work]]&lt;=5,"0–5",
IF(tbl_abs[[#This Row],[Distance from Residence to Work]]&lt;=10,"6–10",
IF(tbl_abs[[#This Row],[Distance from Residence to Work]]&lt;=20,"11–20",
"21+"))),"")</f>
        <v>21+</v>
      </c>
      <c r="Y226" s="53" t="str">
        <f>IFERROR(
IF(tbl_abs[[#This Row],[Body Mass Index]]&lt;18.5,"Underweight",
IF(tbl_abs[[#This Row],[Body Mass Index]]&lt;25,"Normal",
IF(tbl_abs[[#This Row],[Body Mass Index]]&lt;30,"Overweight",
"Obese"))),"")</f>
        <v>Obese</v>
      </c>
      <c r="Z226" s="53" t="str">
        <f>IFERROR(
IF(tbl_abs[[#This Row],[Absenteeism time in hours]]&lt;=2,"0–2",
IF(tbl_abs[[#This Row],[Absenteeism time in hours]]&lt;=8,"3–8",
IF(tbl_abs[[#This Row],[Absenteeism time in hours]]&lt;=16,"9–16",
"17+"))),"")</f>
        <v>3–8</v>
      </c>
    </row>
    <row r="227" spans="1:26" ht="15" customHeight="1" x14ac:dyDescent="0.3">
      <c r="A227">
        <v>20</v>
      </c>
      <c r="B227">
        <v>19</v>
      </c>
      <c r="C227" s="1">
        <v>4</v>
      </c>
      <c r="D227">
        <v>6</v>
      </c>
      <c r="E227">
        <v>3</v>
      </c>
      <c r="F227">
        <v>260</v>
      </c>
      <c r="G227" s="1">
        <v>50</v>
      </c>
      <c r="H227">
        <v>11</v>
      </c>
      <c r="I227" s="1">
        <v>36</v>
      </c>
      <c r="J227" s="2">
        <v>326452</v>
      </c>
      <c r="K227">
        <v>96</v>
      </c>
      <c r="L227">
        <v>0</v>
      </c>
      <c r="M227">
        <v>1</v>
      </c>
      <c r="N227">
        <v>4</v>
      </c>
      <c r="O227">
        <v>1</v>
      </c>
      <c r="P227">
        <v>0</v>
      </c>
      <c r="Q227">
        <v>0</v>
      </c>
      <c r="R227">
        <v>65</v>
      </c>
      <c r="S227">
        <v>168</v>
      </c>
      <c r="T227">
        <v>23</v>
      </c>
      <c r="U227">
        <v>56</v>
      </c>
      <c r="V227" s="53" t="str">
        <f>IFERROR(
IF(tbl_abs[[#This Row],[Month of absence]]=0,"Unknown",
CHOOSE(tbl_abs[[#This Row],[Month of absence]],
"Jan","Feb","Mar","Apr","May","Jun","Jul","Aug","Sep","Oct","Nov","Dec")),"")</f>
        <v>Apr</v>
      </c>
      <c r="W227" s="53" t="str">
        <f>IFERROR(
IF(tbl_abs[[#This Row],[Age]]&lt;30,"&lt;30",
IF(tbl_abs[[#This Row],[Age]]&lt;40,"30–39",
IF(tbl_abs[[#This Row],[Age]]&lt;50,"40–49",
IF(tbl_abs[[#This Row],[Age]]&lt;60,"50–59",
"60+")))),"")</f>
        <v>30–39</v>
      </c>
      <c r="X227" s="53" t="str">
        <f>IFERROR(
IF(tbl_abs[[#This Row],[Distance from Residence to Work]]&lt;=5,"0–5",
IF(tbl_abs[[#This Row],[Distance from Residence to Work]]&lt;=10,"6–10",
IF(tbl_abs[[#This Row],[Distance from Residence to Work]]&lt;=20,"11–20",
"21+"))),"")</f>
        <v>21+</v>
      </c>
      <c r="Y227" s="53" t="str">
        <f>IFERROR(
IF(tbl_abs[[#This Row],[Body Mass Index]]&lt;18.5,"Underweight",
IF(tbl_abs[[#This Row],[Body Mass Index]]&lt;25,"Normal",
IF(tbl_abs[[#This Row],[Body Mass Index]]&lt;30,"Overweight",
"Obese"))),"")</f>
        <v>Normal</v>
      </c>
      <c r="Z227" s="53" t="str">
        <f>IFERROR(
IF(tbl_abs[[#This Row],[Absenteeism time in hours]]&lt;=2,"0–2",
IF(tbl_abs[[#This Row],[Absenteeism time in hours]]&lt;=8,"3–8",
IF(tbl_abs[[#This Row],[Absenteeism time in hours]]&lt;=16,"9–16",
"17+"))),"")</f>
        <v>17+</v>
      </c>
    </row>
    <row r="228" spans="1:26" ht="15" customHeight="1" x14ac:dyDescent="0.3">
      <c r="A228">
        <v>11</v>
      </c>
      <c r="B228">
        <v>19</v>
      </c>
      <c r="C228" s="1">
        <v>4</v>
      </c>
      <c r="D228">
        <v>3</v>
      </c>
      <c r="E228">
        <v>3</v>
      </c>
      <c r="F228">
        <v>289</v>
      </c>
      <c r="G228" s="1">
        <v>36</v>
      </c>
      <c r="H228">
        <v>13</v>
      </c>
      <c r="I228" s="1">
        <v>33</v>
      </c>
      <c r="J228" s="2">
        <v>326452</v>
      </c>
      <c r="K228">
        <v>96</v>
      </c>
      <c r="L228">
        <v>0</v>
      </c>
      <c r="M228">
        <v>1</v>
      </c>
      <c r="N228">
        <v>2</v>
      </c>
      <c r="O228">
        <v>1</v>
      </c>
      <c r="P228">
        <v>0</v>
      </c>
      <c r="Q228">
        <v>1</v>
      </c>
      <c r="R228">
        <v>90</v>
      </c>
      <c r="S228">
        <v>172</v>
      </c>
      <c r="T228">
        <v>30</v>
      </c>
      <c r="U228">
        <v>8</v>
      </c>
      <c r="V228" s="53" t="str">
        <f>IFERROR(
IF(tbl_abs[[#This Row],[Month of absence]]=0,"Unknown",
CHOOSE(tbl_abs[[#This Row],[Month of absence]],
"Jan","Feb","Mar","Apr","May","Jun","Jul","Aug","Sep","Oct","Nov","Dec")),"")</f>
        <v>Apr</v>
      </c>
      <c r="W228" s="53" t="str">
        <f>IFERROR(
IF(tbl_abs[[#This Row],[Age]]&lt;30,"&lt;30",
IF(tbl_abs[[#This Row],[Age]]&lt;40,"30–39",
IF(tbl_abs[[#This Row],[Age]]&lt;50,"40–49",
IF(tbl_abs[[#This Row],[Age]]&lt;60,"50–59",
"60+")))),"")</f>
        <v>30–39</v>
      </c>
      <c r="X228" s="53" t="str">
        <f>IFERROR(
IF(tbl_abs[[#This Row],[Distance from Residence to Work]]&lt;=5,"0–5",
IF(tbl_abs[[#This Row],[Distance from Residence to Work]]&lt;=10,"6–10",
IF(tbl_abs[[#This Row],[Distance from Residence to Work]]&lt;=20,"11–20",
"21+"))),"")</f>
        <v>21+</v>
      </c>
      <c r="Y228" s="53" t="str">
        <f>IFERROR(
IF(tbl_abs[[#This Row],[Body Mass Index]]&lt;18.5,"Underweight",
IF(tbl_abs[[#This Row],[Body Mass Index]]&lt;25,"Normal",
IF(tbl_abs[[#This Row],[Body Mass Index]]&lt;30,"Overweight",
"Obese"))),"")</f>
        <v>Obese</v>
      </c>
      <c r="Z228" s="53" t="str">
        <f>IFERROR(
IF(tbl_abs[[#This Row],[Absenteeism time in hours]]&lt;=2,"0–2",
IF(tbl_abs[[#This Row],[Absenteeism time in hours]]&lt;=8,"3–8",
IF(tbl_abs[[#This Row],[Absenteeism time in hours]]&lt;=16,"9–16",
"17+"))),"")</f>
        <v>3–8</v>
      </c>
    </row>
    <row r="229" spans="1:26" ht="15" customHeight="1" x14ac:dyDescent="0.3">
      <c r="A229">
        <v>14</v>
      </c>
      <c r="B229">
        <v>12</v>
      </c>
      <c r="C229" s="1">
        <v>4</v>
      </c>
      <c r="D229">
        <v>4</v>
      </c>
      <c r="E229">
        <v>3</v>
      </c>
      <c r="F229">
        <v>155</v>
      </c>
      <c r="G229" s="1">
        <v>12</v>
      </c>
      <c r="H229">
        <v>14</v>
      </c>
      <c r="I229" s="1">
        <v>34</v>
      </c>
      <c r="J229" s="2">
        <v>326452</v>
      </c>
      <c r="K229">
        <v>96</v>
      </c>
      <c r="L229">
        <v>0</v>
      </c>
      <c r="M229">
        <v>1</v>
      </c>
      <c r="N229">
        <v>2</v>
      </c>
      <c r="O229">
        <v>1</v>
      </c>
      <c r="P229">
        <v>0</v>
      </c>
      <c r="Q229">
        <v>0</v>
      </c>
      <c r="R229">
        <v>95</v>
      </c>
      <c r="S229">
        <v>196</v>
      </c>
      <c r="T229">
        <v>25</v>
      </c>
      <c r="U229">
        <v>24</v>
      </c>
      <c r="V229" s="53" t="str">
        <f>IFERROR(
IF(tbl_abs[[#This Row],[Month of absence]]=0,"Unknown",
CHOOSE(tbl_abs[[#This Row],[Month of absence]],
"Jan","Feb","Mar","Apr","May","Jun","Jul","Aug","Sep","Oct","Nov","Dec")),"")</f>
        <v>Apr</v>
      </c>
      <c r="W229" s="53" t="str">
        <f>IFERROR(
IF(tbl_abs[[#This Row],[Age]]&lt;30,"&lt;30",
IF(tbl_abs[[#This Row],[Age]]&lt;40,"30–39",
IF(tbl_abs[[#This Row],[Age]]&lt;50,"40–49",
IF(tbl_abs[[#This Row],[Age]]&lt;60,"50–59",
"60+")))),"")</f>
        <v>30–39</v>
      </c>
      <c r="X229" s="53" t="str">
        <f>IFERROR(
IF(tbl_abs[[#This Row],[Distance from Residence to Work]]&lt;=5,"0–5",
IF(tbl_abs[[#This Row],[Distance from Residence to Work]]&lt;=10,"6–10",
IF(tbl_abs[[#This Row],[Distance from Residence to Work]]&lt;=20,"11–20",
"21+"))),"")</f>
        <v>11–20</v>
      </c>
      <c r="Y229" s="53" t="str">
        <f>IFERROR(
IF(tbl_abs[[#This Row],[Body Mass Index]]&lt;18.5,"Underweight",
IF(tbl_abs[[#This Row],[Body Mass Index]]&lt;25,"Normal",
IF(tbl_abs[[#This Row],[Body Mass Index]]&lt;30,"Overweight",
"Obese"))),"")</f>
        <v>Overweight</v>
      </c>
      <c r="Z229" s="53" t="str">
        <f>IFERROR(
IF(tbl_abs[[#This Row],[Absenteeism time in hours]]&lt;=2,"0–2",
IF(tbl_abs[[#This Row],[Absenteeism time in hours]]&lt;=8,"3–8",
IF(tbl_abs[[#This Row],[Absenteeism time in hours]]&lt;=16,"9–16",
"17+"))),"")</f>
        <v>17+</v>
      </c>
    </row>
    <row r="230" spans="1:26" ht="15" customHeight="1" x14ac:dyDescent="0.3">
      <c r="A230">
        <v>23</v>
      </c>
      <c r="B230">
        <v>19</v>
      </c>
      <c r="C230" s="1">
        <v>4</v>
      </c>
      <c r="D230">
        <v>4</v>
      </c>
      <c r="E230">
        <v>3</v>
      </c>
      <c r="F230">
        <v>378</v>
      </c>
      <c r="G230" s="1">
        <v>49</v>
      </c>
      <c r="H230">
        <v>11</v>
      </c>
      <c r="I230" s="1">
        <v>36</v>
      </c>
      <c r="J230" s="2">
        <v>326452</v>
      </c>
      <c r="K230">
        <v>96</v>
      </c>
      <c r="L230">
        <v>0</v>
      </c>
      <c r="M230">
        <v>1</v>
      </c>
      <c r="N230">
        <v>2</v>
      </c>
      <c r="O230">
        <v>0</v>
      </c>
      <c r="P230">
        <v>1</v>
      </c>
      <c r="Q230">
        <v>4</v>
      </c>
      <c r="R230">
        <v>65</v>
      </c>
      <c r="S230">
        <v>174</v>
      </c>
      <c r="T230">
        <v>21</v>
      </c>
      <c r="U230">
        <v>8</v>
      </c>
      <c r="V230" s="53" t="str">
        <f>IFERROR(
IF(tbl_abs[[#This Row],[Month of absence]]=0,"Unknown",
CHOOSE(tbl_abs[[#This Row],[Month of absence]],
"Jan","Feb","Mar","Apr","May","Jun","Jul","Aug","Sep","Oct","Nov","Dec")),"")</f>
        <v>Apr</v>
      </c>
      <c r="W230" s="53" t="str">
        <f>IFERROR(
IF(tbl_abs[[#This Row],[Age]]&lt;30,"&lt;30",
IF(tbl_abs[[#This Row],[Age]]&lt;40,"30–39",
IF(tbl_abs[[#This Row],[Age]]&lt;50,"40–49",
IF(tbl_abs[[#This Row],[Age]]&lt;60,"50–59",
"60+")))),"")</f>
        <v>30–39</v>
      </c>
      <c r="X230" s="53" t="str">
        <f>IFERROR(
IF(tbl_abs[[#This Row],[Distance from Residence to Work]]&lt;=5,"0–5",
IF(tbl_abs[[#This Row],[Distance from Residence to Work]]&lt;=10,"6–10",
IF(tbl_abs[[#This Row],[Distance from Residence to Work]]&lt;=20,"11–20",
"21+"))),"")</f>
        <v>21+</v>
      </c>
      <c r="Y230" s="53" t="str">
        <f>IFERROR(
IF(tbl_abs[[#This Row],[Body Mass Index]]&lt;18.5,"Underweight",
IF(tbl_abs[[#This Row],[Body Mass Index]]&lt;25,"Normal",
IF(tbl_abs[[#This Row],[Body Mass Index]]&lt;30,"Overweight",
"Obese"))),"")</f>
        <v>Normal</v>
      </c>
      <c r="Z230" s="53" t="str">
        <f>IFERROR(
IF(tbl_abs[[#This Row],[Absenteeism time in hours]]&lt;=2,"0–2",
IF(tbl_abs[[#This Row],[Absenteeism time in hours]]&lt;=8,"3–8",
IF(tbl_abs[[#This Row],[Absenteeism time in hours]]&lt;=16,"9–16",
"17+"))),"")</f>
        <v>3–8</v>
      </c>
    </row>
    <row r="231" spans="1:26" ht="15" customHeight="1" x14ac:dyDescent="0.3">
      <c r="A231">
        <v>11</v>
      </c>
      <c r="B231">
        <v>13</v>
      </c>
      <c r="C231" s="1">
        <v>4</v>
      </c>
      <c r="D231">
        <v>5</v>
      </c>
      <c r="E231">
        <v>3</v>
      </c>
      <c r="F231">
        <v>289</v>
      </c>
      <c r="G231" s="1">
        <v>36</v>
      </c>
      <c r="H231">
        <v>13</v>
      </c>
      <c r="I231" s="1">
        <v>33</v>
      </c>
      <c r="J231" s="2">
        <v>326452</v>
      </c>
      <c r="K231">
        <v>96</v>
      </c>
      <c r="L231">
        <v>0</v>
      </c>
      <c r="M231">
        <v>1</v>
      </c>
      <c r="N231">
        <v>2</v>
      </c>
      <c r="O231">
        <v>1</v>
      </c>
      <c r="P231">
        <v>0</v>
      </c>
      <c r="Q231">
        <v>1</v>
      </c>
      <c r="R231">
        <v>90</v>
      </c>
      <c r="S231">
        <v>172</v>
      </c>
      <c r="T231">
        <v>30</v>
      </c>
      <c r="U231">
        <v>16</v>
      </c>
      <c r="V231" s="53" t="str">
        <f>IFERROR(
IF(tbl_abs[[#This Row],[Month of absence]]=0,"Unknown",
CHOOSE(tbl_abs[[#This Row],[Month of absence]],
"Jan","Feb","Mar","Apr","May","Jun","Jul","Aug","Sep","Oct","Nov","Dec")),"")</f>
        <v>Apr</v>
      </c>
      <c r="W231" s="53" t="str">
        <f>IFERROR(
IF(tbl_abs[[#This Row],[Age]]&lt;30,"&lt;30",
IF(tbl_abs[[#This Row],[Age]]&lt;40,"30–39",
IF(tbl_abs[[#This Row],[Age]]&lt;50,"40–49",
IF(tbl_abs[[#This Row],[Age]]&lt;60,"50–59",
"60+")))),"")</f>
        <v>30–39</v>
      </c>
      <c r="X231" s="53" t="str">
        <f>IFERROR(
IF(tbl_abs[[#This Row],[Distance from Residence to Work]]&lt;=5,"0–5",
IF(tbl_abs[[#This Row],[Distance from Residence to Work]]&lt;=10,"6–10",
IF(tbl_abs[[#This Row],[Distance from Residence to Work]]&lt;=20,"11–20",
"21+"))),"")</f>
        <v>21+</v>
      </c>
      <c r="Y231" s="53" t="str">
        <f>IFERROR(
IF(tbl_abs[[#This Row],[Body Mass Index]]&lt;18.5,"Underweight",
IF(tbl_abs[[#This Row],[Body Mass Index]]&lt;25,"Normal",
IF(tbl_abs[[#This Row],[Body Mass Index]]&lt;30,"Overweight",
"Obese"))),"")</f>
        <v>Obese</v>
      </c>
      <c r="Z231" s="53" t="str">
        <f>IFERROR(
IF(tbl_abs[[#This Row],[Absenteeism time in hours]]&lt;=2,"0–2",
IF(tbl_abs[[#This Row],[Absenteeism time in hours]]&lt;=8,"3–8",
IF(tbl_abs[[#This Row],[Absenteeism time in hours]]&lt;=16,"9–16",
"17+"))),"")</f>
        <v>9–16</v>
      </c>
    </row>
    <row r="232" spans="1:26" ht="15" customHeight="1" x14ac:dyDescent="0.3">
      <c r="A232">
        <v>1</v>
      </c>
      <c r="B232">
        <v>7</v>
      </c>
      <c r="C232" s="1">
        <v>4</v>
      </c>
      <c r="D232">
        <v>6</v>
      </c>
      <c r="E232">
        <v>3</v>
      </c>
      <c r="F232">
        <v>235</v>
      </c>
      <c r="G232" s="1">
        <v>11</v>
      </c>
      <c r="H232">
        <v>14</v>
      </c>
      <c r="I232" s="1">
        <v>37</v>
      </c>
      <c r="J232" s="2">
        <v>326452</v>
      </c>
      <c r="K232">
        <v>96</v>
      </c>
      <c r="L232">
        <v>0</v>
      </c>
      <c r="M232">
        <v>3</v>
      </c>
      <c r="N232">
        <v>1</v>
      </c>
      <c r="O232">
        <v>0</v>
      </c>
      <c r="P232">
        <v>0</v>
      </c>
      <c r="Q232">
        <v>1</v>
      </c>
      <c r="R232">
        <v>88</v>
      </c>
      <c r="S232">
        <v>172</v>
      </c>
      <c r="T232">
        <v>29</v>
      </c>
      <c r="U232">
        <v>3</v>
      </c>
      <c r="V232" s="53" t="str">
        <f>IFERROR(
IF(tbl_abs[[#This Row],[Month of absence]]=0,"Unknown",
CHOOSE(tbl_abs[[#This Row],[Month of absence]],
"Jan","Feb","Mar","Apr","May","Jun","Jul","Aug","Sep","Oct","Nov","Dec")),"")</f>
        <v>Apr</v>
      </c>
      <c r="W232" s="53" t="str">
        <f>IFERROR(
IF(tbl_abs[[#This Row],[Age]]&lt;30,"&lt;30",
IF(tbl_abs[[#This Row],[Age]]&lt;40,"30–39",
IF(tbl_abs[[#This Row],[Age]]&lt;50,"40–49",
IF(tbl_abs[[#This Row],[Age]]&lt;60,"50–59",
"60+")))),"")</f>
        <v>30–39</v>
      </c>
      <c r="X232" s="53" t="str">
        <f>IFERROR(
IF(tbl_abs[[#This Row],[Distance from Residence to Work]]&lt;=5,"0–5",
IF(tbl_abs[[#This Row],[Distance from Residence to Work]]&lt;=10,"6–10",
IF(tbl_abs[[#This Row],[Distance from Residence to Work]]&lt;=20,"11–20",
"21+"))),"")</f>
        <v>11–20</v>
      </c>
      <c r="Y232" s="53" t="str">
        <f>IFERROR(
IF(tbl_abs[[#This Row],[Body Mass Index]]&lt;18.5,"Underweight",
IF(tbl_abs[[#This Row],[Body Mass Index]]&lt;25,"Normal",
IF(tbl_abs[[#This Row],[Body Mass Index]]&lt;30,"Overweight",
"Obese"))),"")</f>
        <v>Overweight</v>
      </c>
      <c r="Z232" s="53" t="str">
        <f>IFERROR(
IF(tbl_abs[[#This Row],[Absenteeism time in hours]]&lt;=2,"0–2",
IF(tbl_abs[[#This Row],[Absenteeism time in hours]]&lt;=8,"3–8",
IF(tbl_abs[[#This Row],[Absenteeism time in hours]]&lt;=16,"9–16",
"17+"))),"")</f>
        <v>3–8</v>
      </c>
    </row>
    <row r="233" spans="1:26" ht="15" customHeight="1" x14ac:dyDescent="0.3">
      <c r="A233">
        <v>2</v>
      </c>
      <c r="B233">
        <v>0</v>
      </c>
      <c r="C233" s="1">
        <v>4</v>
      </c>
      <c r="D233">
        <v>2</v>
      </c>
      <c r="E233">
        <v>3</v>
      </c>
      <c r="F233">
        <v>235</v>
      </c>
      <c r="G233" s="1">
        <v>29</v>
      </c>
      <c r="H233">
        <v>12</v>
      </c>
      <c r="I233" s="1">
        <v>48</v>
      </c>
      <c r="J233" s="2">
        <v>326452</v>
      </c>
      <c r="K233">
        <v>96</v>
      </c>
      <c r="L233">
        <v>1</v>
      </c>
      <c r="M233">
        <v>1</v>
      </c>
      <c r="N233">
        <v>1</v>
      </c>
      <c r="O233">
        <v>0</v>
      </c>
      <c r="P233">
        <v>1</v>
      </c>
      <c r="Q233">
        <v>5</v>
      </c>
      <c r="R233">
        <v>88</v>
      </c>
      <c r="S233">
        <v>163</v>
      </c>
      <c r="T233">
        <v>33</v>
      </c>
      <c r="U233">
        <v>0</v>
      </c>
      <c r="V233" s="53" t="str">
        <f>IFERROR(
IF(tbl_abs[[#This Row],[Month of absence]]=0,"Unknown",
CHOOSE(tbl_abs[[#This Row],[Month of absence]],
"Jan","Feb","Mar","Apr","May","Jun","Jul","Aug","Sep","Oct","Nov","Dec")),"")</f>
        <v>Apr</v>
      </c>
      <c r="W233" s="53" t="str">
        <f>IFERROR(
IF(tbl_abs[[#This Row],[Age]]&lt;30,"&lt;30",
IF(tbl_abs[[#This Row],[Age]]&lt;40,"30–39",
IF(tbl_abs[[#This Row],[Age]]&lt;50,"40–49",
IF(tbl_abs[[#This Row],[Age]]&lt;60,"50–59",
"60+")))),"")</f>
        <v>40–49</v>
      </c>
      <c r="X233" s="53" t="str">
        <f>IFERROR(
IF(tbl_abs[[#This Row],[Distance from Residence to Work]]&lt;=5,"0–5",
IF(tbl_abs[[#This Row],[Distance from Residence to Work]]&lt;=10,"6–10",
IF(tbl_abs[[#This Row],[Distance from Residence to Work]]&lt;=20,"11–20",
"21+"))),"")</f>
        <v>21+</v>
      </c>
      <c r="Y233" s="53" t="str">
        <f>IFERROR(
IF(tbl_abs[[#This Row],[Body Mass Index]]&lt;18.5,"Underweight",
IF(tbl_abs[[#This Row],[Body Mass Index]]&lt;25,"Normal",
IF(tbl_abs[[#This Row],[Body Mass Index]]&lt;30,"Overweight",
"Obese"))),"")</f>
        <v>Obese</v>
      </c>
      <c r="Z233" s="53" t="str">
        <f>IFERROR(
IF(tbl_abs[[#This Row],[Absenteeism time in hours]]&lt;=2,"0–2",
IF(tbl_abs[[#This Row],[Absenteeism time in hours]]&lt;=8,"3–8",
IF(tbl_abs[[#This Row],[Absenteeism time in hours]]&lt;=16,"9–16",
"17+"))),"")</f>
        <v>0–2</v>
      </c>
    </row>
    <row r="234" spans="1:26" ht="15" customHeight="1" x14ac:dyDescent="0.3">
      <c r="A234">
        <v>3</v>
      </c>
      <c r="B234">
        <v>28</v>
      </c>
      <c r="C234" s="1">
        <v>4</v>
      </c>
      <c r="D234">
        <v>4</v>
      </c>
      <c r="E234">
        <v>3</v>
      </c>
      <c r="F234">
        <v>179</v>
      </c>
      <c r="G234" s="1">
        <v>51</v>
      </c>
      <c r="H234">
        <v>18</v>
      </c>
      <c r="I234" s="1">
        <v>38</v>
      </c>
      <c r="J234" s="2">
        <v>239409</v>
      </c>
      <c r="K234">
        <v>98</v>
      </c>
      <c r="L234">
        <v>0</v>
      </c>
      <c r="M234">
        <v>1</v>
      </c>
      <c r="N234">
        <v>0</v>
      </c>
      <c r="O234">
        <v>1</v>
      </c>
      <c r="P234">
        <v>0</v>
      </c>
      <c r="Q234">
        <v>0</v>
      </c>
      <c r="R234">
        <v>89</v>
      </c>
      <c r="S234">
        <v>170</v>
      </c>
      <c r="T234">
        <v>31</v>
      </c>
      <c r="U234">
        <v>4</v>
      </c>
      <c r="V234" s="53" t="str">
        <f>IFERROR(
IF(tbl_abs[[#This Row],[Month of absence]]=0,"Unknown",
CHOOSE(tbl_abs[[#This Row],[Month of absence]],
"Jan","Feb","Mar","Apr","May","Jun","Jul","Aug","Sep","Oct","Nov","Dec")),"")</f>
        <v>Apr</v>
      </c>
      <c r="W234" s="53" t="str">
        <f>IFERROR(
IF(tbl_abs[[#This Row],[Age]]&lt;30,"&lt;30",
IF(tbl_abs[[#This Row],[Age]]&lt;40,"30–39",
IF(tbl_abs[[#This Row],[Age]]&lt;50,"40–49",
IF(tbl_abs[[#This Row],[Age]]&lt;60,"50–59",
"60+")))),"")</f>
        <v>30–39</v>
      </c>
      <c r="X234" s="53" t="str">
        <f>IFERROR(
IF(tbl_abs[[#This Row],[Distance from Residence to Work]]&lt;=5,"0–5",
IF(tbl_abs[[#This Row],[Distance from Residence to Work]]&lt;=10,"6–10",
IF(tbl_abs[[#This Row],[Distance from Residence to Work]]&lt;=20,"11–20",
"21+"))),"")</f>
        <v>21+</v>
      </c>
      <c r="Y234" s="53" t="str">
        <f>IFERROR(
IF(tbl_abs[[#This Row],[Body Mass Index]]&lt;18.5,"Underweight",
IF(tbl_abs[[#This Row],[Body Mass Index]]&lt;25,"Normal",
IF(tbl_abs[[#This Row],[Body Mass Index]]&lt;30,"Overweight",
"Obese"))),"")</f>
        <v>Obese</v>
      </c>
      <c r="Z234" s="53" t="str">
        <f>IFERROR(
IF(tbl_abs[[#This Row],[Absenteeism time in hours]]&lt;=2,"0–2",
IF(tbl_abs[[#This Row],[Absenteeism time in hours]]&lt;=8,"3–8",
IF(tbl_abs[[#This Row],[Absenteeism time in hours]]&lt;=16,"9–16",
"17+"))),"")</f>
        <v>3–8</v>
      </c>
    </row>
    <row r="235" spans="1:26" ht="15" customHeight="1" x14ac:dyDescent="0.3">
      <c r="A235">
        <v>20</v>
      </c>
      <c r="B235">
        <v>28</v>
      </c>
      <c r="C235" s="1">
        <v>4</v>
      </c>
      <c r="D235">
        <v>6</v>
      </c>
      <c r="E235">
        <v>3</v>
      </c>
      <c r="F235">
        <v>260</v>
      </c>
      <c r="G235" s="1">
        <v>50</v>
      </c>
      <c r="H235">
        <v>11</v>
      </c>
      <c r="I235" s="1">
        <v>36</v>
      </c>
      <c r="J235" s="2">
        <v>239409</v>
      </c>
      <c r="K235">
        <v>98</v>
      </c>
      <c r="L235">
        <v>0</v>
      </c>
      <c r="M235">
        <v>1</v>
      </c>
      <c r="N235">
        <v>4</v>
      </c>
      <c r="O235">
        <v>1</v>
      </c>
      <c r="P235">
        <v>0</v>
      </c>
      <c r="Q235">
        <v>0</v>
      </c>
      <c r="R235">
        <v>65</v>
      </c>
      <c r="S235">
        <v>168</v>
      </c>
      <c r="T235">
        <v>23</v>
      </c>
      <c r="U235">
        <v>3</v>
      </c>
      <c r="V235" s="53" t="str">
        <f>IFERROR(
IF(tbl_abs[[#This Row],[Month of absence]]=0,"Unknown",
CHOOSE(tbl_abs[[#This Row],[Month of absence]],
"Jan","Feb","Mar","Apr","May","Jun","Jul","Aug","Sep","Oct","Nov","Dec")),"")</f>
        <v>Apr</v>
      </c>
      <c r="W235" s="53" t="str">
        <f>IFERROR(
IF(tbl_abs[[#This Row],[Age]]&lt;30,"&lt;30",
IF(tbl_abs[[#This Row],[Age]]&lt;40,"30–39",
IF(tbl_abs[[#This Row],[Age]]&lt;50,"40–49",
IF(tbl_abs[[#This Row],[Age]]&lt;60,"50–59",
"60+")))),"")</f>
        <v>30–39</v>
      </c>
      <c r="X235" s="53" t="str">
        <f>IFERROR(
IF(tbl_abs[[#This Row],[Distance from Residence to Work]]&lt;=5,"0–5",
IF(tbl_abs[[#This Row],[Distance from Residence to Work]]&lt;=10,"6–10",
IF(tbl_abs[[#This Row],[Distance from Residence to Work]]&lt;=20,"11–20",
"21+"))),"")</f>
        <v>21+</v>
      </c>
      <c r="Y235" s="53" t="str">
        <f>IFERROR(
IF(tbl_abs[[#This Row],[Body Mass Index]]&lt;18.5,"Underweight",
IF(tbl_abs[[#This Row],[Body Mass Index]]&lt;25,"Normal",
IF(tbl_abs[[#This Row],[Body Mass Index]]&lt;30,"Overweight",
"Obese"))),"")</f>
        <v>Normal</v>
      </c>
      <c r="Z235" s="53" t="str">
        <f>IFERROR(
IF(tbl_abs[[#This Row],[Absenteeism time in hours]]&lt;=2,"0–2",
IF(tbl_abs[[#This Row],[Absenteeism time in hours]]&lt;=8,"3–8",
IF(tbl_abs[[#This Row],[Absenteeism time in hours]]&lt;=16,"9–16",
"17+"))),"")</f>
        <v>3–8</v>
      </c>
    </row>
    <row r="236" spans="1:26" ht="15" customHeight="1" x14ac:dyDescent="0.3">
      <c r="A236">
        <v>18</v>
      </c>
      <c r="B236">
        <v>26</v>
      </c>
      <c r="C236" s="1">
        <v>4</v>
      </c>
      <c r="D236">
        <v>6</v>
      </c>
      <c r="E236">
        <v>3</v>
      </c>
      <c r="F236">
        <v>330</v>
      </c>
      <c r="G236" s="1">
        <v>16</v>
      </c>
      <c r="H236">
        <v>4</v>
      </c>
      <c r="I236" s="1">
        <v>28</v>
      </c>
      <c r="J236" s="2">
        <v>239409</v>
      </c>
      <c r="K236">
        <v>98</v>
      </c>
      <c r="L236">
        <v>0</v>
      </c>
      <c r="M236">
        <v>2</v>
      </c>
      <c r="N236">
        <v>0</v>
      </c>
      <c r="O236">
        <v>0</v>
      </c>
      <c r="P236">
        <v>0</v>
      </c>
      <c r="Q236">
        <v>0</v>
      </c>
      <c r="R236">
        <v>84</v>
      </c>
      <c r="S236">
        <v>182</v>
      </c>
      <c r="T236">
        <v>25</v>
      </c>
      <c r="U236">
        <v>4</v>
      </c>
      <c r="V236" s="53" t="str">
        <f>IFERROR(
IF(tbl_abs[[#This Row],[Month of absence]]=0,"Unknown",
CHOOSE(tbl_abs[[#This Row],[Month of absence]],
"Jan","Feb","Mar","Apr","May","Jun","Jul","Aug","Sep","Oct","Nov","Dec")),"")</f>
        <v>Apr</v>
      </c>
      <c r="W236" s="53" t="str">
        <f>IFERROR(
IF(tbl_abs[[#This Row],[Age]]&lt;30,"&lt;30",
IF(tbl_abs[[#This Row],[Age]]&lt;40,"30–39",
IF(tbl_abs[[#This Row],[Age]]&lt;50,"40–49",
IF(tbl_abs[[#This Row],[Age]]&lt;60,"50–59",
"60+")))),"")</f>
        <v>&lt;30</v>
      </c>
      <c r="X236" s="53" t="str">
        <f>IFERROR(
IF(tbl_abs[[#This Row],[Distance from Residence to Work]]&lt;=5,"0–5",
IF(tbl_abs[[#This Row],[Distance from Residence to Work]]&lt;=10,"6–10",
IF(tbl_abs[[#This Row],[Distance from Residence to Work]]&lt;=20,"11–20",
"21+"))),"")</f>
        <v>11–20</v>
      </c>
      <c r="Y236" s="53" t="str">
        <f>IFERROR(
IF(tbl_abs[[#This Row],[Body Mass Index]]&lt;18.5,"Underweight",
IF(tbl_abs[[#This Row],[Body Mass Index]]&lt;25,"Normal",
IF(tbl_abs[[#This Row],[Body Mass Index]]&lt;30,"Overweight",
"Obese"))),"")</f>
        <v>Overweight</v>
      </c>
      <c r="Z236" s="53" t="str">
        <f>IFERROR(
IF(tbl_abs[[#This Row],[Absenteeism time in hours]]&lt;=2,"0–2",
IF(tbl_abs[[#This Row],[Absenteeism time in hours]]&lt;=8,"3–8",
IF(tbl_abs[[#This Row],[Absenteeism time in hours]]&lt;=16,"9–16",
"17+"))),"")</f>
        <v>3–8</v>
      </c>
    </row>
    <row r="237" spans="1:26" ht="15" customHeight="1" x14ac:dyDescent="0.3">
      <c r="A237">
        <v>13</v>
      </c>
      <c r="B237">
        <v>22</v>
      </c>
      <c r="C237" s="1">
        <v>4</v>
      </c>
      <c r="D237">
        <v>2</v>
      </c>
      <c r="E237">
        <v>3</v>
      </c>
      <c r="F237">
        <v>369</v>
      </c>
      <c r="G237" s="1">
        <v>17</v>
      </c>
      <c r="H237">
        <v>12</v>
      </c>
      <c r="I237" s="1">
        <v>31</v>
      </c>
      <c r="J237" s="2">
        <v>239409</v>
      </c>
      <c r="K237">
        <v>98</v>
      </c>
      <c r="L237">
        <v>0</v>
      </c>
      <c r="M237">
        <v>1</v>
      </c>
      <c r="N237">
        <v>3</v>
      </c>
      <c r="O237">
        <v>1</v>
      </c>
      <c r="P237">
        <v>0</v>
      </c>
      <c r="Q237">
        <v>0</v>
      </c>
      <c r="R237">
        <v>70</v>
      </c>
      <c r="S237">
        <v>169</v>
      </c>
      <c r="T237">
        <v>25</v>
      </c>
      <c r="U237">
        <v>4</v>
      </c>
      <c r="V237" s="53" t="str">
        <f>IFERROR(
IF(tbl_abs[[#This Row],[Month of absence]]=0,"Unknown",
CHOOSE(tbl_abs[[#This Row],[Month of absence]],
"Jan","Feb","Mar","Apr","May","Jun","Jul","Aug","Sep","Oct","Nov","Dec")),"")</f>
        <v>Apr</v>
      </c>
      <c r="W237" s="53" t="str">
        <f>IFERROR(
IF(tbl_abs[[#This Row],[Age]]&lt;30,"&lt;30",
IF(tbl_abs[[#This Row],[Age]]&lt;40,"30–39",
IF(tbl_abs[[#This Row],[Age]]&lt;50,"40–49",
IF(tbl_abs[[#This Row],[Age]]&lt;60,"50–59",
"60+")))),"")</f>
        <v>30–39</v>
      </c>
      <c r="X237" s="53" t="str">
        <f>IFERROR(
IF(tbl_abs[[#This Row],[Distance from Residence to Work]]&lt;=5,"0–5",
IF(tbl_abs[[#This Row],[Distance from Residence to Work]]&lt;=10,"6–10",
IF(tbl_abs[[#This Row],[Distance from Residence to Work]]&lt;=20,"11–20",
"21+"))),"")</f>
        <v>11–20</v>
      </c>
      <c r="Y237" s="53" t="str">
        <f>IFERROR(
IF(tbl_abs[[#This Row],[Body Mass Index]]&lt;18.5,"Underweight",
IF(tbl_abs[[#This Row],[Body Mass Index]]&lt;25,"Normal",
IF(tbl_abs[[#This Row],[Body Mass Index]]&lt;30,"Overweight",
"Obese"))),"")</f>
        <v>Overweight</v>
      </c>
      <c r="Z237" s="53" t="str">
        <f>IFERROR(
IF(tbl_abs[[#This Row],[Absenteeism time in hours]]&lt;=2,"0–2",
IF(tbl_abs[[#This Row],[Absenteeism time in hours]]&lt;=8,"3–8",
IF(tbl_abs[[#This Row],[Absenteeism time in hours]]&lt;=16,"9–16",
"17+"))),"")</f>
        <v>3–8</v>
      </c>
    </row>
    <row r="238" spans="1:26" ht="15" customHeight="1" x14ac:dyDescent="0.3">
      <c r="A238">
        <v>33</v>
      </c>
      <c r="B238">
        <v>26</v>
      </c>
      <c r="C238" s="1">
        <v>4</v>
      </c>
      <c r="D238">
        <v>2</v>
      </c>
      <c r="E238">
        <v>3</v>
      </c>
      <c r="F238">
        <v>248</v>
      </c>
      <c r="G238" s="1">
        <v>25</v>
      </c>
      <c r="H238">
        <v>14</v>
      </c>
      <c r="I238" s="1">
        <v>47</v>
      </c>
      <c r="J238" s="2">
        <v>239409</v>
      </c>
      <c r="K238">
        <v>98</v>
      </c>
      <c r="L238">
        <v>0</v>
      </c>
      <c r="M238">
        <v>1</v>
      </c>
      <c r="N238">
        <v>2</v>
      </c>
      <c r="O238">
        <v>0</v>
      </c>
      <c r="P238">
        <v>0</v>
      </c>
      <c r="Q238">
        <v>1</v>
      </c>
      <c r="R238">
        <v>86</v>
      </c>
      <c r="S238">
        <v>165</v>
      </c>
      <c r="T238">
        <v>32</v>
      </c>
      <c r="U238">
        <v>4</v>
      </c>
      <c r="V238" s="53" t="str">
        <f>IFERROR(
IF(tbl_abs[[#This Row],[Month of absence]]=0,"Unknown",
CHOOSE(tbl_abs[[#This Row],[Month of absence]],
"Jan","Feb","Mar","Apr","May","Jun","Jul","Aug","Sep","Oct","Nov","Dec")),"")</f>
        <v>Apr</v>
      </c>
      <c r="W238" s="53" t="str">
        <f>IFERROR(
IF(tbl_abs[[#This Row],[Age]]&lt;30,"&lt;30",
IF(tbl_abs[[#This Row],[Age]]&lt;40,"30–39",
IF(tbl_abs[[#This Row],[Age]]&lt;50,"40–49",
IF(tbl_abs[[#This Row],[Age]]&lt;60,"50–59",
"60+")))),"")</f>
        <v>40–49</v>
      </c>
      <c r="X238" s="53" t="str">
        <f>IFERROR(
IF(tbl_abs[[#This Row],[Distance from Residence to Work]]&lt;=5,"0–5",
IF(tbl_abs[[#This Row],[Distance from Residence to Work]]&lt;=10,"6–10",
IF(tbl_abs[[#This Row],[Distance from Residence to Work]]&lt;=20,"11–20",
"21+"))),"")</f>
        <v>21+</v>
      </c>
      <c r="Y238" s="53" t="str">
        <f>IFERROR(
IF(tbl_abs[[#This Row],[Body Mass Index]]&lt;18.5,"Underweight",
IF(tbl_abs[[#This Row],[Body Mass Index]]&lt;25,"Normal",
IF(tbl_abs[[#This Row],[Body Mass Index]]&lt;30,"Overweight",
"Obese"))),"")</f>
        <v>Obese</v>
      </c>
      <c r="Z238" s="53" t="str">
        <f>IFERROR(
IF(tbl_abs[[#This Row],[Absenteeism time in hours]]&lt;=2,"0–2",
IF(tbl_abs[[#This Row],[Absenteeism time in hours]]&lt;=8,"3–8",
IF(tbl_abs[[#This Row],[Absenteeism time in hours]]&lt;=16,"9–16",
"17+"))),"")</f>
        <v>3–8</v>
      </c>
    </row>
    <row r="239" spans="1:26" ht="15" customHeight="1" x14ac:dyDescent="0.3">
      <c r="A239">
        <v>18</v>
      </c>
      <c r="B239">
        <v>23</v>
      </c>
      <c r="C239" s="1">
        <v>4</v>
      </c>
      <c r="D239">
        <v>4</v>
      </c>
      <c r="E239">
        <v>3</v>
      </c>
      <c r="F239">
        <v>330</v>
      </c>
      <c r="G239" s="1">
        <v>16</v>
      </c>
      <c r="H239">
        <v>4</v>
      </c>
      <c r="I239" s="1">
        <v>28</v>
      </c>
      <c r="J239" s="2">
        <v>239409</v>
      </c>
      <c r="K239">
        <v>98</v>
      </c>
      <c r="L239">
        <v>0</v>
      </c>
      <c r="M239">
        <v>2</v>
      </c>
      <c r="N239">
        <v>0</v>
      </c>
      <c r="O239">
        <v>0</v>
      </c>
      <c r="P239">
        <v>0</v>
      </c>
      <c r="Q239">
        <v>0</v>
      </c>
      <c r="R239">
        <v>84</v>
      </c>
      <c r="S239">
        <v>182</v>
      </c>
      <c r="T239">
        <v>25</v>
      </c>
      <c r="U239">
        <v>8</v>
      </c>
      <c r="V239" s="53" t="str">
        <f>IFERROR(
IF(tbl_abs[[#This Row],[Month of absence]]=0,"Unknown",
CHOOSE(tbl_abs[[#This Row],[Month of absence]],
"Jan","Feb","Mar","Apr","May","Jun","Jul","Aug","Sep","Oct","Nov","Dec")),"")</f>
        <v>Apr</v>
      </c>
      <c r="W239" s="53" t="str">
        <f>IFERROR(
IF(tbl_abs[[#This Row],[Age]]&lt;30,"&lt;30",
IF(tbl_abs[[#This Row],[Age]]&lt;40,"30–39",
IF(tbl_abs[[#This Row],[Age]]&lt;50,"40–49",
IF(tbl_abs[[#This Row],[Age]]&lt;60,"50–59",
"60+")))),"")</f>
        <v>&lt;30</v>
      </c>
      <c r="X239" s="53" t="str">
        <f>IFERROR(
IF(tbl_abs[[#This Row],[Distance from Residence to Work]]&lt;=5,"0–5",
IF(tbl_abs[[#This Row],[Distance from Residence to Work]]&lt;=10,"6–10",
IF(tbl_abs[[#This Row],[Distance from Residence to Work]]&lt;=20,"11–20",
"21+"))),"")</f>
        <v>11–20</v>
      </c>
      <c r="Y239" s="53" t="str">
        <f>IFERROR(
IF(tbl_abs[[#This Row],[Body Mass Index]]&lt;18.5,"Underweight",
IF(tbl_abs[[#This Row],[Body Mass Index]]&lt;25,"Normal",
IF(tbl_abs[[#This Row],[Body Mass Index]]&lt;30,"Overweight",
"Obese"))),"")</f>
        <v>Overweight</v>
      </c>
      <c r="Z239" s="53" t="str">
        <f>IFERROR(
IF(tbl_abs[[#This Row],[Absenteeism time in hours]]&lt;=2,"0–2",
IF(tbl_abs[[#This Row],[Absenteeism time in hours]]&lt;=8,"3–8",
IF(tbl_abs[[#This Row],[Absenteeism time in hours]]&lt;=16,"9–16",
"17+"))),"")</f>
        <v>3–8</v>
      </c>
    </row>
    <row r="240" spans="1:26" ht="15" customHeight="1" x14ac:dyDescent="0.3">
      <c r="A240">
        <v>3</v>
      </c>
      <c r="B240">
        <v>28</v>
      </c>
      <c r="C240" s="1">
        <v>4</v>
      </c>
      <c r="D240">
        <v>4</v>
      </c>
      <c r="E240">
        <v>3</v>
      </c>
      <c r="F240">
        <v>179</v>
      </c>
      <c r="G240" s="1">
        <v>51</v>
      </c>
      <c r="H240">
        <v>18</v>
      </c>
      <c r="I240" s="1">
        <v>38</v>
      </c>
      <c r="J240" s="2">
        <v>239409</v>
      </c>
      <c r="K240">
        <v>98</v>
      </c>
      <c r="L240">
        <v>0</v>
      </c>
      <c r="M240">
        <v>1</v>
      </c>
      <c r="N240">
        <v>0</v>
      </c>
      <c r="O240">
        <v>1</v>
      </c>
      <c r="P240">
        <v>0</v>
      </c>
      <c r="Q240">
        <v>0</v>
      </c>
      <c r="R240">
        <v>89</v>
      </c>
      <c r="S240">
        <v>170</v>
      </c>
      <c r="T240">
        <v>31</v>
      </c>
      <c r="U240">
        <v>8</v>
      </c>
      <c r="V240" s="53" t="str">
        <f>IFERROR(
IF(tbl_abs[[#This Row],[Month of absence]]=0,"Unknown",
CHOOSE(tbl_abs[[#This Row],[Month of absence]],
"Jan","Feb","Mar","Apr","May","Jun","Jul","Aug","Sep","Oct","Nov","Dec")),"")</f>
        <v>Apr</v>
      </c>
      <c r="W240" s="53" t="str">
        <f>IFERROR(
IF(tbl_abs[[#This Row],[Age]]&lt;30,"&lt;30",
IF(tbl_abs[[#This Row],[Age]]&lt;40,"30–39",
IF(tbl_abs[[#This Row],[Age]]&lt;50,"40–49",
IF(tbl_abs[[#This Row],[Age]]&lt;60,"50–59",
"60+")))),"")</f>
        <v>30–39</v>
      </c>
      <c r="X240" s="53" t="str">
        <f>IFERROR(
IF(tbl_abs[[#This Row],[Distance from Residence to Work]]&lt;=5,"0–5",
IF(tbl_abs[[#This Row],[Distance from Residence to Work]]&lt;=10,"6–10",
IF(tbl_abs[[#This Row],[Distance from Residence to Work]]&lt;=20,"11–20",
"21+"))),"")</f>
        <v>21+</v>
      </c>
      <c r="Y240" s="53" t="str">
        <f>IFERROR(
IF(tbl_abs[[#This Row],[Body Mass Index]]&lt;18.5,"Underweight",
IF(tbl_abs[[#This Row],[Body Mass Index]]&lt;25,"Normal",
IF(tbl_abs[[#This Row],[Body Mass Index]]&lt;30,"Overweight",
"Obese"))),"")</f>
        <v>Obese</v>
      </c>
      <c r="Z240" s="53" t="str">
        <f>IFERROR(
IF(tbl_abs[[#This Row],[Absenteeism time in hours]]&lt;=2,"0–2",
IF(tbl_abs[[#This Row],[Absenteeism time in hours]]&lt;=8,"3–8",
IF(tbl_abs[[#This Row],[Absenteeism time in hours]]&lt;=16,"9–16",
"17+"))),"")</f>
        <v>3–8</v>
      </c>
    </row>
    <row r="241" spans="1:26" ht="15" customHeight="1" x14ac:dyDescent="0.3">
      <c r="A241">
        <v>36</v>
      </c>
      <c r="B241">
        <v>23</v>
      </c>
      <c r="C241" s="1">
        <v>4</v>
      </c>
      <c r="D241">
        <v>2</v>
      </c>
      <c r="E241">
        <v>3</v>
      </c>
      <c r="F241">
        <v>118</v>
      </c>
      <c r="G241" s="1">
        <v>13</v>
      </c>
      <c r="H241">
        <v>18</v>
      </c>
      <c r="I241" s="1">
        <v>50</v>
      </c>
      <c r="J241" s="2">
        <v>239409</v>
      </c>
      <c r="K241">
        <v>98</v>
      </c>
      <c r="L241">
        <v>0</v>
      </c>
      <c r="M241">
        <v>1</v>
      </c>
      <c r="N241">
        <v>1</v>
      </c>
      <c r="O241">
        <v>1</v>
      </c>
      <c r="P241">
        <v>0</v>
      </c>
      <c r="Q241">
        <v>0</v>
      </c>
      <c r="R241">
        <v>98</v>
      </c>
      <c r="S241">
        <v>178</v>
      </c>
      <c r="T241">
        <v>31</v>
      </c>
      <c r="U241">
        <v>1</v>
      </c>
      <c r="V241" s="53" t="str">
        <f>IFERROR(
IF(tbl_abs[[#This Row],[Month of absence]]=0,"Unknown",
CHOOSE(tbl_abs[[#This Row],[Month of absence]],
"Jan","Feb","Mar","Apr","May","Jun","Jul","Aug","Sep","Oct","Nov","Dec")),"")</f>
        <v>Apr</v>
      </c>
      <c r="W241" s="53" t="str">
        <f>IFERROR(
IF(tbl_abs[[#This Row],[Age]]&lt;30,"&lt;30",
IF(tbl_abs[[#This Row],[Age]]&lt;40,"30–39",
IF(tbl_abs[[#This Row],[Age]]&lt;50,"40–49",
IF(tbl_abs[[#This Row],[Age]]&lt;60,"50–59",
"60+")))),"")</f>
        <v>50–59</v>
      </c>
      <c r="X241" s="53" t="str">
        <f>IFERROR(
IF(tbl_abs[[#This Row],[Distance from Residence to Work]]&lt;=5,"0–5",
IF(tbl_abs[[#This Row],[Distance from Residence to Work]]&lt;=10,"6–10",
IF(tbl_abs[[#This Row],[Distance from Residence to Work]]&lt;=20,"11–20",
"21+"))),"")</f>
        <v>11–20</v>
      </c>
      <c r="Y241" s="53" t="str">
        <f>IFERROR(
IF(tbl_abs[[#This Row],[Body Mass Index]]&lt;18.5,"Underweight",
IF(tbl_abs[[#This Row],[Body Mass Index]]&lt;25,"Normal",
IF(tbl_abs[[#This Row],[Body Mass Index]]&lt;30,"Overweight",
"Obese"))),"")</f>
        <v>Obese</v>
      </c>
      <c r="Z241" s="53" t="str">
        <f>IFERROR(
IF(tbl_abs[[#This Row],[Absenteeism time in hours]]&lt;=2,"0–2",
IF(tbl_abs[[#This Row],[Absenteeism time in hours]]&lt;=8,"3–8",
IF(tbl_abs[[#This Row],[Absenteeism time in hours]]&lt;=16,"9–16",
"17+"))),"")</f>
        <v>0–2</v>
      </c>
    </row>
    <row r="242" spans="1:26" ht="15" customHeight="1" x14ac:dyDescent="0.3">
      <c r="A242">
        <v>36</v>
      </c>
      <c r="B242">
        <v>13</v>
      </c>
      <c r="C242" s="1">
        <v>4</v>
      </c>
      <c r="D242">
        <v>4</v>
      </c>
      <c r="E242">
        <v>3</v>
      </c>
      <c r="F242">
        <v>118</v>
      </c>
      <c r="G242" s="1">
        <v>13</v>
      </c>
      <c r="H242">
        <v>18</v>
      </c>
      <c r="I242" s="1">
        <v>50</v>
      </c>
      <c r="J242" s="2">
        <v>239409</v>
      </c>
      <c r="K242">
        <v>98</v>
      </c>
      <c r="L242">
        <v>0</v>
      </c>
      <c r="M242">
        <v>1</v>
      </c>
      <c r="N242">
        <v>1</v>
      </c>
      <c r="O242">
        <v>1</v>
      </c>
      <c r="P242">
        <v>0</v>
      </c>
      <c r="Q242">
        <v>0</v>
      </c>
      <c r="R242">
        <v>98</v>
      </c>
      <c r="S242">
        <v>178</v>
      </c>
      <c r="T242">
        <v>31</v>
      </c>
      <c r="U242">
        <v>120</v>
      </c>
      <c r="V242" s="53" t="str">
        <f>IFERROR(
IF(tbl_abs[[#This Row],[Month of absence]]=0,"Unknown",
CHOOSE(tbl_abs[[#This Row],[Month of absence]],
"Jan","Feb","Mar","Apr","May","Jun","Jul","Aug","Sep","Oct","Nov","Dec")),"")</f>
        <v>Apr</v>
      </c>
      <c r="W242" s="53" t="str">
        <f>IFERROR(
IF(tbl_abs[[#This Row],[Age]]&lt;30,"&lt;30",
IF(tbl_abs[[#This Row],[Age]]&lt;40,"30–39",
IF(tbl_abs[[#This Row],[Age]]&lt;50,"40–49",
IF(tbl_abs[[#This Row],[Age]]&lt;60,"50–59",
"60+")))),"")</f>
        <v>50–59</v>
      </c>
      <c r="X242" s="53" t="str">
        <f>IFERROR(
IF(tbl_abs[[#This Row],[Distance from Residence to Work]]&lt;=5,"0–5",
IF(tbl_abs[[#This Row],[Distance from Residence to Work]]&lt;=10,"6–10",
IF(tbl_abs[[#This Row],[Distance from Residence to Work]]&lt;=20,"11–20",
"21+"))),"")</f>
        <v>11–20</v>
      </c>
      <c r="Y242" s="53" t="str">
        <f>IFERROR(
IF(tbl_abs[[#This Row],[Body Mass Index]]&lt;18.5,"Underweight",
IF(tbl_abs[[#This Row],[Body Mass Index]]&lt;25,"Normal",
IF(tbl_abs[[#This Row],[Body Mass Index]]&lt;30,"Overweight",
"Obese"))),"")</f>
        <v>Obese</v>
      </c>
      <c r="Z242" s="53" t="str">
        <f>IFERROR(
IF(tbl_abs[[#This Row],[Absenteeism time in hours]]&lt;=2,"0–2",
IF(tbl_abs[[#This Row],[Absenteeism time in hours]]&lt;=8,"3–8",
IF(tbl_abs[[#This Row],[Absenteeism time in hours]]&lt;=16,"9–16",
"17+"))),"")</f>
        <v>17+</v>
      </c>
    </row>
    <row r="243" spans="1:26" ht="15" customHeight="1" x14ac:dyDescent="0.3">
      <c r="A243">
        <v>26</v>
      </c>
      <c r="B243">
        <v>28</v>
      </c>
      <c r="C243" s="1">
        <v>4</v>
      </c>
      <c r="D243">
        <v>6</v>
      </c>
      <c r="E243">
        <v>3</v>
      </c>
      <c r="F243">
        <v>300</v>
      </c>
      <c r="G243" s="1">
        <v>26</v>
      </c>
      <c r="H243">
        <v>13</v>
      </c>
      <c r="I243" s="1">
        <v>43</v>
      </c>
      <c r="J243" s="2">
        <v>239409</v>
      </c>
      <c r="K243">
        <v>98</v>
      </c>
      <c r="L243">
        <v>0</v>
      </c>
      <c r="M243">
        <v>1</v>
      </c>
      <c r="N243">
        <v>2</v>
      </c>
      <c r="O243">
        <v>1</v>
      </c>
      <c r="P243">
        <v>1</v>
      </c>
      <c r="Q243">
        <v>1</v>
      </c>
      <c r="R243">
        <v>77</v>
      </c>
      <c r="S243">
        <v>175</v>
      </c>
      <c r="T243">
        <v>25</v>
      </c>
      <c r="U243">
        <v>8</v>
      </c>
      <c r="V243" s="53" t="str">
        <f>IFERROR(
IF(tbl_abs[[#This Row],[Month of absence]]=0,"Unknown",
CHOOSE(tbl_abs[[#This Row],[Month of absence]],
"Jan","Feb","Mar","Apr","May","Jun","Jul","Aug","Sep","Oct","Nov","Dec")),"")</f>
        <v>Apr</v>
      </c>
      <c r="W243" s="53" t="str">
        <f>IFERROR(
IF(tbl_abs[[#This Row],[Age]]&lt;30,"&lt;30",
IF(tbl_abs[[#This Row],[Age]]&lt;40,"30–39",
IF(tbl_abs[[#This Row],[Age]]&lt;50,"40–49",
IF(tbl_abs[[#This Row],[Age]]&lt;60,"50–59",
"60+")))),"")</f>
        <v>40–49</v>
      </c>
      <c r="X243" s="53" t="str">
        <f>IFERROR(
IF(tbl_abs[[#This Row],[Distance from Residence to Work]]&lt;=5,"0–5",
IF(tbl_abs[[#This Row],[Distance from Residence to Work]]&lt;=10,"6–10",
IF(tbl_abs[[#This Row],[Distance from Residence to Work]]&lt;=20,"11–20",
"21+"))),"")</f>
        <v>21+</v>
      </c>
      <c r="Y243" s="53" t="str">
        <f>IFERROR(
IF(tbl_abs[[#This Row],[Body Mass Index]]&lt;18.5,"Underweight",
IF(tbl_abs[[#This Row],[Body Mass Index]]&lt;25,"Normal",
IF(tbl_abs[[#This Row],[Body Mass Index]]&lt;30,"Overweight",
"Obese"))),"")</f>
        <v>Overweight</v>
      </c>
      <c r="Z243" s="53" t="str">
        <f>IFERROR(
IF(tbl_abs[[#This Row],[Absenteeism time in hours]]&lt;=2,"0–2",
IF(tbl_abs[[#This Row],[Absenteeism time in hours]]&lt;=8,"3–8",
IF(tbl_abs[[#This Row],[Absenteeism time in hours]]&lt;=16,"9–16",
"17+"))),"")</f>
        <v>3–8</v>
      </c>
    </row>
    <row r="244" spans="1:26" ht="15" customHeight="1" x14ac:dyDescent="0.3">
      <c r="A244">
        <v>20</v>
      </c>
      <c r="B244">
        <v>28</v>
      </c>
      <c r="C244" s="1">
        <v>4</v>
      </c>
      <c r="D244">
        <v>6</v>
      </c>
      <c r="E244">
        <v>3</v>
      </c>
      <c r="F244">
        <v>260</v>
      </c>
      <c r="G244" s="1">
        <v>50</v>
      </c>
      <c r="H244">
        <v>11</v>
      </c>
      <c r="I244" s="1">
        <v>36</v>
      </c>
      <c r="J244" s="2">
        <v>239409</v>
      </c>
      <c r="K244">
        <v>98</v>
      </c>
      <c r="L244">
        <v>0</v>
      </c>
      <c r="M244">
        <v>1</v>
      </c>
      <c r="N244">
        <v>4</v>
      </c>
      <c r="O244">
        <v>1</v>
      </c>
      <c r="P244">
        <v>0</v>
      </c>
      <c r="Q244">
        <v>0</v>
      </c>
      <c r="R244">
        <v>65</v>
      </c>
      <c r="S244">
        <v>168</v>
      </c>
      <c r="T244">
        <v>23</v>
      </c>
      <c r="U244">
        <v>4</v>
      </c>
      <c r="V244" s="53" t="str">
        <f>IFERROR(
IF(tbl_abs[[#This Row],[Month of absence]]=0,"Unknown",
CHOOSE(tbl_abs[[#This Row],[Month of absence]],
"Jan","Feb","Mar","Apr","May","Jun","Jul","Aug","Sep","Oct","Nov","Dec")),"")</f>
        <v>Apr</v>
      </c>
      <c r="W244" s="53" t="str">
        <f>IFERROR(
IF(tbl_abs[[#This Row],[Age]]&lt;30,"&lt;30",
IF(tbl_abs[[#This Row],[Age]]&lt;40,"30–39",
IF(tbl_abs[[#This Row],[Age]]&lt;50,"40–49",
IF(tbl_abs[[#This Row],[Age]]&lt;60,"50–59",
"60+")))),"")</f>
        <v>30–39</v>
      </c>
      <c r="X244" s="53" t="str">
        <f>IFERROR(
IF(tbl_abs[[#This Row],[Distance from Residence to Work]]&lt;=5,"0–5",
IF(tbl_abs[[#This Row],[Distance from Residence to Work]]&lt;=10,"6–10",
IF(tbl_abs[[#This Row],[Distance from Residence to Work]]&lt;=20,"11–20",
"21+"))),"")</f>
        <v>21+</v>
      </c>
      <c r="Y244" s="53" t="str">
        <f>IFERROR(
IF(tbl_abs[[#This Row],[Body Mass Index]]&lt;18.5,"Underweight",
IF(tbl_abs[[#This Row],[Body Mass Index]]&lt;25,"Normal",
IF(tbl_abs[[#This Row],[Body Mass Index]]&lt;30,"Overweight",
"Obese"))),"")</f>
        <v>Normal</v>
      </c>
      <c r="Z244" s="53" t="str">
        <f>IFERROR(
IF(tbl_abs[[#This Row],[Absenteeism time in hours]]&lt;=2,"0–2",
IF(tbl_abs[[#This Row],[Absenteeism time in hours]]&lt;=8,"3–8",
IF(tbl_abs[[#This Row],[Absenteeism time in hours]]&lt;=16,"9–16",
"17+"))),"")</f>
        <v>3–8</v>
      </c>
    </row>
    <row r="245" spans="1:26" ht="15" customHeight="1" x14ac:dyDescent="0.3">
      <c r="A245">
        <v>3</v>
      </c>
      <c r="B245">
        <v>28</v>
      </c>
      <c r="C245" s="1">
        <v>4</v>
      </c>
      <c r="D245">
        <v>2</v>
      </c>
      <c r="E245">
        <v>3</v>
      </c>
      <c r="F245">
        <v>179</v>
      </c>
      <c r="G245" s="1">
        <v>51</v>
      </c>
      <c r="H245">
        <v>18</v>
      </c>
      <c r="I245" s="1">
        <v>38</v>
      </c>
      <c r="J245" s="2">
        <v>239409</v>
      </c>
      <c r="K245">
        <v>98</v>
      </c>
      <c r="L245">
        <v>0</v>
      </c>
      <c r="M245">
        <v>1</v>
      </c>
      <c r="N245">
        <v>0</v>
      </c>
      <c r="O245">
        <v>1</v>
      </c>
      <c r="P245">
        <v>0</v>
      </c>
      <c r="Q245">
        <v>0</v>
      </c>
      <c r="R245">
        <v>89</v>
      </c>
      <c r="S245">
        <v>170</v>
      </c>
      <c r="T245">
        <v>31</v>
      </c>
      <c r="U245">
        <v>4</v>
      </c>
      <c r="V245" s="53" t="str">
        <f>IFERROR(
IF(tbl_abs[[#This Row],[Month of absence]]=0,"Unknown",
CHOOSE(tbl_abs[[#This Row],[Month of absence]],
"Jan","Feb","Mar","Apr","May","Jun","Jul","Aug","Sep","Oct","Nov","Dec")),"")</f>
        <v>Apr</v>
      </c>
      <c r="W245" s="53" t="str">
        <f>IFERROR(
IF(tbl_abs[[#This Row],[Age]]&lt;30,"&lt;30",
IF(tbl_abs[[#This Row],[Age]]&lt;40,"30–39",
IF(tbl_abs[[#This Row],[Age]]&lt;50,"40–49",
IF(tbl_abs[[#This Row],[Age]]&lt;60,"50–59",
"60+")))),"")</f>
        <v>30–39</v>
      </c>
      <c r="X245" s="53" t="str">
        <f>IFERROR(
IF(tbl_abs[[#This Row],[Distance from Residence to Work]]&lt;=5,"0–5",
IF(tbl_abs[[#This Row],[Distance from Residence to Work]]&lt;=10,"6–10",
IF(tbl_abs[[#This Row],[Distance from Residence to Work]]&lt;=20,"11–20",
"21+"))),"")</f>
        <v>21+</v>
      </c>
      <c r="Y245" s="53" t="str">
        <f>IFERROR(
IF(tbl_abs[[#This Row],[Body Mass Index]]&lt;18.5,"Underweight",
IF(tbl_abs[[#This Row],[Body Mass Index]]&lt;25,"Normal",
IF(tbl_abs[[#This Row],[Body Mass Index]]&lt;30,"Overweight",
"Obese"))),"")</f>
        <v>Obese</v>
      </c>
      <c r="Z245" s="53" t="str">
        <f>IFERROR(
IF(tbl_abs[[#This Row],[Absenteeism time in hours]]&lt;=2,"0–2",
IF(tbl_abs[[#This Row],[Absenteeism time in hours]]&lt;=8,"3–8",
IF(tbl_abs[[#This Row],[Absenteeism time in hours]]&lt;=16,"9–16",
"17+"))),"")</f>
        <v>3–8</v>
      </c>
    </row>
    <row r="246" spans="1:26" ht="15" customHeight="1" x14ac:dyDescent="0.3">
      <c r="A246">
        <v>34</v>
      </c>
      <c r="B246">
        <v>11</v>
      </c>
      <c r="C246" s="1">
        <v>4</v>
      </c>
      <c r="D246">
        <v>4</v>
      </c>
      <c r="E246">
        <v>3</v>
      </c>
      <c r="F246">
        <v>118</v>
      </c>
      <c r="G246" s="1">
        <v>10</v>
      </c>
      <c r="H246">
        <v>10</v>
      </c>
      <c r="I246" s="1">
        <v>37</v>
      </c>
      <c r="J246" s="2">
        <v>239409</v>
      </c>
      <c r="K246">
        <v>98</v>
      </c>
      <c r="L246">
        <v>0</v>
      </c>
      <c r="M246">
        <v>1</v>
      </c>
      <c r="N246">
        <v>0</v>
      </c>
      <c r="O246">
        <v>0</v>
      </c>
      <c r="P246">
        <v>0</v>
      </c>
      <c r="Q246">
        <v>0</v>
      </c>
      <c r="R246">
        <v>83</v>
      </c>
      <c r="S246">
        <v>172</v>
      </c>
      <c r="T246">
        <v>28</v>
      </c>
      <c r="U246">
        <v>2</v>
      </c>
      <c r="V246" s="53" t="str">
        <f>IFERROR(
IF(tbl_abs[[#This Row],[Month of absence]]=0,"Unknown",
CHOOSE(tbl_abs[[#This Row],[Month of absence]],
"Jan","Feb","Mar","Apr","May","Jun","Jul","Aug","Sep","Oct","Nov","Dec")),"")</f>
        <v>Apr</v>
      </c>
      <c r="W246" s="53" t="str">
        <f>IFERROR(
IF(tbl_abs[[#This Row],[Age]]&lt;30,"&lt;30",
IF(tbl_abs[[#This Row],[Age]]&lt;40,"30–39",
IF(tbl_abs[[#This Row],[Age]]&lt;50,"40–49",
IF(tbl_abs[[#This Row],[Age]]&lt;60,"50–59",
"60+")))),"")</f>
        <v>30–39</v>
      </c>
      <c r="X246" s="53" t="str">
        <f>IFERROR(
IF(tbl_abs[[#This Row],[Distance from Residence to Work]]&lt;=5,"0–5",
IF(tbl_abs[[#This Row],[Distance from Residence to Work]]&lt;=10,"6–10",
IF(tbl_abs[[#This Row],[Distance from Residence to Work]]&lt;=20,"11–20",
"21+"))),"")</f>
        <v>6–10</v>
      </c>
      <c r="Y246" s="53" t="str">
        <f>IFERROR(
IF(tbl_abs[[#This Row],[Body Mass Index]]&lt;18.5,"Underweight",
IF(tbl_abs[[#This Row],[Body Mass Index]]&lt;25,"Normal",
IF(tbl_abs[[#This Row],[Body Mass Index]]&lt;30,"Overweight",
"Obese"))),"")</f>
        <v>Overweight</v>
      </c>
      <c r="Z246" s="53" t="str">
        <f>IFERROR(
IF(tbl_abs[[#This Row],[Absenteeism time in hours]]&lt;=2,"0–2",
IF(tbl_abs[[#This Row],[Absenteeism time in hours]]&lt;=8,"3–8",
IF(tbl_abs[[#This Row],[Absenteeism time in hours]]&lt;=16,"9–16",
"17+"))),"")</f>
        <v>0–2</v>
      </c>
    </row>
    <row r="247" spans="1:26" ht="15" customHeight="1" x14ac:dyDescent="0.3">
      <c r="A247">
        <v>28</v>
      </c>
      <c r="B247">
        <v>13</v>
      </c>
      <c r="C247" s="1">
        <v>4</v>
      </c>
      <c r="D247">
        <v>2</v>
      </c>
      <c r="E247">
        <v>3</v>
      </c>
      <c r="F247">
        <v>225</v>
      </c>
      <c r="G247" s="1">
        <v>26</v>
      </c>
      <c r="H247">
        <v>9</v>
      </c>
      <c r="I247" s="1">
        <v>28</v>
      </c>
      <c r="J247" s="2">
        <v>246288</v>
      </c>
      <c r="K247">
        <v>91</v>
      </c>
      <c r="L247">
        <v>0</v>
      </c>
      <c r="M247">
        <v>1</v>
      </c>
      <c r="N247">
        <v>1</v>
      </c>
      <c r="O247">
        <v>0</v>
      </c>
      <c r="P247">
        <v>0</v>
      </c>
      <c r="Q247">
        <v>2</v>
      </c>
      <c r="R247">
        <v>69</v>
      </c>
      <c r="S247">
        <v>169</v>
      </c>
      <c r="T247">
        <v>24</v>
      </c>
      <c r="U247">
        <v>8</v>
      </c>
      <c r="V247" s="53" t="str">
        <f>IFERROR(
IF(tbl_abs[[#This Row],[Month of absence]]=0,"Unknown",
CHOOSE(tbl_abs[[#This Row],[Month of absence]],
"Jan","Feb","Mar","Apr","May","Jun","Jul","Aug","Sep","Oct","Nov","Dec")),"")</f>
        <v>Apr</v>
      </c>
      <c r="W247" s="53" t="str">
        <f>IFERROR(
IF(tbl_abs[[#This Row],[Age]]&lt;30,"&lt;30",
IF(tbl_abs[[#This Row],[Age]]&lt;40,"30–39",
IF(tbl_abs[[#This Row],[Age]]&lt;50,"40–49",
IF(tbl_abs[[#This Row],[Age]]&lt;60,"50–59",
"60+")))),"")</f>
        <v>&lt;30</v>
      </c>
      <c r="X247" s="53" t="str">
        <f>IFERROR(
IF(tbl_abs[[#This Row],[Distance from Residence to Work]]&lt;=5,"0–5",
IF(tbl_abs[[#This Row],[Distance from Residence to Work]]&lt;=10,"6–10",
IF(tbl_abs[[#This Row],[Distance from Residence to Work]]&lt;=20,"11–20",
"21+"))),"")</f>
        <v>21+</v>
      </c>
      <c r="Y247" s="53" t="str">
        <f>IFERROR(
IF(tbl_abs[[#This Row],[Body Mass Index]]&lt;18.5,"Underweight",
IF(tbl_abs[[#This Row],[Body Mass Index]]&lt;25,"Normal",
IF(tbl_abs[[#This Row],[Body Mass Index]]&lt;30,"Overweight",
"Obese"))),"")</f>
        <v>Normal</v>
      </c>
      <c r="Z247" s="53" t="str">
        <f>IFERROR(
IF(tbl_abs[[#This Row],[Absenteeism time in hours]]&lt;=2,"0–2",
IF(tbl_abs[[#This Row],[Absenteeism time in hours]]&lt;=8,"3–8",
IF(tbl_abs[[#This Row],[Absenteeism time in hours]]&lt;=16,"9–16",
"17+"))),"")</f>
        <v>3–8</v>
      </c>
    </row>
    <row r="248" spans="1:26" ht="15" customHeight="1" x14ac:dyDescent="0.3">
      <c r="A248">
        <v>34</v>
      </c>
      <c r="B248">
        <v>10</v>
      </c>
      <c r="C248" s="1">
        <v>4</v>
      </c>
      <c r="D248">
        <v>2</v>
      </c>
      <c r="E248">
        <v>3</v>
      </c>
      <c r="F248">
        <v>118</v>
      </c>
      <c r="G248" s="1">
        <v>10</v>
      </c>
      <c r="H248">
        <v>10</v>
      </c>
      <c r="I248" s="1">
        <v>37</v>
      </c>
      <c r="J248" s="2">
        <v>246288</v>
      </c>
      <c r="K248">
        <v>91</v>
      </c>
      <c r="L248">
        <v>0</v>
      </c>
      <c r="M248">
        <v>1</v>
      </c>
      <c r="N248">
        <v>0</v>
      </c>
      <c r="O248">
        <v>0</v>
      </c>
      <c r="P248">
        <v>0</v>
      </c>
      <c r="Q248">
        <v>0</v>
      </c>
      <c r="R248">
        <v>83</v>
      </c>
      <c r="S248">
        <v>172</v>
      </c>
      <c r="T248">
        <v>28</v>
      </c>
      <c r="U248">
        <v>8</v>
      </c>
      <c r="V248" s="53" t="str">
        <f>IFERROR(
IF(tbl_abs[[#This Row],[Month of absence]]=0,"Unknown",
CHOOSE(tbl_abs[[#This Row],[Month of absence]],
"Jan","Feb","Mar","Apr","May","Jun","Jul","Aug","Sep","Oct","Nov","Dec")),"")</f>
        <v>Apr</v>
      </c>
      <c r="W248" s="53" t="str">
        <f>IFERROR(
IF(tbl_abs[[#This Row],[Age]]&lt;30,"&lt;30",
IF(tbl_abs[[#This Row],[Age]]&lt;40,"30–39",
IF(tbl_abs[[#This Row],[Age]]&lt;50,"40–49",
IF(tbl_abs[[#This Row],[Age]]&lt;60,"50–59",
"60+")))),"")</f>
        <v>30–39</v>
      </c>
      <c r="X248" s="53" t="str">
        <f>IFERROR(
IF(tbl_abs[[#This Row],[Distance from Residence to Work]]&lt;=5,"0–5",
IF(tbl_abs[[#This Row],[Distance from Residence to Work]]&lt;=10,"6–10",
IF(tbl_abs[[#This Row],[Distance from Residence to Work]]&lt;=20,"11–20",
"21+"))),"")</f>
        <v>6–10</v>
      </c>
      <c r="Y248" s="53" t="str">
        <f>IFERROR(
IF(tbl_abs[[#This Row],[Body Mass Index]]&lt;18.5,"Underweight",
IF(tbl_abs[[#This Row],[Body Mass Index]]&lt;25,"Normal",
IF(tbl_abs[[#This Row],[Body Mass Index]]&lt;30,"Overweight",
"Obese"))),"")</f>
        <v>Overweight</v>
      </c>
      <c r="Z248" s="53" t="str">
        <f>IFERROR(
IF(tbl_abs[[#This Row],[Absenteeism time in hours]]&lt;=2,"0–2",
IF(tbl_abs[[#This Row],[Absenteeism time in hours]]&lt;=8,"3–8",
IF(tbl_abs[[#This Row],[Absenteeism time in hours]]&lt;=16,"9–16",
"17+"))),"")</f>
        <v>3–8</v>
      </c>
    </row>
    <row r="249" spans="1:26" ht="15" customHeight="1" x14ac:dyDescent="0.3">
      <c r="A249">
        <v>10</v>
      </c>
      <c r="B249">
        <v>19</v>
      </c>
      <c r="C249" s="1">
        <v>4</v>
      </c>
      <c r="D249">
        <v>3</v>
      </c>
      <c r="E249">
        <v>3</v>
      </c>
      <c r="F249">
        <v>361</v>
      </c>
      <c r="G249" s="1">
        <v>52</v>
      </c>
      <c r="H249">
        <v>3</v>
      </c>
      <c r="I249" s="1">
        <v>28</v>
      </c>
      <c r="J249" s="2">
        <v>246288</v>
      </c>
      <c r="K249">
        <v>91</v>
      </c>
      <c r="L249">
        <v>0</v>
      </c>
      <c r="M249">
        <v>1</v>
      </c>
      <c r="N249">
        <v>1</v>
      </c>
      <c r="O249">
        <v>1</v>
      </c>
      <c r="P249">
        <v>0</v>
      </c>
      <c r="Q249">
        <v>4</v>
      </c>
      <c r="R249">
        <v>80</v>
      </c>
      <c r="S249">
        <v>172</v>
      </c>
      <c r="T249">
        <v>27</v>
      </c>
      <c r="U249">
        <v>8</v>
      </c>
      <c r="V249" s="53" t="str">
        <f>IFERROR(
IF(tbl_abs[[#This Row],[Month of absence]]=0,"Unknown",
CHOOSE(tbl_abs[[#This Row],[Month of absence]],
"Jan","Feb","Mar","Apr","May","Jun","Jul","Aug","Sep","Oct","Nov","Dec")),"")</f>
        <v>Apr</v>
      </c>
      <c r="W249" s="53" t="str">
        <f>IFERROR(
IF(tbl_abs[[#This Row],[Age]]&lt;30,"&lt;30",
IF(tbl_abs[[#This Row],[Age]]&lt;40,"30–39",
IF(tbl_abs[[#This Row],[Age]]&lt;50,"40–49",
IF(tbl_abs[[#This Row],[Age]]&lt;60,"50–59",
"60+")))),"")</f>
        <v>&lt;30</v>
      </c>
      <c r="X249" s="53" t="str">
        <f>IFERROR(
IF(tbl_abs[[#This Row],[Distance from Residence to Work]]&lt;=5,"0–5",
IF(tbl_abs[[#This Row],[Distance from Residence to Work]]&lt;=10,"6–10",
IF(tbl_abs[[#This Row],[Distance from Residence to Work]]&lt;=20,"11–20",
"21+"))),"")</f>
        <v>21+</v>
      </c>
      <c r="Y249" s="53" t="str">
        <f>IFERROR(
IF(tbl_abs[[#This Row],[Body Mass Index]]&lt;18.5,"Underweight",
IF(tbl_abs[[#This Row],[Body Mass Index]]&lt;25,"Normal",
IF(tbl_abs[[#This Row],[Body Mass Index]]&lt;30,"Overweight",
"Obese"))),"")</f>
        <v>Overweight</v>
      </c>
      <c r="Z249" s="53" t="str">
        <f>IFERROR(
IF(tbl_abs[[#This Row],[Absenteeism time in hours]]&lt;=2,"0–2",
IF(tbl_abs[[#This Row],[Absenteeism time in hours]]&lt;=8,"3–8",
IF(tbl_abs[[#This Row],[Absenteeism time in hours]]&lt;=16,"9–16",
"17+"))),"")</f>
        <v>3–8</v>
      </c>
    </row>
    <row r="250" spans="1:26" ht="15" customHeight="1" x14ac:dyDescent="0.3">
      <c r="A250">
        <v>33</v>
      </c>
      <c r="B250">
        <v>19</v>
      </c>
      <c r="C250" s="1">
        <v>4</v>
      </c>
      <c r="D250">
        <v>4</v>
      </c>
      <c r="E250">
        <v>3</v>
      </c>
      <c r="F250">
        <v>248</v>
      </c>
      <c r="G250" s="1">
        <v>25</v>
      </c>
      <c r="H250">
        <v>14</v>
      </c>
      <c r="I250" s="1">
        <v>47</v>
      </c>
      <c r="J250" s="2">
        <v>246288</v>
      </c>
      <c r="K250">
        <v>91</v>
      </c>
      <c r="L250">
        <v>0</v>
      </c>
      <c r="M250">
        <v>1</v>
      </c>
      <c r="N250">
        <v>2</v>
      </c>
      <c r="O250">
        <v>0</v>
      </c>
      <c r="P250">
        <v>0</v>
      </c>
      <c r="Q250">
        <v>1</v>
      </c>
      <c r="R250">
        <v>86</v>
      </c>
      <c r="S250">
        <v>165</v>
      </c>
      <c r="T250">
        <v>32</v>
      </c>
      <c r="U250">
        <v>8</v>
      </c>
      <c r="V250" s="53" t="str">
        <f>IFERROR(
IF(tbl_abs[[#This Row],[Month of absence]]=0,"Unknown",
CHOOSE(tbl_abs[[#This Row],[Month of absence]],
"Jan","Feb","Mar","Apr","May","Jun","Jul","Aug","Sep","Oct","Nov","Dec")),"")</f>
        <v>Apr</v>
      </c>
      <c r="W250" s="53" t="str">
        <f>IFERROR(
IF(tbl_abs[[#This Row],[Age]]&lt;30,"&lt;30",
IF(tbl_abs[[#This Row],[Age]]&lt;40,"30–39",
IF(tbl_abs[[#This Row],[Age]]&lt;50,"40–49",
IF(tbl_abs[[#This Row],[Age]]&lt;60,"50–59",
"60+")))),"")</f>
        <v>40–49</v>
      </c>
      <c r="X250" s="53" t="str">
        <f>IFERROR(
IF(tbl_abs[[#This Row],[Distance from Residence to Work]]&lt;=5,"0–5",
IF(tbl_abs[[#This Row],[Distance from Residence to Work]]&lt;=10,"6–10",
IF(tbl_abs[[#This Row],[Distance from Residence to Work]]&lt;=20,"11–20",
"21+"))),"")</f>
        <v>21+</v>
      </c>
      <c r="Y250" s="53" t="str">
        <f>IFERROR(
IF(tbl_abs[[#This Row],[Body Mass Index]]&lt;18.5,"Underweight",
IF(tbl_abs[[#This Row],[Body Mass Index]]&lt;25,"Normal",
IF(tbl_abs[[#This Row],[Body Mass Index]]&lt;30,"Overweight",
"Obese"))),"")</f>
        <v>Obese</v>
      </c>
      <c r="Z250" s="53" t="str">
        <f>IFERROR(
IF(tbl_abs[[#This Row],[Absenteeism time in hours]]&lt;=2,"0–2",
IF(tbl_abs[[#This Row],[Absenteeism time in hours]]&lt;=8,"3–8",
IF(tbl_abs[[#This Row],[Absenteeism time in hours]]&lt;=16,"9–16",
"17+"))),"")</f>
        <v>3–8</v>
      </c>
    </row>
    <row r="251" spans="1:26" ht="15" customHeight="1" x14ac:dyDescent="0.3">
      <c r="A251">
        <v>6</v>
      </c>
      <c r="B251">
        <v>13</v>
      </c>
      <c r="C251" s="1">
        <v>4</v>
      </c>
      <c r="D251">
        <v>5</v>
      </c>
      <c r="E251">
        <v>3</v>
      </c>
      <c r="F251">
        <v>189</v>
      </c>
      <c r="G251" s="1">
        <v>29</v>
      </c>
      <c r="H251">
        <v>13</v>
      </c>
      <c r="I251" s="1">
        <v>33</v>
      </c>
      <c r="J251" s="2">
        <v>246288</v>
      </c>
      <c r="K251">
        <v>91</v>
      </c>
      <c r="L251">
        <v>0</v>
      </c>
      <c r="M251">
        <v>1</v>
      </c>
      <c r="N251">
        <v>2</v>
      </c>
      <c r="O251">
        <v>0</v>
      </c>
      <c r="P251">
        <v>0</v>
      </c>
      <c r="Q251">
        <v>2</v>
      </c>
      <c r="R251">
        <v>69</v>
      </c>
      <c r="S251">
        <v>167</v>
      </c>
      <c r="T251">
        <v>25</v>
      </c>
      <c r="U251">
        <v>8</v>
      </c>
      <c r="V251" s="53" t="str">
        <f>IFERROR(
IF(tbl_abs[[#This Row],[Month of absence]]=0,"Unknown",
CHOOSE(tbl_abs[[#This Row],[Month of absence]],
"Jan","Feb","Mar","Apr","May","Jun","Jul","Aug","Sep","Oct","Nov","Dec")),"")</f>
        <v>Apr</v>
      </c>
      <c r="W251" s="53" t="str">
        <f>IFERROR(
IF(tbl_abs[[#This Row],[Age]]&lt;30,"&lt;30",
IF(tbl_abs[[#This Row],[Age]]&lt;40,"30–39",
IF(tbl_abs[[#This Row],[Age]]&lt;50,"40–49",
IF(tbl_abs[[#This Row],[Age]]&lt;60,"50–59",
"60+")))),"")</f>
        <v>30–39</v>
      </c>
      <c r="X251" s="53" t="str">
        <f>IFERROR(
IF(tbl_abs[[#This Row],[Distance from Residence to Work]]&lt;=5,"0–5",
IF(tbl_abs[[#This Row],[Distance from Residence to Work]]&lt;=10,"6–10",
IF(tbl_abs[[#This Row],[Distance from Residence to Work]]&lt;=20,"11–20",
"21+"))),"")</f>
        <v>21+</v>
      </c>
      <c r="Y251" s="53" t="str">
        <f>IFERROR(
IF(tbl_abs[[#This Row],[Body Mass Index]]&lt;18.5,"Underweight",
IF(tbl_abs[[#This Row],[Body Mass Index]]&lt;25,"Normal",
IF(tbl_abs[[#This Row],[Body Mass Index]]&lt;30,"Overweight",
"Obese"))),"")</f>
        <v>Overweight</v>
      </c>
      <c r="Z251" s="53" t="str">
        <f>IFERROR(
IF(tbl_abs[[#This Row],[Absenteeism time in hours]]&lt;=2,"0–2",
IF(tbl_abs[[#This Row],[Absenteeism time in hours]]&lt;=8,"3–8",
IF(tbl_abs[[#This Row],[Absenteeism time in hours]]&lt;=16,"9–16",
"17+"))),"")</f>
        <v>3–8</v>
      </c>
    </row>
    <row r="252" spans="1:26" ht="15" customHeight="1" x14ac:dyDescent="0.3">
      <c r="A252">
        <v>22</v>
      </c>
      <c r="B252">
        <v>27</v>
      </c>
      <c r="C252" s="1">
        <v>4</v>
      </c>
      <c r="D252">
        <v>6</v>
      </c>
      <c r="E252">
        <v>3</v>
      </c>
      <c r="F252">
        <v>179</v>
      </c>
      <c r="G252" s="1">
        <v>26</v>
      </c>
      <c r="H252">
        <v>9</v>
      </c>
      <c r="I252" s="1">
        <v>30</v>
      </c>
      <c r="J252" s="2">
        <v>246288</v>
      </c>
      <c r="K252">
        <v>91</v>
      </c>
      <c r="L252">
        <v>0</v>
      </c>
      <c r="M252">
        <v>3</v>
      </c>
      <c r="N252">
        <v>0</v>
      </c>
      <c r="O252">
        <v>0</v>
      </c>
      <c r="P252">
        <v>0</v>
      </c>
      <c r="Q252">
        <v>0</v>
      </c>
      <c r="R252">
        <v>56</v>
      </c>
      <c r="S252">
        <v>171</v>
      </c>
      <c r="T252">
        <v>19</v>
      </c>
      <c r="U252">
        <v>2</v>
      </c>
      <c r="V252" s="53" t="str">
        <f>IFERROR(
IF(tbl_abs[[#This Row],[Month of absence]]=0,"Unknown",
CHOOSE(tbl_abs[[#This Row],[Month of absence]],
"Jan","Feb","Mar","Apr","May","Jun","Jul","Aug","Sep","Oct","Nov","Dec")),"")</f>
        <v>Apr</v>
      </c>
      <c r="W252" s="53" t="str">
        <f>IFERROR(
IF(tbl_abs[[#This Row],[Age]]&lt;30,"&lt;30",
IF(tbl_abs[[#This Row],[Age]]&lt;40,"30–39",
IF(tbl_abs[[#This Row],[Age]]&lt;50,"40–49",
IF(tbl_abs[[#This Row],[Age]]&lt;60,"50–59",
"60+")))),"")</f>
        <v>30–39</v>
      </c>
      <c r="X252" s="53" t="str">
        <f>IFERROR(
IF(tbl_abs[[#This Row],[Distance from Residence to Work]]&lt;=5,"0–5",
IF(tbl_abs[[#This Row],[Distance from Residence to Work]]&lt;=10,"6–10",
IF(tbl_abs[[#This Row],[Distance from Residence to Work]]&lt;=20,"11–20",
"21+"))),"")</f>
        <v>21+</v>
      </c>
      <c r="Y252" s="53" t="str">
        <f>IFERROR(
IF(tbl_abs[[#This Row],[Body Mass Index]]&lt;18.5,"Underweight",
IF(tbl_abs[[#This Row],[Body Mass Index]]&lt;25,"Normal",
IF(tbl_abs[[#This Row],[Body Mass Index]]&lt;30,"Overweight",
"Obese"))),"")</f>
        <v>Normal</v>
      </c>
      <c r="Z252" s="53" t="str">
        <f>IFERROR(
IF(tbl_abs[[#This Row],[Absenteeism time in hours]]&lt;=2,"0–2",
IF(tbl_abs[[#This Row],[Absenteeism time in hours]]&lt;=8,"3–8",
IF(tbl_abs[[#This Row],[Absenteeism time in hours]]&lt;=16,"9–16",
"17+"))),"")</f>
        <v>0–2</v>
      </c>
    </row>
    <row r="253" spans="1:26" ht="15" customHeight="1" x14ac:dyDescent="0.3">
      <c r="A253">
        <v>13</v>
      </c>
      <c r="B253">
        <v>7</v>
      </c>
      <c r="C253" s="1">
        <v>4</v>
      </c>
      <c r="D253">
        <v>2</v>
      </c>
      <c r="E253">
        <v>3</v>
      </c>
      <c r="F253">
        <v>369</v>
      </c>
      <c r="G253" s="1">
        <v>17</v>
      </c>
      <c r="H253">
        <v>12</v>
      </c>
      <c r="I253" s="1">
        <v>31</v>
      </c>
      <c r="J253" s="2">
        <v>246288</v>
      </c>
      <c r="K253">
        <v>91</v>
      </c>
      <c r="L253">
        <v>0</v>
      </c>
      <c r="M253">
        <v>1</v>
      </c>
      <c r="N253">
        <v>3</v>
      </c>
      <c r="O253">
        <v>1</v>
      </c>
      <c r="P253">
        <v>0</v>
      </c>
      <c r="Q253">
        <v>0</v>
      </c>
      <c r="R253">
        <v>70</v>
      </c>
      <c r="S253">
        <v>169</v>
      </c>
      <c r="T253">
        <v>25</v>
      </c>
      <c r="U253">
        <v>24</v>
      </c>
      <c r="V253" s="53" t="str">
        <f>IFERROR(
IF(tbl_abs[[#This Row],[Month of absence]]=0,"Unknown",
CHOOSE(tbl_abs[[#This Row],[Month of absence]],
"Jan","Feb","Mar","Apr","May","Jun","Jul","Aug","Sep","Oct","Nov","Dec")),"")</f>
        <v>Apr</v>
      </c>
      <c r="W253" s="53" t="str">
        <f>IFERROR(
IF(tbl_abs[[#This Row],[Age]]&lt;30,"&lt;30",
IF(tbl_abs[[#This Row],[Age]]&lt;40,"30–39",
IF(tbl_abs[[#This Row],[Age]]&lt;50,"40–49",
IF(tbl_abs[[#This Row],[Age]]&lt;60,"50–59",
"60+")))),"")</f>
        <v>30–39</v>
      </c>
      <c r="X253" s="53" t="str">
        <f>IFERROR(
IF(tbl_abs[[#This Row],[Distance from Residence to Work]]&lt;=5,"0–5",
IF(tbl_abs[[#This Row],[Distance from Residence to Work]]&lt;=10,"6–10",
IF(tbl_abs[[#This Row],[Distance from Residence to Work]]&lt;=20,"11–20",
"21+"))),"")</f>
        <v>11–20</v>
      </c>
      <c r="Y253" s="53" t="str">
        <f>IFERROR(
IF(tbl_abs[[#This Row],[Body Mass Index]]&lt;18.5,"Underweight",
IF(tbl_abs[[#This Row],[Body Mass Index]]&lt;25,"Normal",
IF(tbl_abs[[#This Row],[Body Mass Index]]&lt;30,"Overweight",
"Obese"))),"")</f>
        <v>Overweight</v>
      </c>
      <c r="Z253" s="53" t="str">
        <f>IFERROR(
IF(tbl_abs[[#This Row],[Absenteeism time in hours]]&lt;=2,"0–2",
IF(tbl_abs[[#This Row],[Absenteeism time in hours]]&lt;=8,"3–8",
IF(tbl_abs[[#This Row],[Absenteeism time in hours]]&lt;=16,"9–16",
"17+"))),"")</f>
        <v>17+</v>
      </c>
    </row>
    <row r="254" spans="1:26" ht="15" customHeight="1" x14ac:dyDescent="0.3">
      <c r="A254">
        <v>17</v>
      </c>
      <c r="B254">
        <v>16</v>
      </c>
      <c r="C254" s="1">
        <v>4</v>
      </c>
      <c r="D254">
        <v>3</v>
      </c>
      <c r="E254">
        <v>3</v>
      </c>
      <c r="F254">
        <v>179</v>
      </c>
      <c r="G254" s="1">
        <v>22</v>
      </c>
      <c r="H254">
        <v>17</v>
      </c>
      <c r="I254" s="1">
        <v>40</v>
      </c>
      <c r="J254" s="2">
        <v>246288</v>
      </c>
      <c r="K254">
        <v>91</v>
      </c>
      <c r="L254">
        <v>0</v>
      </c>
      <c r="M254">
        <v>2</v>
      </c>
      <c r="N254">
        <v>2</v>
      </c>
      <c r="O254">
        <v>0</v>
      </c>
      <c r="P254">
        <v>1</v>
      </c>
      <c r="Q254">
        <v>0</v>
      </c>
      <c r="R254">
        <v>63</v>
      </c>
      <c r="S254">
        <v>170</v>
      </c>
      <c r="T254">
        <v>22</v>
      </c>
      <c r="U254">
        <v>2</v>
      </c>
      <c r="V254" s="53" t="str">
        <f>IFERROR(
IF(tbl_abs[[#This Row],[Month of absence]]=0,"Unknown",
CHOOSE(tbl_abs[[#This Row],[Month of absence]],
"Jan","Feb","Mar","Apr","May","Jun","Jul","Aug","Sep","Oct","Nov","Dec")),"")</f>
        <v>Apr</v>
      </c>
      <c r="W254" s="53" t="str">
        <f>IFERROR(
IF(tbl_abs[[#This Row],[Age]]&lt;30,"&lt;30",
IF(tbl_abs[[#This Row],[Age]]&lt;40,"30–39",
IF(tbl_abs[[#This Row],[Age]]&lt;50,"40–49",
IF(tbl_abs[[#This Row],[Age]]&lt;60,"50–59",
"60+")))),"")</f>
        <v>40–49</v>
      </c>
      <c r="X254" s="53" t="str">
        <f>IFERROR(
IF(tbl_abs[[#This Row],[Distance from Residence to Work]]&lt;=5,"0–5",
IF(tbl_abs[[#This Row],[Distance from Residence to Work]]&lt;=10,"6–10",
IF(tbl_abs[[#This Row],[Distance from Residence to Work]]&lt;=20,"11–20",
"21+"))),"")</f>
        <v>21+</v>
      </c>
      <c r="Y254" s="53" t="str">
        <f>IFERROR(
IF(tbl_abs[[#This Row],[Body Mass Index]]&lt;18.5,"Underweight",
IF(tbl_abs[[#This Row],[Body Mass Index]]&lt;25,"Normal",
IF(tbl_abs[[#This Row],[Body Mass Index]]&lt;30,"Overweight",
"Obese"))),"")</f>
        <v>Normal</v>
      </c>
      <c r="Z254" s="53" t="str">
        <f>IFERROR(
IF(tbl_abs[[#This Row],[Absenteeism time in hours]]&lt;=2,"0–2",
IF(tbl_abs[[#This Row],[Absenteeism time in hours]]&lt;=8,"3–8",
IF(tbl_abs[[#This Row],[Absenteeism time in hours]]&lt;=16,"9–16",
"17+"))),"")</f>
        <v>0–2</v>
      </c>
    </row>
    <row r="255" spans="1:26" ht="15" customHeight="1" x14ac:dyDescent="0.3">
      <c r="A255">
        <v>36</v>
      </c>
      <c r="B255">
        <v>23</v>
      </c>
      <c r="C255" s="1">
        <v>4</v>
      </c>
      <c r="D255">
        <v>3</v>
      </c>
      <c r="E255">
        <v>3</v>
      </c>
      <c r="F255">
        <v>118</v>
      </c>
      <c r="G255" s="1">
        <v>13</v>
      </c>
      <c r="H255">
        <v>18</v>
      </c>
      <c r="I255" s="1">
        <v>50</v>
      </c>
      <c r="J255" s="2">
        <v>246288</v>
      </c>
      <c r="K255">
        <v>91</v>
      </c>
      <c r="L255">
        <v>0</v>
      </c>
      <c r="M255">
        <v>1</v>
      </c>
      <c r="N255">
        <v>1</v>
      </c>
      <c r="O255">
        <v>1</v>
      </c>
      <c r="P255">
        <v>0</v>
      </c>
      <c r="Q255">
        <v>0</v>
      </c>
      <c r="R255">
        <v>98</v>
      </c>
      <c r="S255">
        <v>178</v>
      </c>
      <c r="T255">
        <v>31</v>
      </c>
      <c r="U255">
        <v>3</v>
      </c>
      <c r="V255" s="53" t="str">
        <f>IFERROR(
IF(tbl_abs[[#This Row],[Month of absence]]=0,"Unknown",
CHOOSE(tbl_abs[[#This Row],[Month of absence]],
"Jan","Feb","Mar","Apr","May","Jun","Jul","Aug","Sep","Oct","Nov","Dec")),"")</f>
        <v>Apr</v>
      </c>
      <c r="W255" s="53" t="str">
        <f>IFERROR(
IF(tbl_abs[[#This Row],[Age]]&lt;30,"&lt;30",
IF(tbl_abs[[#This Row],[Age]]&lt;40,"30–39",
IF(tbl_abs[[#This Row],[Age]]&lt;50,"40–49",
IF(tbl_abs[[#This Row],[Age]]&lt;60,"50–59",
"60+")))),"")</f>
        <v>50–59</v>
      </c>
      <c r="X255" s="53" t="str">
        <f>IFERROR(
IF(tbl_abs[[#This Row],[Distance from Residence to Work]]&lt;=5,"0–5",
IF(tbl_abs[[#This Row],[Distance from Residence to Work]]&lt;=10,"6–10",
IF(tbl_abs[[#This Row],[Distance from Residence to Work]]&lt;=20,"11–20",
"21+"))),"")</f>
        <v>11–20</v>
      </c>
      <c r="Y255" s="53" t="str">
        <f>IFERROR(
IF(tbl_abs[[#This Row],[Body Mass Index]]&lt;18.5,"Underweight",
IF(tbl_abs[[#This Row],[Body Mass Index]]&lt;25,"Normal",
IF(tbl_abs[[#This Row],[Body Mass Index]]&lt;30,"Overweight",
"Obese"))),"")</f>
        <v>Obese</v>
      </c>
      <c r="Z255" s="53" t="str">
        <f>IFERROR(
IF(tbl_abs[[#This Row],[Absenteeism time in hours]]&lt;=2,"0–2",
IF(tbl_abs[[#This Row],[Absenteeism time in hours]]&lt;=8,"3–8",
IF(tbl_abs[[#This Row],[Absenteeism time in hours]]&lt;=16,"9–16",
"17+"))),"")</f>
        <v>3–8</v>
      </c>
    </row>
    <row r="256" spans="1:26" ht="15" customHeight="1" x14ac:dyDescent="0.3">
      <c r="A256">
        <v>10</v>
      </c>
      <c r="B256">
        <v>23</v>
      </c>
      <c r="C256" s="1">
        <v>4</v>
      </c>
      <c r="D256">
        <v>3</v>
      </c>
      <c r="E256">
        <v>3</v>
      </c>
      <c r="F256">
        <v>361</v>
      </c>
      <c r="G256" s="1">
        <v>52</v>
      </c>
      <c r="H256">
        <v>3</v>
      </c>
      <c r="I256" s="1">
        <v>28</v>
      </c>
      <c r="J256" s="2">
        <v>246288</v>
      </c>
      <c r="K256">
        <v>91</v>
      </c>
      <c r="L256">
        <v>0</v>
      </c>
      <c r="M256">
        <v>1</v>
      </c>
      <c r="N256">
        <v>1</v>
      </c>
      <c r="O256">
        <v>1</v>
      </c>
      <c r="P256">
        <v>0</v>
      </c>
      <c r="Q256">
        <v>4</v>
      </c>
      <c r="R256">
        <v>80</v>
      </c>
      <c r="S256">
        <v>172</v>
      </c>
      <c r="T256">
        <v>27</v>
      </c>
      <c r="U256">
        <v>2</v>
      </c>
      <c r="V256" s="53" t="str">
        <f>IFERROR(
IF(tbl_abs[[#This Row],[Month of absence]]=0,"Unknown",
CHOOSE(tbl_abs[[#This Row],[Month of absence]],
"Jan","Feb","Mar","Apr","May","Jun","Jul","Aug","Sep","Oct","Nov","Dec")),"")</f>
        <v>Apr</v>
      </c>
      <c r="W256" s="53" t="str">
        <f>IFERROR(
IF(tbl_abs[[#This Row],[Age]]&lt;30,"&lt;30",
IF(tbl_abs[[#This Row],[Age]]&lt;40,"30–39",
IF(tbl_abs[[#This Row],[Age]]&lt;50,"40–49",
IF(tbl_abs[[#This Row],[Age]]&lt;60,"50–59",
"60+")))),"")</f>
        <v>&lt;30</v>
      </c>
      <c r="X256" s="53" t="str">
        <f>IFERROR(
IF(tbl_abs[[#This Row],[Distance from Residence to Work]]&lt;=5,"0–5",
IF(tbl_abs[[#This Row],[Distance from Residence to Work]]&lt;=10,"6–10",
IF(tbl_abs[[#This Row],[Distance from Residence to Work]]&lt;=20,"11–20",
"21+"))),"")</f>
        <v>21+</v>
      </c>
      <c r="Y256" s="53" t="str">
        <f>IFERROR(
IF(tbl_abs[[#This Row],[Body Mass Index]]&lt;18.5,"Underweight",
IF(tbl_abs[[#This Row],[Body Mass Index]]&lt;25,"Normal",
IF(tbl_abs[[#This Row],[Body Mass Index]]&lt;30,"Overweight",
"Obese"))),"")</f>
        <v>Overweight</v>
      </c>
      <c r="Z256" s="53" t="str">
        <f>IFERROR(
IF(tbl_abs[[#This Row],[Absenteeism time in hours]]&lt;=2,"0–2",
IF(tbl_abs[[#This Row],[Absenteeism time in hours]]&lt;=8,"3–8",
IF(tbl_abs[[#This Row],[Absenteeism time in hours]]&lt;=16,"9–16",
"17+"))),"")</f>
        <v>0–2</v>
      </c>
    </row>
    <row r="257" spans="1:26" ht="15" customHeight="1" x14ac:dyDescent="0.3">
      <c r="A257">
        <v>34</v>
      </c>
      <c r="B257">
        <v>10</v>
      </c>
      <c r="C257" s="1">
        <v>4</v>
      </c>
      <c r="D257">
        <v>4</v>
      </c>
      <c r="E257">
        <v>3</v>
      </c>
      <c r="F257">
        <v>118</v>
      </c>
      <c r="G257" s="1">
        <v>10</v>
      </c>
      <c r="H257">
        <v>10</v>
      </c>
      <c r="I257" s="1">
        <v>37</v>
      </c>
      <c r="J257" s="2">
        <v>246288</v>
      </c>
      <c r="K257">
        <v>91</v>
      </c>
      <c r="L257">
        <v>0</v>
      </c>
      <c r="M257">
        <v>1</v>
      </c>
      <c r="N257">
        <v>0</v>
      </c>
      <c r="O257">
        <v>0</v>
      </c>
      <c r="P257">
        <v>0</v>
      </c>
      <c r="Q257">
        <v>0</v>
      </c>
      <c r="R257">
        <v>83</v>
      </c>
      <c r="S257">
        <v>172</v>
      </c>
      <c r="T257">
        <v>28</v>
      </c>
      <c r="U257">
        <v>2</v>
      </c>
      <c r="V257" s="53" t="str">
        <f>IFERROR(
IF(tbl_abs[[#This Row],[Month of absence]]=0,"Unknown",
CHOOSE(tbl_abs[[#This Row],[Month of absence]],
"Jan","Feb","Mar","Apr","May","Jun","Jul","Aug","Sep","Oct","Nov","Dec")),"")</f>
        <v>Apr</v>
      </c>
      <c r="W257" s="53" t="str">
        <f>IFERROR(
IF(tbl_abs[[#This Row],[Age]]&lt;30,"&lt;30",
IF(tbl_abs[[#This Row],[Age]]&lt;40,"30–39",
IF(tbl_abs[[#This Row],[Age]]&lt;50,"40–49",
IF(tbl_abs[[#This Row],[Age]]&lt;60,"50–59",
"60+")))),"")</f>
        <v>30–39</v>
      </c>
      <c r="X257" s="53" t="str">
        <f>IFERROR(
IF(tbl_abs[[#This Row],[Distance from Residence to Work]]&lt;=5,"0–5",
IF(tbl_abs[[#This Row],[Distance from Residence to Work]]&lt;=10,"6–10",
IF(tbl_abs[[#This Row],[Distance from Residence to Work]]&lt;=20,"11–20",
"21+"))),"")</f>
        <v>6–10</v>
      </c>
      <c r="Y257" s="53" t="str">
        <f>IFERROR(
IF(tbl_abs[[#This Row],[Body Mass Index]]&lt;18.5,"Underweight",
IF(tbl_abs[[#This Row],[Body Mass Index]]&lt;25,"Normal",
IF(tbl_abs[[#This Row],[Body Mass Index]]&lt;30,"Overweight",
"Obese"))),"")</f>
        <v>Overweight</v>
      </c>
      <c r="Z257" s="53" t="str">
        <f>IFERROR(
IF(tbl_abs[[#This Row],[Absenteeism time in hours]]&lt;=2,"0–2",
IF(tbl_abs[[#This Row],[Absenteeism time in hours]]&lt;=8,"3–8",
IF(tbl_abs[[#This Row],[Absenteeism time in hours]]&lt;=16,"9–16",
"17+"))),"")</f>
        <v>0–2</v>
      </c>
    </row>
    <row r="258" spans="1:26" ht="15" customHeight="1" x14ac:dyDescent="0.3">
      <c r="A258">
        <v>1</v>
      </c>
      <c r="B258">
        <v>22</v>
      </c>
      <c r="C258" s="1">
        <v>4</v>
      </c>
      <c r="D258">
        <v>6</v>
      </c>
      <c r="E258">
        <v>3</v>
      </c>
      <c r="F258">
        <v>235</v>
      </c>
      <c r="G258" s="1">
        <v>11</v>
      </c>
      <c r="H258">
        <v>14</v>
      </c>
      <c r="I258" s="1">
        <v>37</v>
      </c>
      <c r="J258" s="2">
        <v>246288</v>
      </c>
      <c r="K258">
        <v>91</v>
      </c>
      <c r="L258">
        <v>0</v>
      </c>
      <c r="M258">
        <v>3</v>
      </c>
      <c r="N258">
        <v>1</v>
      </c>
      <c r="O258">
        <v>0</v>
      </c>
      <c r="P258">
        <v>0</v>
      </c>
      <c r="Q258">
        <v>1</v>
      </c>
      <c r="R258">
        <v>88</v>
      </c>
      <c r="S258">
        <v>172</v>
      </c>
      <c r="T258">
        <v>29</v>
      </c>
      <c r="U258">
        <v>8</v>
      </c>
      <c r="V258" s="53" t="str">
        <f>IFERROR(
IF(tbl_abs[[#This Row],[Month of absence]]=0,"Unknown",
CHOOSE(tbl_abs[[#This Row],[Month of absence]],
"Jan","Feb","Mar","Apr","May","Jun","Jul","Aug","Sep","Oct","Nov","Dec")),"")</f>
        <v>Apr</v>
      </c>
      <c r="W258" s="53" t="str">
        <f>IFERROR(
IF(tbl_abs[[#This Row],[Age]]&lt;30,"&lt;30",
IF(tbl_abs[[#This Row],[Age]]&lt;40,"30–39",
IF(tbl_abs[[#This Row],[Age]]&lt;50,"40–49",
IF(tbl_abs[[#This Row],[Age]]&lt;60,"50–59",
"60+")))),"")</f>
        <v>30–39</v>
      </c>
      <c r="X258" s="53" t="str">
        <f>IFERROR(
IF(tbl_abs[[#This Row],[Distance from Residence to Work]]&lt;=5,"0–5",
IF(tbl_abs[[#This Row],[Distance from Residence to Work]]&lt;=10,"6–10",
IF(tbl_abs[[#This Row],[Distance from Residence to Work]]&lt;=20,"11–20",
"21+"))),"")</f>
        <v>11–20</v>
      </c>
      <c r="Y258" s="53" t="str">
        <f>IFERROR(
IF(tbl_abs[[#This Row],[Body Mass Index]]&lt;18.5,"Underweight",
IF(tbl_abs[[#This Row],[Body Mass Index]]&lt;25,"Normal",
IF(tbl_abs[[#This Row],[Body Mass Index]]&lt;30,"Overweight",
"Obese"))),"")</f>
        <v>Overweight</v>
      </c>
      <c r="Z258" s="53" t="str">
        <f>IFERROR(
IF(tbl_abs[[#This Row],[Absenteeism time in hours]]&lt;=2,"0–2",
IF(tbl_abs[[#This Row],[Absenteeism time in hours]]&lt;=8,"3–8",
IF(tbl_abs[[#This Row],[Absenteeism time in hours]]&lt;=16,"9–16",
"17+"))),"")</f>
        <v>3–8</v>
      </c>
    </row>
    <row r="259" spans="1:26" ht="15" customHeight="1" x14ac:dyDescent="0.3">
      <c r="A259">
        <v>22</v>
      </c>
      <c r="B259">
        <v>27</v>
      </c>
      <c r="C259" s="1">
        <v>4</v>
      </c>
      <c r="D259">
        <v>6</v>
      </c>
      <c r="E259">
        <v>3</v>
      </c>
      <c r="F259">
        <v>179</v>
      </c>
      <c r="G259" s="1">
        <v>26</v>
      </c>
      <c r="H259">
        <v>9</v>
      </c>
      <c r="I259" s="1">
        <v>30</v>
      </c>
      <c r="J259" s="2">
        <v>246288</v>
      </c>
      <c r="K259">
        <v>91</v>
      </c>
      <c r="L259">
        <v>0</v>
      </c>
      <c r="M259">
        <v>3</v>
      </c>
      <c r="N259">
        <v>0</v>
      </c>
      <c r="O259">
        <v>0</v>
      </c>
      <c r="P259">
        <v>0</v>
      </c>
      <c r="Q259">
        <v>0</v>
      </c>
      <c r="R259">
        <v>56</v>
      </c>
      <c r="S259">
        <v>171</v>
      </c>
      <c r="T259">
        <v>19</v>
      </c>
      <c r="U259">
        <v>2</v>
      </c>
      <c r="V259" s="53" t="str">
        <f>IFERROR(
IF(tbl_abs[[#This Row],[Month of absence]]=0,"Unknown",
CHOOSE(tbl_abs[[#This Row],[Month of absence]],
"Jan","Feb","Mar","Apr","May","Jun","Jul","Aug","Sep","Oct","Nov","Dec")),"")</f>
        <v>Apr</v>
      </c>
      <c r="W259" s="53" t="str">
        <f>IFERROR(
IF(tbl_abs[[#This Row],[Age]]&lt;30,"&lt;30",
IF(tbl_abs[[#This Row],[Age]]&lt;40,"30–39",
IF(tbl_abs[[#This Row],[Age]]&lt;50,"40–49",
IF(tbl_abs[[#This Row],[Age]]&lt;60,"50–59",
"60+")))),"")</f>
        <v>30–39</v>
      </c>
      <c r="X259" s="53" t="str">
        <f>IFERROR(
IF(tbl_abs[[#This Row],[Distance from Residence to Work]]&lt;=5,"0–5",
IF(tbl_abs[[#This Row],[Distance from Residence to Work]]&lt;=10,"6–10",
IF(tbl_abs[[#This Row],[Distance from Residence to Work]]&lt;=20,"11–20",
"21+"))),"")</f>
        <v>21+</v>
      </c>
      <c r="Y259" s="53" t="str">
        <f>IFERROR(
IF(tbl_abs[[#This Row],[Body Mass Index]]&lt;18.5,"Underweight",
IF(tbl_abs[[#This Row],[Body Mass Index]]&lt;25,"Normal",
IF(tbl_abs[[#This Row],[Body Mass Index]]&lt;30,"Overweight",
"Obese"))),"")</f>
        <v>Normal</v>
      </c>
      <c r="Z259" s="53" t="str">
        <f>IFERROR(
IF(tbl_abs[[#This Row],[Absenteeism time in hours]]&lt;=2,"0–2",
IF(tbl_abs[[#This Row],[Absenteeism time in hours]]&lt;=8,"3–8",
IF(tbl_abs[[#This Row],[Absenteeism time in hours]]&lt;=16,"9–16",
"17+"))),"")</f>
        <v>0–2</v>
      </c>
    </row>
    <row r="260" spans="1:26" ht="15" customHeight="1" x14ac:dyDescent="0.3">
      <c r="A260">
        <v>28</v>
      </c>
      <c r="B260">
        <v>19</v>
      </c>
      <c r="C260" s="1">
        <v>4</v>
      </c>
      <c r="D260">
        <v>2</v>
      </c>
      <c r="E260">
        <v>3</v>
      </c>
      <c r="F260">
        <v>225</v>
      </c>
      <c r="G260" s="1">
        <v>26</v>
      </c>
      <c r="H260">
        <v>9</v>
      </c>
      <c r="I260" s="1">
        <v>28</v>
      </c>
      <c r="J260" s="2">
        <v>246288</v>
      </c>
      <c r="K260">
        <v>91</v>
      </c>
      <c r="L260">
        <v>0</v>
      </c>
      <c r="M260">
        <v>1</v>
      </c>
      <c r="N260">
        <v>1</v>
      </c>
      <c r="O260">
        <v>0</v>
      </c>
      <c r="P260">
        <v>0</v>
      </c>
      <c r="Q260">
        <v>2</v>
      </c>
      <c r="R260">
        <v>69</v>
      </c>
      <c r="S260">
        <v>169</v>
      </c>
      <c r="T260">
        <v>24</v>
      </c>
      <c r="U260">
        <v>8</v>
      </c>
      <c r="V260" s="53" t="str">
        <f>IFERROR(
IF(tbl_abs[[#This Row],[Month of absence]]=0,"Unknown",
CHOOSE(tbl_abs[[#This Row],[Month of absence]],
"Jan","Feb","Mar","Apr","May","Jun","Jul","Aug","Sep","Oct","Nov","Dec")),"")</f>
        <v>Apr</v>
      </c>
      <c r="W260" s="53" t="str">
        <f>IFERROR(
IF(tbl_abs[[#This Row],[Age]]&lt;30,"&lt;30",
IF(tbl_abs[[#This Row],[Age]]&lt;40,"30–39",
IF(tbl_abs[[#This Row],[Age]]&lt;50,"40–49",
IF(tbl_abs[[#This Row],[Age]]&lt;60,"50–59",
"60+")))),"")</f>
        <v>&lt;30</v>
      </c>
      <c r="X260" s="53" t="str">
        <f>IFERROR(
IF(tbl_abs[[#This Row],[Distance from Residence to Work]]&lt;=5,"0–5",
IF(tbl_abs[[#This Row],[Distance from Residence to Work]]&lt;=10,"6–10",
IF(tbl_abs[[#This Row],[Distance from Residence to Work]]&lt;=20,"11–20",
"21+"))),"")</f>
        <v>21+</v>
      </c>
      <c r="Y260" s="53" t="str">
        <f>IFERROR(
IF(tbl_abs[[#This Row],[Body Mass Index]]&lt;18.5,"Underweight",
IF(tbl_abs[[#This Row],[Body Mass Index]]&lt;25,"Normal",
IF(tbl_abs[[#This Row],[Body Mass Index]]&lt;30,"Overweight",
"Obese"))),"")</f>
        <v>Normal</v>
      </c>
      <c r="Z260" s="53" t="str">
        <f>IFERROR(
IF(tbl_abs[[#This Row],[Absenteeism time in hours]]&lt;=2,"0–2",
IF(tbl_abs[[#This Row],[Absenteeism time in hours]]&lt;=8,"3–8",
IF(tbl_abs[[#This Row],[Absenteeism time in hours]]&lt;=16,"9–16",
"17+"))),"")</f>
        <v>3–8</v>
      </c>
    </row>
    <row r="261" spans="1:26" ht="15" customHeight="1" x14ac:dyDescent="0.3">
      <c r="A261">
        <v>25</v>
      </c>
      <c r="B261">
        <v>16</v>
      </c>
      <c r="C261" s="1">
        <v>4</v>
      </c>
      <c r="D261">
        <v>3</v>
      </c>
      <c r="E261">
        <v>3</v>
      </c>
      <c r="F261">
        <v>235</v>
      </c>
      <c r="G261" s="1">
        <v>16</v>
      </c>
      <c r="H261">
        <v>8</v>
      </c>
      <c r="I261" s="1">
        <v>32</v>
      </c>
      <c r="J261" s="2">
        <v>246288</v>
      </c>
      <c r="K261">
        <v>91</v>
      </c>
      <c r="L261">
        <v>0</v>
      </c>
      <c r="M261">
        <v>3</v>
      </c>
      <c r="N261">
        <v>0</v>
      </c>
      <c r="O261">
        <v>0</v>
      </c>
      <c r="P261">
        <v>0</v>
      </c>
      <c r="Q261">
        <v>0</v>
      </c>
      <c r="R261">
        <v>75</v>
      </c>
      <c r="S261">
        <v>178</v>
      </c>
      <c r="T261">
        <v>25</v>
      </c>
      <c r="U261">
        <v>3</v>
      </c>
      <c r="V261" s="53" t="str">
        <f>IFERROR(
IF(tbl_abs[[#This Row],[Month of absence]]=0,"Unknown",
CHOOSE(tbl_abs[[#This Row],[Month of absence]],
"Jan","Feb","Mar","Apr","May","Jun","Jul","Aug","Sep","Oct","Nov","Dec")),"")</f>
        <v>Apr</v>
      </c>
      <c r="W261" s="53" t="str">
        <f>IFERROR(
IF(tbl_abs[[#This Row],[Age]]&lt;30,"&lt;30",
IF(tbl_abs[[#This Row],[Age]]&lt;40,"30–39",
IF(tbl_abs[[#This Row],[Age]]&lt;50,"40–49",
IF(tbl_abs[[#This Row],[Age]]&lt;60,"50–59",
"60+")))),"")</f>
        <v>30–39</v>
      </c>
      <c r="X261" s="53" t="str">
        <f>IFERROR(
IF(tbl_abs[[#This Row],[Distance from Residence to Work]]&lt;=5,"0–5",
IF(tbl_abs[[#This Row],[Distance from Residence to Work]]&lt;=10,"6–10",
IF(tbl_abs[[#This Row],[Distance from Residence to Work]]&lt;=20,"11–20",
"21+"))),"")</f>
        <v>11–20</v>
      </c>
      <c r="Y261" s="53" t="str">
        <f>IFERROR(
IF(tbl_abs[[#This Row],[Body Mass Index]]&lt;18.5,"Underweight",
IF(tbl_abs[[#This Row],[Body Mass Index]]&lt;25,"Normal",
IF(tbl_abs[[#This Row],[Body Mass Index]]&lt;30,"Overweight",
"Obese"))),"")</f>
        <v>Overweight</v>
      </c>
      <c r="Z261" s="53" t="str">
        <f>IFERROR(
IF(tbl_abs[[#This Row],[Absenteeism time in hours]]&lt;=2,"0–2",
IF(tbl_abs[[#This Row],[Absenteeism time in hours]]&lt;=8,"3–8",
IF(tbl_abs[[#This Row],[Absenteeism time in hours]]&lt;=16,"9–16",
"17+"))),"")</f>
        <v>3–8</v>
      </c>
    </row>
    <row r="262" spans="1:26" ht="15" customHeight="1" x14ac:dyDescent="0.3">
      <c r="A262">
        <v>22</v>
      </c>
      <c r="B262">
        <v>27</v>
      </c>
      <c r="C262" s="1">
        <v>4</v>
      </c>
      <c r="D262">
        <v>6</v>
      </c>
      <c r="E262">
        <v>3</v>
      </c>
      <c r="F262">
        <v>179</v>
      </c>
      <c r="G262" s="1">
        <v>26</v>
      </c>
      <c r="H262">
        <v>9</v>
      </c>
      <c r="I262" s="1">
        <v>30</v>
      </c>
      <c r="J262" s="2">
        <v>246288</v>
      </c>
      <c r="K262">
        <v>91</v>
      </c>
      <c r="L262">
        <v>0</v>
      </c>
      <c r="M262">
        <v>3</v>
      </c>
      <c r="N262">
        <v>0</v>
      </c>
      <c r="O262">
        <v>0</v>
      </c>
      <c r="P262">
        <v>0</v>
      </c>
      <c r="Q262">
        <v>0</v>
      </c>
      <c r="R262">
        <v>56</v>
      </c>
      <c r="S262">
        <v>171</v>
      </c>
      <c r="T262">
        <v>19</v>
      </c>
      <c r="U262">
        <v>2</v>
      </c>
      <c r="V262" s="53" t="str">
        <f>IFERROR(
IF(tbl_abs[[#This Row],[Month of absence]]=0,"Unknown",
CHOOSE(tbl_abs[[#This Row],[Month of absence]],
"Jan","Feb","Mar","Apr","May","Jun","Jul","Aug","Sep","Oct","Nov","Dec")),"")</f>
        <v>Apr</v>
      </c>
      <c r="W262" s="53" t="str">
        <f>IFERROR(
IF(tbl_abs[[#This Row],[Age]]&lt;30,"&lt;30",
IF(tbl_abs[[#This Row],[Age]]&lt;40,"30–39",
IF(tbl_abs[[#This Row],[Age]]&lt;50,"40–49",
IF(tbl_abs[[#This Row],[Age]]&lt;60,"50–59",
"60+")))),"")</f>
        <v>30–39</v>
      </c>
      <c r="X262" s="53" t="str">
        <f>IFERROR(
IF(tbl_abs[[#This Row],[Distance from Residence to Work]]&lt;=5,"0–5",
IF(tbl_abs[[#This Row],[Distance from Residence to Work]]&lt;=10,"6–10",
IF(tbl_abs[[#This Row],[Distance from Residence to Work]]&lt;=20,"11–20",
"21+"))),"")</f>
        <v>21+</v>
      </c>
      <c r="Y262" s="53" t="str">
        <f>IFERROR(
IF(tbl_abs[[#This Row],[Body Mass Index]]&lt;18.5,"Underweight",
IF(tbl_abs[[#This Row],[Body Mass Index]]&lt;25,"Normal",
IF(tbl_abs[[#This Row],[Body Mass Index]]&lt;30,"Overweight",
"Obese"))),"")</f>
        <v>Normal</v>
      </c>
      <c r="Z262" s="53" t="str">
        <f>IFERROR(
IF(tbl_abs[[#This Row],[Absenteeism time in hours]]&lt;=2,"0–2",
IF(tbl_abs[[#This Row],[Absenteeism time in hours]]&lt;=8,"3–8",
IF(tbl_abs[[#This Row],[Absenteeism time in hours]]&lt;=16,"9–16",
"17+"))),"")</f>
        <v>0–2</v>
      </c>
    </row>
    <row r="263" spans="1:26" ht="15" customHeight="1" x14ac:dyDescent="0.3">
      <c r="A263">
        <v>14</v>
      </c>
      <c r="B263">
        <v>28</v>
      </c>
      <c r="C263" s="1">
        <v>4</v>
      </c>
      <c r="D263">
        <v>3</v>
      </c>
      <c r="E263">
        <v>3</v>
      </c>
      <c r="F263">
        <v>155</v>
      </c>
      <c r="G263" s="1">
        <v>12</v>
      </c>
      <c r="H263">
        <v>14</v>
      </c>
      <c r="I263" s="1">
        <v>34</v>
      </c>
      <c r="J263" s="2">
        <v>246288</v>
      </c>
      <c r="K263">
        <v>91</v>
      </c>
      <c r="L263">
        <v>0</v>
      </c>
      <c r="M263">
        <v>1</v>
      </c>
      <c r="N263">
        <v>2</v>
      </c>
      <c r="O263">
        <v>1</v>
      </c>
      <c r="P263">
        <v>0</v>
      </c>
      <c r="Q263">
        <v>0</v>
      </c>
      <c r="R263">
        <v>95</v>
      </c>
      <c r="S263">
        <v>196</v>
      </c>
      <c r="T263">
        <v>25</v>
      </c>
      <c r="U263">
        <v>4</v>
      </c>
      <c r="V263" s="53" t="str">
        <f>IFERROR(
IF(tbl_abs[[#This Row],[Month of absence]]=0,"Unknown",
CHOOSE(tbl_abs[[#This Row],[Month of absence]],
"Jan","Feb","Mar","Apr","May","Jun","Jul","Aug","Sep","Oct","Nov","Dec")),"")</f>
        <v>Apr</v>
      </c>
      <c r="W263" s="53" t="str">
        <f>IFERROR(
IF(tbl_abs[[#This Row],[Age]]&lt;30,"&lt;30",
IF(tbl_abs[[#This Row],[Age]]&lt;40,"30–39",
IF(tbl_abs[[#This Row],[Age]]&lt;50,"40–49",
IF(tbl_abs[[#This Row],[Age]]&lt;60,"50–59",
"60+")))),"")</f>
        <v>30–39</v>
      </c>
      <c r="X263" s="53" t="str">
        <f>IFERROR(
IF(tbl_abs[[#This Row],[Distance from Residence to Work]]&lt;=5,"0–5",
IF(tbl_abs[[#This Row],[Distance from Residence to Work]]&lt;=10,"6–10",
IF(tbl_abs[[#This Row],[Distance from Residence to Work]]&lt;=20,"11–20",
"21+"))),"")</f>
        <v>11–20</v>
      </c>
      <c r="Y263" s="53" t="str">
        <f>IFERROR(
IF(tbl_abs[[#This Row],[Body Mass Index]]&lt;18.5,"Underweight",
IF(tbl_abs[[#This Row],[Body Mass Index]]&lt;25,"Normal",
IF(tbl_abs[[#This Row],[Body Mass Index]]&lt;30,"Overweight",
"Obese"))),"")</f>
        <v>Overweight</v>
      </c>
      <c r="Z263" s="53" t="str">
        <f>IFERROR(
IF(tbl_abs[[#This Row],[Absenteeism time in hours]]&lt;=2,"0–2",
IF(tbl_abs[[#This Row],[Absenteeism time in hours]]&lt;=8,"3–8",
IF(tbl_abs[[#This Row],[Absenteeism time in hours]]&lt;=16,"9–16",
"17+"))),"")</f>
        <v>3–8</v>
      </c>
    </row>
    <row r="264" spans="1:26" ht="15" customHeight="1" x14ac:dyDescent="0.3">
      <c r="A264">
        <v>28</v>
      </c>
      <c r="B264">
        <v>19</v>
      </c>
      <c r="C264" s="1">
        <v>4</v>
      </c>
      <c r="D264">
        <v>5</v>
      </c>
      <c r="E264">
        <v>3</v>
      </c>
      <c r="F264">
        <v>225</v>
      </c>
      <c r="G264" s="1">
        <v>26</v>
      </c>
      <c r="H264">
        <v>9</v>
      </c>
      <c r="I264" s="1">
        <v>28</v>
      </c>
      <c r="J264" s="2">
        <v>246288</v>
      </c>
      <c r="K264">
        <v>91</v>
      </c>
      <c r="L264">
        <v>0</v>
      </c>
      <c r="M264">
        <v>1</v>
      </c>
      <c r="N264">
        <v>1</v>
      </c>
      <c r="O264">
        <v>0</v>
      </c>
      <c r="P264">
        <v>0</v>
      </c>
      <c r="Q264">
        <v>2</v>
      </c>
      <c r="R264">
        <v>69</v>
      </c>
      <c r="S264">
        <v>169</v>
      </c>
      <c r="T264">
        <v>24</v>
      </c>
      <c r="U264">
        <v>8</v>
      </c>
      <c r="V264" s="53" t="str">
        <f>IFERROR(
IF(tbl_abs[[#This Row],[Month of absence]]=0,"Unknown",
CHOOSE(tbl_abs[[#This Row],[Month of absence]],
"Jan","Feb","Mar","Apr","May","Jun","Jul","Aug","Sep","Oct","Nov","Dec")),"")</f>
        <v>Apr</v>
      </c>
      <c r="W264" s="53" t="str">
        <f>IFERROR(
IF(tbl_abs[[#This Row],[Age]]&lt;30,"&lt;30",
IF(tbl_abs[[#This Row],[Age]]&lt;40,"30–39",
IF(tbl_abs[[#This Row],[Age]]&lt;50,"40–49",
IF(tbl_abs[[#This Row],[Age]]&lt;60,"50–59",
"60+")))),"")</f>
        <v>&lt;30</v>
      </c>
      <c r="X264" s="53" t="str">
        <f>IFERROR(
IF(tbl_abs[[#This Row],[Distance from Residence to Work]]&lt;=5,"0–5",
IF(tbl_abs[[#This Row],[Distance from Residence to Work]]&lt;=10,"6–10",
IF(tbl_abs[[#This Row],[Distance from Residence to Work]]&lt;=20,"11–20",
"21+"))),"")</f>
        <v>21+</v>
      </c>
      <c r="Y264" s="53" t="str">
        <f>IFERROR(
IF(tbl_abs[[#This Row],[Body Mass Index]]&lt;18.5,"Underweight",
IF(tbl_abs[[#This Row],[Body Mass Index]]&lt;25,"Normal",
IF(tbl_abs[[#This Row],[Body Mass Index]]&lt;30,"Overweight",
"Obese"))),"")</f>
        <v>Normal</v>
      </c>
      <c r="Z264" s="53" t="str">
        <f>IFERROR(
IF(tbl_abs[[#This Row],[Absenteeism time in hours]]&lt;=2,"0–2",
IF(tbl_abs[[#This Row],[Absenteeism time in hours]]&lt;=8,"3–8",
IF(tbl_abs[[#This Row],[Absenteeism time in hours]]&lt;=16,"9–16",
"17+"))),"")</f>
        <v>3–8</v>
      </c>
    </row>
    <row r="265" spans="1:26" ht="15" customHeight="1" x14ac:dyDescent="0.3">
      <c r="A265">
        <v>36</v>
      </c>
      <c r="B265">
        <v>14</v>
      </c>
      <c r="C265" s="1">
        <v>4</v>
      </c>
      <c r="D265">
        <v>5</v>
      </c>
      <c r="E265">
        <v>3</v>
      </c>
      <c r="F265">
        <v>118</v>
      </c>
      <c r="G265" s="1">
        <v>13</v>
      </c>
      <c r="H265">
        <v>18</v>
      </c>
      <c r="I265" s="1">
        <v>50</v>
      </c>
      <c r="J265" s="2">
        <v>246288</v>
      </c>
      <c r="K265">
        <v>91</v>
      </c>
      <c r="L265">
        <v>0</v>
      </c>
      <c r="M265">
        <v>1</v>
      </c>
      <c r="N265">
        <v>1</v>
      </c>
      <c r="O265">
        <v>1</v>
      </c>
      <c r="P265">
        <v>0</v>
      </c>
      <c r="Q265">
        <v>0</v>
      </c>
      <c r="R265">
        <v>98</v>
      </c>
      <c r="S265">
        <v>178</v>
      </c>
      <c r="T265">
        <v>31</v>
      </c>
      <c r="U265">
        <v>2</v>
      </c>
      <c r="V265" s="53" t="str">
        <f>IFERROR(
IF(tbl_abs[[#This Row],[Month of absence]]=0,"Unknown",
CHOOSE(tbl_abs[[#This Row],[Month of absence]],
"Jan","Feb","Mar","Apr","May","Jun","Jul","Aug","Sep","Oct","Nov","Dec")),"")</f>
        <v>Apr</v>
      </c>
      <c r="W265" s="53" t="str">
        <f>IFERROR(
IF(tbl_abs[[#This Row],[Age]]&lt;30,"&lt;30",
IF(tbl_abs[[#This Row],[Age]]&lt;40,"30–39",
IF(tbl_abs[[#This Row],[Age]]&lt;50,"40–49",
IF(tbl_abs[[#This Row],[Age]]&lt;60,"50–59",
"60+")))),"")</f>
        <v>50–59</v>
      </c>
      <c r="X265" s="53" t="str">
        <f>IFERROR(
IF(tbl_abs[[#This Row],[Distance from Residence to Work]]&lt;=5,"0–5",
IF(tbl_abs[[#This Row],[Distance from Residence to Work]]&lt;=10,"6–10",
IF(tbl_abs[[#This Row],[Distance from Residence to Work]]&lt;=20,"11–20",
"21+"))),"")</f>
        <v>11–20</v>
      </c>
      <c r="Y265" s="53" t="str">
        <f>IFERROR(
IF(tbl_abs[[#This Row],[Body Mass Index]]&lt;18.5,"Underweight",
IF(tbl_abs[[#This Row],[Body Mass Index]]&lt;25,"Normal",
IF(tbl_abs[[#This Row],[Body Mass Index]]&lt;30,"Overweight",
"Obese"))),"")</f>
        <v>Obese</v>
      </c>
      <c r="Z265" s="53" t="str">
        <f>IFERROR(
IF(tbl_abs[[#This Row],[Absenteeism time in hours]]&lt;=2,"0–2",
IF(tbl_abs[[#This Row],[Absenteeism time in hours]]&lt;=8,"3–8",
IF(tbl_abs[[#This Row],[Absenteeism time in hours]]&lt;=16,"9–16",
"17+"))),"")</f>
        <v>0–2</v>
      </c>
    </row>
    <row r="266" spans="1:26" ht="15" customHeight="1" x14ac:dyDescent="0.3">
      <c r="A266">
        <v>22</v>
      </c>
      <c r="B266">
        <v>27</v>
      </c>
      <c r="C266" s="1">
        <v>4</v>
      </c>
      <c r="D266">
        <v>6</v>
      </c>
      <c r="E266">
        <v>3</v>
      </c>
      <c r="F266">
        <v>179</v>
      </c>
      <c r="G266" s="1">
        <v>26</v>
      </c>
      <c r="H266">
        <v>9</v>
      </c>
      <c r="I266" s="1">
        <v>30</v>
      </c>
      <c r="J266" s="2">
        <v>246288</v>
      </c>
      <c r="K266">
        <v>91</v>
      </c>
      <c r="L266">
        <v>0</v>
      </c>
      <c r="M266">
        <v>3</v>
      </c>
      <c r="N266">
        <v>0</v>
      </c>
      <c r="O266">
        <v>0</v>
      </c>
      <c r="P266">
        <v>0</v>
      </c>
      <c r="Q266">
        <v>0</v>
      </c>
      <c r="R266">
        <v>56</v>
      </c>
      <c r="S266">
        <v>171</v>
      </c>
      <c r="T266">
        <v>19</v>
      </c>
      <c r="U266">
        <v>2</v>
      </c>
      <c r="V266" s="53" t="str">
        <f>IFERROR(
IF(tbl_abs[[#This Row],[Month of absence]]=0,"Unknown",
CHOOSE(tbl_abs[[#This Row],[Month of absence]],
"Jan","Feb","Mar","Apr","May","Jun","Jul","Aug","Sep","Oct","Nov","Dec")),"")</f>
        <v>Apr</v>
      </c>
      <c r="W266" s="53" t="str">
        <f>IFERROR(
IF(tbl_abs[[#This Row],[Age]]&lt;30,"&lt;30",
IF(tbl_abs[[#This Row],[Age]]&lt;40,"30–39",
IF(tbl_abs[[#This Row],[Age]]&lt;50,"40–49",
IF(tbl_abs[[#This Row],[Age]]&lt;60,"50–59",
"60+")))),"")</f>
        <v>30–39</v>
      </c>
      <c r="X266" s="53" t="str">
        <f>IFERROR(
IF(tbl_abs[[#This Row],[Distance from Residence to Work]]&lt;=5,"0–5",
IF(tbl_abs[[#This Row],[Distance from Residence to Work]]&lt;=10,"6–10",
IF(tbl_abs[[#This Row],[Distance from Residence to Work]]&lt;=20,"11–20",
"21+"))),"")</f>
        <v>21+</v>
      </c>
      <c r="Y266" s="53" t="str">
        <f>IFERROR(
IF(tbl_abs[[#This Row],[Body Mass Index]]&lt;18.5,"Underweight",
IF(tbl_abs[[#This Row],[Body Mass Index]]&lt;25,"Normal",
IF(tbl_abs[[#This Row],[Body Mass Index]]&lt;30,"Overweight",
"Obese"))),"")</f>
        <v>Normal</v>
      </c>
      <c r="Z266" s="53" t="str">
        <f>IFERROR(
IF(tbl_abs[[#This Row],[Absenteeism time in hours]]&lt;=2,"0–2",
IF(tbl_abs[[#This Row],[Absenteeism time in hours]]&lt;=8,"3–8",
IF(tbl_abs[[#This Row],[Absenteeism time in hours]]&lt;=16,"9–16",
"17+"))),"")</f>
        <v>0–2</v>
      </c>
    </row>
    <row r="267" spans="1:26" ht="15" customHeight="1" x14ac:dyDescent="0.3">
      <c r="A267">
        <v>11</v>
      </c>
      <c r="B267">
        <v>13</v>
      </c>
      <c r="C267" s="1">
        <v>5</v>
      </c>
      <c r="D267">
        <v>4</v>
      </c>
      <c r="E267">
        <v>3</v>
      </c>
      <c r="F267">
        <v>289</v>
      </c>
      <c r="G267" s="1">
        <v>36</v>
      </c>
      <c r="H267">
        <v>13</v>
      </c>
      <c r="I267" s="1">
        <v>33</v>
      </c>
      <c r="J267" s="2">
        <v>378884</v>
      </c>
      <c r="K267">
        <v>92</v>
      </c>
      <c r="L267">
        <v>0</v>
      </c>
      <c r="M267">
        <v>1</v>
      </c>
      <c r="N267">
        <v>2</v>
      </c>
      <c r="O267">
        <v>1</v>
      </c>
      <c r="P267">
        <v>0</v>
      </c>
      <c r="Q267">
        <v>1</v>
      </c>
      <c r="R267">
        <v>90</v>
      </c>
      <c r="S267">
        <v>172</v>
      </c>
      <c r="T267">
        <v>30</v>
      </c>
      <c r="U267">
        <v>8</v>
      </c>
      <c r="V267" s="53" t="str">
        <f>IFERROR(
IF(tbl_abs[[#This Row],[Month of absence]]=0,"Unknown",
CHOOSE(tbl_abs[[#This Row],[Month of absence]],
"Jan","Feb","Mar","Apr","May","Jun","Jul","Aug","Sep","Oct","Nov","Dec")),"")</f>
        <v>May</v>
      </c>
      <c r="W267" s="53" t="str">
        <f>IFERROR(
IF(tbl_abs[[#This Row],[Age]]&lt;30,"&lt;30",
IF(tbl_abs[[#This Row],[Age]]&lt;40,"30–39",
IF(tbl_abs[[#This Row],[Age]]&lt;50,"40–49",
IF(tbl_abs[[#This Row],[Age]]&lt;60,"50–59",
"60+")))),"")</f>
        <v>30–39</v>
      </c>
      <c r="X267" s="53" t="str">
        <f>IFERROR(
IF(tbl_abs[[#This Row],[Distance from Residence to Work]]&lt;=5,"0–5",
IF(tbl_abs[[#This Row],[Distance from Residence to Work]]&lt;=10,"6–10",
IF(tbl_abs[[#This Row],[Distance from Residence to Work]]&lt;=20,"11–20",
"21+"))),"")</f>
        <v>21+</v>
      </c>
      <c r="Y267" s="53" t="str">
        <f>IFERROR(
IF(tbl_abs[[#This Row],[Body Mass Index]]&lt;18.5,"Underweight",
IF(tbl_abs[[#This Row],[Body Mass Index]]&lt;25,"Normal",
IF(tbl_abs[[#This Row],[Body Mass Index]]&lt;30,"Overweight",
"Obese"))),"")</f>
        <v>Obese</v>
      </c>
      <c r="Z267" s="53" t="str">
        <f>IFERROR(
IF(tbl_abs[[#This Row],[Absenteeism time in hours]]&lt;=2,"0–2",
IF(tbl_abs[[#This Row],[Absenteeism time in hours]]&lt;=8,"3–8",
IF(tbl_abs[[#This Row],[Absenteeism time in hours]]&lt;=16,"9–16",
"17+"))),"")</f>
        <v>3–8</v>
      </c>
    </row>
    <row r="268" spans="1:26" ht="15" customHeight="1" x14ac:dyDescent="0.3">
      <c r="A268">
        <v>14</v>
      </c>
      <c r="B268">
        <v>28</v>
      </c>
      <c r="C268" s="1">
        <v>5</v>
      </c>
      <c r="D268">
        <v>5</v>
      </c>
      <c r="E268">
        <v>3</v>
      </c>
      <c r="F268">
        <v>155</v>
      </c>
      <c r="G268" s="1">
        <v>12</v>
      </c>
      <c r="H268">
        <v>14</v>
      </c>
      <c r="I268" s="1">
        <v>34</v>
      </c>
      <c r="J268" s="2">
        <v>378884</v>
      </c>
      <c r="K268">
        <v>92</v>
      </c>
      <c r="L268">
        <v>0</v>
      </c>
      <c r="M268">
        <v>1</v>
      </c>
      <c r="N268">
        <v>2</v>
      </c>
      <c r="O268">
        <v>1</v>
      </c>
      <c r="P268">
        <v>0</v>
      </c>
      <c r="Q268">
        <v>0</v>
      </c>
      <c r="R268">
        <v>95</v>
      </c>
      <c r="S268">
        <v>196</v>
      </c>
      <c r="T268">
        <v>25</v>
      </c>
      <c r="U268">
        <v>2</v>
      </c>
      <c r="V268" s="53" t="str">
        <f>IFERROR(
IF(tbl_abs[[#This Row],[Month of absence]]=0,"Unknown",
CHOOSE(tbl_abs[[#This Row],[Month of absence]],
"Jan","Feb","Mar","Apr","May","Jun","Jul","Aug","Sep","Oct","Nov","Dec")),"")</f>
        <v>May</v>
      </c>
      <c r="W268" s="53" t="str">
        <f>IFERROR(
IF(tbl_abs[[#This Row],[Age]]&lt;30,"&lt;30",
IF(tbl_abs[[#This Row],[Age]]&lt;40,"30–39",
IF(tbl_abs[[#This Row],[Age]]&lt;50,"40–49",
IF(tbl_abs[[#This Row],[Age]]&lt;60,"50–59",
"60+")))),"")</f>
        <v>30–39</v>
      </c>
      <c r="X268" s="53" t="str">
        <f>IFERROR(
IF(tbl_abs[[#This Row],[Distance from Residence to Work]]&lt;=5,"0–5",
IF(tbl_abs[[#This Row],[Distance from Residence to Work]]&lt;=10,"6–10",
IF(tbl_abs[[#This Row],[Distance from Residence to Work]]&lt;=20,"11–20",
"21+"))),"")</f>
        <v>11–20</v>
      </c>
      <c r="Y268" s="53" t="str">
        <f>IFERROR(
IF(tbl_abs[[#This Row],[Body Mass Index]]&lt;18.5,"Underweight",
IF(tbl_abs[[#This Row],[Body Mass Index]]&lt;25,"Normal",
IF(tbl_abs[[#This Row],[Body Mass Index]]&lt;30,"Overweight",
"Obese"))),"")</f>
        <v>Overweight</v>
      </c>
      <c r="Z268" s="53" t="str">
        <f>IFERROR(
IF(tbl_abs[[#This Row],[Absenteeism time in hours]]&lt;=2,"0–2",
IF(tbl_abs[[#This Row],[Absenteeism time in hours]]&lt;=8,"3–8",
IF(tbl_abs[[#This Row],[Absenteeism time in hours]]&lt;=16,"9–16",
"17+"))),"")</f>
        <v>0–2</v>
      </c>
    </row>
    <row r="269" spans="1:26" ht="15" customHeight="1" x14ac:dyDescent="0.3">
      <c r="A269">
        <v>14</v>
      </c>
      <c r="B269">
        <v>28</v>
      </c>
      <c r="C269" s="1">
        <v>5</v>
      </c>
      <c r="D269">
        <v>2</v>
      </c>
      <c r="E269">
        <v>3</v>
      </c>
      <c r="F269">
        <v>155</v>
      </c>
      <c r="G269" s="1">
        <v>12</v>
      </c>
      <c r="H269">
        <v>14</v>
      </c>
      <c r="I269" s="1">
        <v>34</v>
      </c>
      <c r="J269" s="2">
        <v>378884</v>
      </c>
      <c r="K269">
        <v>92</v>
      </c>
      <c r="L269">
        <v>0</v>
      </c>
      <c r="M269">
        <v>1</v>
      </c>
      <c r="N269">
        <v>2</v>
      </c>
      <c r="O269">
        <v>1</v>
      </c>
      <c r="P269">
        <v>0</v>
      </c>
      <c r="Q269">
        <v>0</v>
      </c>
      <c r="R269">
        <v>95</v>
      </c>
      <c r="S269">
        <v>196</v>
      </c>
      <c r="T269">
        <v>25</v>
      </c>
      <c r="U269">
        <v>1</v>
      </c>
      <c r="V269" s="53" t="str">
        <f>IFERROR(
IF(tbl_abs[[#This Row],[Month of absence]]=0,"Unknown",
CHOOSE(tbl_abs[[#This Row],[Month of absence]],
"Jan","Feb","Mar","Apr","May","Jun","Jul","Aug","Sep","Oct","Nov","Dec")),"")</f>
        <v>May</v>
      </c>
      <c r="W269" s="53" t="str">
        <f>IFERROR(
IF(tbl_abs[[#This Row],[Age]]&lt;30,"&lt;30",
IF(tbl_abs[[#This Row],[Age]]&lt;40,"30–39",
IF(tbl_abs[[#This Row],[Age]]&lt;50,"40–49",
IF(tbl_abs[[#This Row],[Age]]&lt;60,"50–59",
"60+")))),"")</f>
        <v>30–39</v>
      </c>
      <c r="X269" s="53" t="str">
        <f>IFERROR(
IF(tbl_abs[[#This Row],[Distance from Residence to Work]]&lt;=5,"0–5",
IF(tbl_abs[[#This Row],[Distance from Residence to Work]]&lt;=10,"6–10",
IF(tbl_abs[[#This Row],[Distance from Residence to Work]]&lt;=20,"11–20",
"21+"))),"")</f>
        <v>11–20</v>
      </c>
      <c r="Y269" s="53" t="str">
        <f>IFERROR(
IF(tbl_abs[[#This Row],[Body Mass Index]]&lt;18.5,"Underweight",
IF(tbl_abs[[#This Row],[Body Mass Index]]&lt;25,"Normal",
IF(tbl_abs[[#This Row],[Body Mass Index]]&lt;30,"Overweight",
"Obese"))),"")</f>
        <v>Overweight</v>
      </c>
      <c r="Z269" s="53" t="str">
        <f>IFERROR(
IF(tbl_abs[[#This Row],[Absenteeism time in hours]]&lt;=2,"0–2",
IF(tbl_abs[[#This Row],[Absenteeism time in hours]]&lt;=8,"3–8",
IF(tbl_abs[[#This Row],[Absenteeism time in hours]]&lt;=16,"9–16",
"17+"))),"")</f>
        <v>0–2</v>
      </c>
    </row>
    <row r="270" spans="1:26" ht="15" customHeight="1" x14ac:dyDescent="0.3">
      <c r="A270">
        <v>3</v>
      </c>
      <c r="B270">
        <v>18</v>
      </c>
      <c r="C270" s="1">
        <v>5</v>
      </c>
      <c r="D270">
        <v>3</v>
      </c>
      <c r="E270">
        <v>3</v>
      </c>
      <c r="F270">
        <v>179</v>
      </c>
      <c r="G270" s="1">
        <v>51</v>
      </c>
      <c r="H270">
        <v>18</v>
      </c>
      <c r="I270" s="1">
        <v>38</v>
      </c>
      <c r="J270" s="2">
        <v>378884</v>
      </c>
      <c r="K270">
        <v>92</v>
      </c>
      <c r="L270">
        <v>0</v>
      </c>
      <c r="M270">
        <v>1</v>
      </c>
      <c r="N270">
        <v>0</v>
      </c>
      <c r="O270">
        <v>1</v>
      </c>
      <c r="P270">
        <v>0</v>
      </c>
      <c r="Q270">
        <v>0</v>
      </c>
      <c r="R270">
        <v>89</v>
      </c>
      <c r="S270">
        <v>170</v>
      </c>
      <c r="T270">
        <v>31</v>
      </c>
      <c r="U270">
        <v>8</v>
      </c>
      <c r="V270" s="53" t="str">
        <f>IFERROR(
IF(tbl_abs[[#This Row],[Month of absence]]=0,"Unknown",
CHOOSE(tbl_abs[[#This Row],[Month of absence]],
"Jan","Feb","Mar","Apr","May","Jun","Jul","Aug","Sep","Oct","Nov","Dec")),"")</f>
        <v>May</v>
      </c>
      <c r="W270" s="53" t="str">
        <f>IFERROR(
IF(tbl_abs[[#This Row],[Age]]&lt;30,"&lt;30",
IF(tbl_abs[[#This Row],[Age]]&lt;40,"30–39",
IF(tbl_abs[[#This Row],[Age]]&lt;50,"40–49",
IF(tbl_abs[[#This Row],[Age]]&lt;60,"50–59",
"60+")))),"")</f>
        <v>30–39</v>
      </c>
      <c r="X270" s="53" t="str">
        <f>IFERROR(
IF(tbl_abs[[#This Row],[Distance from Residence to Work]]&lt;=5,"0–5",
IF(tbl_abs[[#This Row],[Distance from Residence to Work]]&lt;=10,"6–10",
IF(tbl_abs[[#This Row],[Distance from Residence to Work]]&lt;=20,"11–20",
"21+"))),"")</f>
        <v>21+</v>
      </c>
      <c r="Y270" s="53" t="str">
        <f>IFERROR(
IF(tbl_abs[[#This Row],[Body Mass Index]]&lt;18.5,"Underweight",
IF(tbl_abs[[#This Row],[Body Mass Index]]&lt;25,"Normal",
IF(tbl_abs[[#This Row],[Body Mass Index]]&lt;30,"Overweight",
"Obese"))),"")</f>
        <v>Obese</v>
      </c>
      <c r="Z270" s="53" t="str">
        <f>IFERROR(
IF(tbl_abs[[#This Row],[Absenteeism time in hours]]&lt;=2,"0–2",
IF(tbl_abs[[#This Row],[Absenteeism time in hours]]&lt;=8,"3–8",
IF(tbl_abs[[#This Row],[Absenteeism time in hours]]&lt;=16,"9–16",
"17+"))),"")</f>
        <v>3–8</v>
      </c>
    </row>
    <row r="271" spans="1:26" ht="15" customHeight="1" x14ac:dyDescent="0.3">
      <c r="A271">
        <v>28</v>
      </c>
      <c r="B271">
        <v>19</v>
      </c>
      <c r="C271" s="1">
        <v>5</v>
      </c>
      <c r="D271">
        <v>3</v>
      </c>
      <c r="E271">
        <v>3</v>
      </c>
      <c r="F271">
        <v>225</v>
      </c>
      <c r="G271" s="1">
        <v>26</v>
      </c>
      <c r="H271">
        <v>9</v>
      </c>
      <c r="I271" s="1">
        <v>28</v>
      </c>
      <c r="J271" s="2">
        <v>378884</v>
      </c>
      <c r="K271">
        <v>92</v>
      </c>
      <c r="L271">
        <v>0</v>
      </c>
      <c r="M271">
        <v>1</v>
      </c>
      <c r="N271">
        <v>1</v>
      </c>
      <c r="O271">
        <v>0</v>
      </c>
      <c r="P271">
        <v>0</v>
      </c>
      <c r="Q271">
        <v>2</v>
      </c>
      <c r="R271">
        <v>69</v>
      </c>
      <c r="S271">
        <v>169</v>
      </c>
      <c r="T271">
        <v>24</v>
      </c>
      <c r="U271">
        <v>8</v>
      </c>
      <c r="V271" s="53" t="str">
        <f>IFERROR(
IF(tbl_abs[[#This Row],[Month of absence]]=0,"Unknown",
CHOOSE(tbl_abs[[#This Row],[Month of absence]],
"Jan","Feb","Mar","Apr","May","Jun","Jul","Aug","Sep","Oct","Nov","Dec")),"")</f>
        <v>May</v>
      </c>
      <c r="W271" s="53" t="str">
        <f>IFERROR(
IF(tbl_abs[[#This Row],[Age]]&lt;30,"&lt;30",
IF(tbl_abs[[#This Row],[Age]]&lt;40,"30–39",
IF(tbl_abs[[#This Row],[Age]]&lt;50,"40–49",
IF(tbl_abs[[#This Row],[Age]]&lt;60,"50–59",
"60+")))),"")</f>
        <v>&lt;30</v>
      </c>
      <c r="X271" s="53" t="str">
        <f>IFERROR(
IF(tbl_abs[[#This Row],[Distance from Residence to Work]]&lt;=5,"0–5",
IF(tbl_abs[[#This Row],[Distance from Residence to Work]]&lt;=10,"6–10",
IF(tbl_abs[[#This Row],[Distance from Residence to Work]]&lt;=20,"11–20",
"21+"))),"")</f>
        <v>21+</v>
      </c>
      <c r="Y271" s="53" t="str">
        <f>IFERROR(
IF(tbl_abs[[#This Row],[Body Mass Index]]&lt;18.5,"Underweight",
IF(tbl_abs[[#This Row],[Body Mass Index]]&lt;25,"Normal",
IF(tbl_abs[[#This Row],[Body Mass Index]]&lt;30,"Overweight",
"Obese"))),"")</f>
        <v>Normal</v>
      </c>
      <c r="Z271" s="53" t="str">
        <f>IFERROR(
IF(tbl_abs[[#This Row],[Absenteeism time in hours]]&lt;=2,"0–2",
IF(tbl_abs[[#This Row],[Absenteeism time in hours]]&lt;=8,"3–8",
IF(tbl_abs[[#This Row],[Absenteeism time in hours]]&lt;=16,"9–16",
"17+"))),"")</f>
        <v>3–8</v>
      </c>
    </row>
    <row r="272" spans="1:26" ht="15" customHeight="1" x14ac:dyDescent="0.3">
      <c r="A272">
        <v>27</v>
      </c>
      <c r="B272">
        <v>7</v>
      </c>
      <c r="C272" s="1">
        <v>5</v>
      </c>
      <c r="D272">
        <v>4</v>
      </c>
      <c r="E272">
        <v>3</v>
      </c>
      <c r="F272">
        <v>184</v>
      </c>
      <c r="G272" s="1">
        <v>42</v>
      </c>
      <c r="H272">
        <v>7</v>
      </c>
      <c r="I272" s="1">
        <v>27</v>
      </c>
      <c r="J272" s="2">
        <v>378884</v>
      </c>
      <c r="K272">
        <v>92</v>
      </c>
      <c r="L272">
        <v>0</v>
      </c>
      <c r="M272">
        <v>1</v>
      </c>
      <c r="N272">
        <v>0</v>
      </c>
      <c r="O272">
        <v>0</v>
      </c>
      <c r="P272">
        <v>0</v>
      </c>
      <c r="Q272">
        <v>0</v>
      </c>
      <c r="R272">
        <v>58</v>
      </c>
      <c r="S272">
        <v>167</v>
      </c>
      <c r="T272">
        <v>21</v>
      </c>
      <c r="U272">
        <v>4</v>
      </c>
      <c r="V272" s="53" t="str">
        <f>IFERROR(
IF(tbl_abs[[#This Row],[Month of absence]]=0,"Unknown",
CHOOSE(tbl_abs[[#This Row],[Month of absence]],
"Jan","Feb","Mar","Apr","May","Jun","Jul","Aug","Sep","Oct","Nov","Dec")),"")</f>
        <v>May</v>
      </c>
      <c r="W272" s="53" t="str">
        <f>IFERROR(
IF(tbl_abs[[#This Row],[Age]]&lt;30,"&lt;30",
IF(tbl_abs[[#This Row],[Age]]&lt;40,"30–39",
IF(tbl_abs[[#This Row],[Age]]&lt;50,"40–49",
IF(tbl_abs[[#This Row],[Age]]&lt;60,"50–59",
"60+")))),"")</f>
        <v>&lt;30</v>
      </c>
      <c r="X272" s="53" t="str">
        <f>IFERROR(
IF(tbl_abs[[#This Row],[Distance from Residence to Work]]&lt;=5,"0–5",
IF(tbl_abs[[#This Row],[Distance from Residence to Work]]&lt;=10,"6–10",
IF(tbl_abs[[#This Row],[Distance from Residence to Work]]&lt;=20,"11–20",
"21+"))),"")</f>
        <v>21+</v>
      </c>
      <c r="Y272" s="53" t="str">
        <f>IFERROR(
IF(tbl_abs[[#This Row],[Body Mass Index]]&lt;18.5,"Underweight",
IF(tbl_abs[[#This Row],[Body Mass Index]]&lt;25,"Normal",
IF(tbl_abs[[#This Row],[Body Mass Index]]&lt;30,"Overweight",
"Obese"))),"")</f>
        <v>Normal</v>
      </c>
      <c r="Z272" s="53" t="str">
        <f>IFERROR(
IF(tbl_abs[[#This Row],[Absenteeism time in hours]]&lt;=2,"0–2",
IF(tbl_abs[[#This Row],[Absenteeism time in hours]]&lt;=8,"3–8",
IF(tbl_abs[[#This Row],[Absenteeism time in hours]]&lt;=16,"9–16",
"17+"))),"")</f>
        <v>3–8</v>
      </c>
    </row>
    <row r="273" spans="1:26" ht="15" customHeight="1" x14ac:dyDescent="0.3">
      <c r="A273">
        <v>14</v>
      </c>
      <c r="B273">
        <v>28</v>
      </c>
      <c r="C273" s="1">
        <v>5</v>
      </c>
      <c r="D273">
        <v>2</v>
      </c>
      <c r="E273">
        <v>3</v>
      </c>
      <c r="F273">
        <v>155</v>
      </c>
      <c r="G273" s="1">
        <v>12</v>
      </c>
      <c r="H273">
        <v>14</v>
      </c>
      <c r="I273" s="1">
        <v>34</v>
      </c>
      <c r="J273" s="2">
        <v>378884</v>
      </c>
      <c r="K273">
        <v>92</v>
      </c>
      <c r="L273">
        <v>0</v>
      </c>
      <c r="M273">
        <v>1</v>
      </c>
      <c r="N273">
        <v>2</v>
      </c>
      <c r="O273">
        <v>1</v>
      </c>
      <c r="P273">
        <v>0</v>
      </c>
      <c r="Q273">
        <v>0</v>
      </c>
      <c r="R273">
        <v>95</v>
      </c>
      <c r="S273">
        <v>196</v>
      </c>
      <c r="T273">
        <v>25</v>
      </c>
      <c r="U273">
        <v>2</v>
      </c>
      <c r="V273" s="53" t="str">
        <f>IFERROR(
IF(tbl_abs[[#This Row],[Month of absence]]=0,"Unknown",
CHOOSE(tbl_abs[[#This Row],[Month of absence]],
"Jan","Feb","Mar","Apr","May","Jun","Jul","Aug","Sep","Oct","Nov","Dec")),"")</f>
        <v>May</v>
      </c>
      <c r="W273" s="53" t="str">
        <f>IFERROR(
IF(tbl_abs[[#This Row],[Age]]&lt;30,"&lt;30",
IF(tbl_abs[[#This Row],[Age]]&lt;40,"30–39",
IF(tbl_abs[[#This Row],[Age]]&lt;50,"40–49",
IF(tbl_abs[[#This Row],[Age]]&lt;60,"50–59",
"60+")))),"")</f>
        <v>30–39</v>
      </c>
      <c r="X273" s="53" t="str">
        <f>IFERROR(
IF(tbl_abs[[#This Row],[Distance from Residence to Work]]&lt;=5,"0–5",
IF(tbl_abs[[#This Row],[Distance from Residence to Work]]&lt;=10,"6–10",
IF(tbl_abs[[#This Row],[Distance from Residence to Work]]&lt;=20,"11–20",
"21+"))),"")</f>
        <v>11–20</v>
      </c>
      <c r="Y273" s="53" t="str">
        <f>IFERROR(
IF(tbl_abs[[#This Row],[Body Mass Index]]&lt;18.5,"Underweight",
IF(tbl_abs[[#This Row],[Body Mass Index]]&lt;25,"Normal",
IF(tbl_abs[[#This Row],[Body Mass Index]]&lt;30,"Overweight",
"Obese"))),"")</f>
        <v>Overweight</v>
      </c>
      <c r="Z273" s="53" t="str">
        <f>IFERROR(
IF(tbl_abs[[#This Row],[Absenteeism time in hours]]&lt;=2,"0–2",
IF(tbl_abs[[#This Row],[Absenteeism time in hours]]&lt;=8,"3–8",
IF(tbl_abs[[#This Row],[Absenteeism time in hours]]&lt;=16,"9–16",
"17+"))),"")</f>
        <v>0–2</v>
      </c>
    </row>
    <row r="274" spans="1:26" ht="15" customHeight="1" x14ac:dyDescent="0.3">
      <c r="A274">
        <v>3</v>
      </c>
      <c r="B274">
        <v>12</v>
      </c>
      <c r="C274" s="1">
        <v>5</v>
      </c>
      <c r="D274">
        <v>3</v>
      </c>
      <c r="E274">
        <v>3</v>
      </c>
      <c r="F274">
        <v>179</v>
      </c>
      <c r="G274" s="1">
        <v>51</v>
      </c>
      <c r="H274">
        <v>18</v>
      </c>
      <c r="I274" s="1">
        <v>38</v>
      </c>
      <c r="J274" s="2">
        <v>378884</v>
      </c>
      <c r="K274">
        <v>92</v>
      </c>
      <c r="L274">
        <v>0</v>
      </c>
      <c r="M274">
        <v>1</v>
      </c>
      <c r="N274">
        <v>0</v>
      </c>
      <c r="O274">
        <v>1</v>
      </c>
      <c r="P274">
        <v>0</v>
      </c>
      <c r="Q274">
        <v>0</v>
      </c>
      <c r="R274">
        <v>89</v>
      </c>
      <c r="S274">
        <v>170</v>
      </c>
      <c r="T274">
        <v>31</v>
      </c>
      <c r="U274">
        <v>1</v>
      </c>
      <c r="V274" s="53" t="str">
        <f>IFERROR(
IF(tbl_abs[[#This Row],[Month of absence]]=0,"Unknown",
CHOOSE(tbl_abs[[#This Row],[Month of absence]],
"Jan","Feb","Mar","Apr","May","Jun","Jul","Aug","Sep","Oct","Nov","Dec")),"")</f>
        <v>May</v>
      </c>
      <c r="W274" s="53" t="str">
        <f>IFERROR(
IF(tbl_abs[[#This Row],[Age]]&lt;30,"&lt;30",
IF(tbl_abs[[#This Row],[Age]]&lt;40,"30–39",
IF(tbl_abs[[#This Row],[Age]]&lt;50,"40–49",
IF(tbl_abs[[#This Row],[Age]]&lt;60,"50–59",
"60+")))),"")</f>
        <v>30–39</v>
      </c>
      <c r="X274" s="53" t="str">
        <f>IFERROR(
IF(tbl_abs[[#This Row],[Distance from Residence to Work]]&lt;=5,"0–5",
IF(tbl_abs[[#This Row],[Distance from Residence to Work]]&lt;=10,"6–10",
IF(tbl_abs[[#This Row],[Distance from Residence to Work]]&lt;=20,"11–20",
"21+"))),"")</f>
        <v>21+</v>
      </c>
      <c r="Y274" s="53" t="str">
        <f>IFERROR(
IF(tbl_abs[[#This Row],[Body Mass Index]]&lt;18.5,"Underweight",
IF(tbl_abs[[#This Row],[Body Mass Index]]&lt;25,"Normal",
IF(tbl_abs[[#This Row],[Body Mass Index]]&lt;30,"Overweight",
"Obese"))),"")</f>
        <v>Obese</v>
      </c>
      <c r="Z274" s="53" t="str">
        <f>IFERROR(
IF(tbl_abs[[#This Row],[Absenteeism time in hours]]&lt;=2,"0–2",
IF(tbl_abs[[#This Row],[Absenteeism time in hours]]&lt;=8,"3–8",
IF(tbl_abs[[#This Row],[Absenteeism time in hours]]&lt;=16,"9–16",
"17+"))),"")</f>
        <v>0–2</v>
      </c>
    </row>
    <row r="275" spans="1:26" ht="15" customHeight="1" x14ac:dyDescent="0.3">
      <c r="A275">
        <v>11</v>
      </c>
      <c r="B275">
        <v>13</v>
      </c>
      <c r="C275" s="1">
        <v>5</v>
      </c>
      <c r="D275">
        <v>4</v>
      </c>
      <c r="E275">
        <v>3</v>
      </c>
      <c r="F275">
        <v>289</v>
      </c>
      <c r="G275" s="1">
        <v>36</v>
      </c>
      <c r="H275">
        <v>13</v>
      </c>
      <c r="I275" s="1">
        <v>33</v>
      </c>
      <c r="J275" s="2">
        <v>378884</v>
      </c>
      <c r="K275">
        <v>92</v>
      </c>
      <c r="L275">
        <v>0</v>
      </c>
      <c r="M275">
        <v>1</v>
      </c>
      <c r="N275">
        <v>2</v>
      </c>
      <c r="O275">
        <v>1</v>
      </c>
      <c r="P275">
        <v>0</v>
      </c>
      <c r="Q275">
        <v>1</v>
      </c>
      <c r="R275">
        <v>90</v>
      </c>
      <c r="S275">
        <v>172</v>
      </c>
      <c r="T275">
        <v>30</v>
      </c>
      <c r="U275">
        <v>24</v>
      </c>
      <c r="V275" s="53" t="str">
        <f>IFERROR(
IF(tbl_abs[[#This Row],[Month of absence]]=0,"Unknown",
CHOOSE(tbl_abs[[#This Row],[Month of absence]],
"Jan","Feb","Mar","Apr","May","Jun","Jul","Aug","Sep","Oct","Nov","Dec")),"")</f>
        <v>May</v>
      </c>
      <c r="W275" s="53" t="str">
        <f>IFERROR(
IF(tbl_abs[[#This Row],[Age]]&lt;30,"&lt;30",
IF(tbl_abs[[#This Row],[Age]]&lt;40,"30–39",
IF(tbl_abs[[#This Row],[Age]]&lt;50,"40–49",
IF(tbl_abs[[#This Row],[Age]]&lt;60,"50–59",
"60+")))),"")</f>
        <v>30–39</v>
      </c>
      <c r="X275" s="53" t="str">
        <f>IFERROR(
IF(tbl_abs[[#This Row],[Distance from Residence to Work]]&lt;=5,"0–5",
IF(tbl_abs[[#This Row],[Distance from Residence to Work]]&lt;=10,"6–10",
IF(tbl_abs[[#This Row],[Distance from Residence to Work]]&lt;=20,"11–20",
"21+"))),"")</f>
        <v>21+</v>
      </c>
      <c r="Y275" s="53" t="str">
        <f>IFERROR(
IF(tbl_abs[[#This Row],[Body Mass Index]]&lt;18.5,"Underweight",
IF(tbl_abs[[#This Row],[Body Mass Index]]&lt;25,"Normal",
IF(tbl_abs[[#This Row],[Body Mass Index]]&lt;30,"Overweight",
"Obese"))),"")</f>
        <v>Obese</v>
      </c>
      <c r="Z275" s="53" t="str">
        <f>IFERROR(
IF(tbl_abs[[#This Row],[Absenteeism time in hours]]&lt;=2,"0–2",
IF(tbl_abs[[#This Row],[Absenteeism time in hours]]&lt;=8,"3–8",
IF(tbl_abs[[#This Row],[Absenteeism time in hours]]&lt;=16,"9–16",
"17+"))),"")</f>
        <v>17+</v>
      </c>
    </row>
    <row r="276" spans="1:26" ht="15" customHeight="1" x14ac:dyDescent="0.3">
      <c r="A276">
        <v>7</v>
      </c>
      <c r="B276">
        <v>0</v>
      </c>
      <c r="C276" s="1">
        <v>5</v>
      </c>
      <c r="D276">
        <v>4</v>
      </c>
      <c r="E276">
        <v>3</v>
      </c>
      <c r="F276">
        <v>279</v>
      </c>
      <c r="G276" s="1">
        <v>5</v>
      </c>
      <c r="H276">
        <v>14</v>
      </c>
      <c r="I276" s="1">
        <v>39</v>
      </c>
      <c r="J276" s="2">
        <v>378884</v>
      </c>
      <c r="K276">
        <v>92</v>
      </c>
      <c r="L276">
        <v>1</v>
      </c>
      <c r="M276">
        <v>1</v>
      </c>
      <c r="N276">
        <v>2</v>
      </c>
      <c r="O276">
        <v>1</v>
      </c>
      <c r="P276">
        <v>1</v>
      </c>
      <c r="Q276">
        <v>0</v>
      </c>
      <c r="R276">
        <v>68</v>
      </c>
      <c r="S276">
        <v>168</v>
      </c>
      <c r="T276">
        <v>24</v>
      </c>
      <c r="U276">
        <v>0</v>
      </c>
      <c r="V276" s="53" t="str">
        <f>IFERROR(
IF(tbl_abs[[#This Row],[Month of absence]]=0,"Unknown",
CHOOSE(tbl_abs[[#This Row],[Month of absence]],
"Jan","Feb","Mar","Apr","May","Jun","Jul","Aug","Sep","Oct","Nov","Dec")),"")</f>
        <v>May</v>
      </c>
      <c r="W276" s="53" t="str">
        <f>IFERROR(
IF(tbl_abs[[#This Row],[Age]]&lt;30,"&lt;30",
IF(tbl_abs[[#This Row],[Age]]&lt;40,"30–39",
IF(tbl_abs[[#This Row],[Age]]&lt;50,"40–49",
IF(tbl_abs[[#This Row],[Age]]&lt;60,"50–59",
"60+")))),"")</f>
        <v>30–39</v>
      </c>
      <c r="X276" s="53" t="str">
        <f>IFERROR(
IF(tbl_abs[[#This Row],[Distance from Residence to Work]]&lt;=5,"0–5",
IF(tbl_abs[[#This Row],[Distance from Residence to Work]]&lt;=10,"6–10",
IF(tbl_abs[[#This Row],[Distance from Residence to Work]]&lt;=20,"11–20",
"21+"))),"")</f>
        <v>0–5</v>
      </c>
      <c r="Y276" s="53" t="str">
        <f>IFERROR(
IF(tbl_abs[[#This Row],[Body Mass Index]]&lt;18.5,"Underweight",
IF(tbl_abs[[#This Row],[Body Mass Index]]&lt;25,"Normal",
IF(tbl_abs[[#This Row],[Body Mass Index]]&lt;30,"Overweight",
"Obese"))),"")</f>
        <v>Normal</v>
      </c>
      <c r="Z276" s="53" t="str">
        <f>IFERROR(
IF(tbl_abs[[#This Row],[Absenteeism time in hours]]&lt;=2,"0–2",
IF(tbl_abs[[#This Row],[Absenteeism time in hours]]&lt;=8,"3–8",
IF(tbl_abs[[#This Row],[Absenteeism time in hours]]&lt;=16,"9–16",
"17+"))),"")</f>
        <v>0–2</v>
      </c>
    </row>
    <row r="277" spans="1:26" ht="15" customHeight="1" x14ac:dyDescent="0.3">
      <c r="A277">
        <v>18</v>
      </c>
      <c r="B277">
        <v>0</v>
      </c>
      <c r="C277" s="1">
        <v>5</v>
      </c>
      <c r="D277">
        <v>4</v>
      </c>
      <c r="E277">
        <v>3</v>
      </c>
      <c r="F277">
        <v>330</v>
      </c>
      <c r="G277" s="1">
        <v>16</v>
      </c>
      <c r="H277">
        <v>4</v>
      </c>
      <c r="I277" s="1">
        <v>28</v>
      </c>
      <c r="J277" s="2">
        <v>378884</v>
      </c>
      <c r="K277">
        <v>92</v>
      </c>
      <c r="L277">
        <v>1</v>
      </c>
      <c r="M277">
        <v>2</v>
      </c>
      <c r="N277">
        <v>0</v>
      </c>
      <c r="O277">
        <v>0</v>
      </c>
      <c r="P277">
        <v>0</v>
      </c>
      <c r="Q277">
        <v>0</v>
      </c>
      <c r="R277">
        <v>84</v>
      </c>
      <c r="S277">
        <v>182</v>
      </c>
      <c r="T277">
        <v>25</v>
      </c>
      <c r="U277">
        <v>0</v>
      </c>
      <c r="V277" s="53" t="str">
        <f>IFERROR(
IF(tbl_abs[[#This Row],[Month of absence]]=0,"Unknown",
CHOOSE(tbl_abs[[#This Row],[Month of absence]],
"Jan","Feb","Mar","Apr","May","Jun","Jul","Aug","Sep","Oct","Nov","Dec")),"")</f>
        <v>May</v>
      </c>
      <c r="W277" s="53" t="str">
        <f>IFERROR(
IF(tbl_abs[[#This Row],[Age]]&lt;30,"&lt;30",
IF(tbl_abs[[#This Row],[Age]]&lt;40,"30–39",
IF(tbl_abs[[#This Row],[Age]]&lt;50,"40–49",
IF(tbl_abs[[#This Row],[Age]]&lt;60,"50–59",
"60+")))),"")</f>
        <v>&lt;30</v>
      </c>
      <c r="X277" s="53" t="str">
        <f>IFERROR(
IF(tbl_abs[[#This Row],[Distance from Residence to Work]]&lt;=5,"0–5",
IF(tbl_abs[[#This Row],[Distance from Residence to Work]]&lt;=10,"6–10",
IF(tbl_abs[[#This Row],[Distance from Residence to Work]]&lt;=20,"11–20",
"21+"))),"")</f>
        <v>11–20</v>
      </c>
      <c r="Y277" s="53" t="str">
        <f>IFERROR(
IF(tbl_abs[[#This Row],[Body Mass Index]]&lt;18.5,"Underweight",
IF(tbl_abs[[#This Row],[Body Mass Index]]&lt;25,"Normal",
IF(tbl_abs[[#This Row],[Body Mass Index]]&lt;30,"Overweight",
"Obese"))),"")</f>
        <v>Overweight</v>
      </c>
      <c r="Z277" s="53" t="str">
        <f>IFERROR(
IF(tbl_abs[[#This Row],[Absenteeism time in hours]]&lt;=2,"0–2",
IF(tbl_abs[[#This Row],[Absenteeism time in hours]]&lt;=8,"3–8",
IF(tbl_abs[[#This Row],[Absenteeism time in hours]]&lt;=16,"9–16",
"17+"))),"")</f>
        <v>0–2</v>
      </c>
    </row>
    <row r="278" spans="1:26" ht="15" customHeight="1" x14ac:dyDescent="0.3">
      <c r="A278">
        <v>23</v>
      </c>
      <c r="B278">
        <v>0</v>
      </c>
      <c r="C278" s="1">
        <v>5</v>
      </c>
      <c r="D278">
        <v>4</v>
      </c>
      <c r="E278">
        <v>3</v>
      </c>
      <c r="F278">
        <v>378</v>
      </c>
      <c r="G278" s="1">
        <v>49</v>
      </c>
      <c r="H278">
        <v>11</v>
      </c>
      <c r="I278" s="1">
        <v>36</v>
      </c>
      <c r="J278" s="2">
        <v>378884</v>
      </c>
      <c r="K278">
        <v>92</v>
      </c>
      <c r="L278">
        <v>1</v>
      </c>
      <c r="M278">
        <v>1</v>
      </c>
      <c r="N278">
        <v>2</v>
      </c>
      <c r="O278">
        <v>0</v>
      </c>
      <c r="P278">
        <v>1</v>
      </c>
      <c r="Q278">
        <v>4</v>
      </c>
      <c r="R278">
        <v>65</v>
      </c>
      <c r="S278">
        <v>174</v>
      </c>
      <c r="T278">
        <v>21</v>
      </c>
      <c r="V278" s="53" t="str">
        <f>IFERROR(
IF(tbl_abs[[#This Row],[Month of absence]]=0,"Unknown",
CHOOSE(tbl_abs[[#This Row],[Month of absence]],
"Jan","Feb","Mar","Apr","May","Jun","Jul","Aug","Sep","Oct","Nov","Dec")),"")</f>
        <v>May</v>
      </c>
      <c r="W278" s="53" t="str">
        <f>IFERROR(
IF(tbl_abs[[#This Row],[Age]]&lt;30,"&lt;30",
IF(tbl_abs[[#This Row],[Age]]&lt;40,"30–39",
IF(tbl_abs[[#This Row],[Age]]&lt;50,"40–49",
IF(tbl_abs[[#This Row],[Age]]&lt;60,"50–59",
"60+")))),"")</f>
        <v>30–39</v>
      </c>
      <c r="X278" s="53" t="str">
        <f>IFERROR(
IF(tbl_abs[[#This Row],[Distance from Residence to Work]]&lt;=5,"0–5",
IF(tbl_abs[[#This Row],[Distance from Residence to Work]]&lt;=10,"6–10",
IF(tbl_abs[[#This Row],[Distance from Residence to Work]]&lt;=20,"11–20",
"21+"))),"")</f>
        <v>21+</v>
      </c>
      <c r="Y278" s="53" t="str">
        <f>IFERROR(
IF(tbl_abs[[#This Row],[Body Mass Index]]&lt;18.5,"Underweight",
IF(tbl_abs[[#This Row],[Body Mass Index]]&lt;25,"Normal",
IF(tbl_abs[[#This Row],[Body Mass Index]]&lt;30,"Overweight",
"Obese"))),"")</f>
        <v>Normal</v>
      </c>
      <c r="Z278" s="53" t="str">
        <f>IFERROR(
IF(tbl_abs[[#This Row],[Absenteeism time in hours]]&lt;=2,"0–2",
IF(tbl_abs[[#This Row],[Absenteeism time in hours]]&lt;=8,"3–8",
IF(tbl_abs[[#This Row],[Absenteeism time in hours]]&lt;=16,"9–16",
"17+"))),"")</f>
        <v>0–2</v>
      </c>
    </row>
    <row r="279" spans="1:26" ht="15" customHeight="1" x14ac:dyDescent="0.3">
      <c r="A279">
        <v>31</v>
      </c>
      <c r="B279">
        <v>0</v>
      </c>
      <c r="C279" s="1">
        <v>5</v>
      </c>
      <c r="D279">
        <v>4</v>
      </c>
      <c r="E279">
        <v>3</v>
      </c>
      <c r="F279">
        <v>388</v>
      </c>
      <c r="G279" s="1">
        <v>15</v>
      </c>
      <c r="H279">
        <v>9</v>
      </c>
      <c r="I279" s="1">
        <v>50</v>
      </c>
      <c r="J279" s="2">
        <v>378884</v>
      </c>
      <c r="K279">
        <v>92</v>
      </c>
      <c r="L279">
        <v>1</v>
      </c>
      <c r="M279">
        <v>1</v>
      </c>
      <c r="N279">
        <v>0</v>
      </c>
      <c r="O279">
        <v>0</v>
      </c>
      <c r="P279">
        <v>0</v>
      </c>
      <c r="Q279">
        <v>0</v>
      </c>
      <c r="R279">
        <v>76</v>
      </c>
      <c r="S279">
        <v>178</v>
      </c>
      <c r="T279">
        <v>24</v>
      </c>
      <c r="U279">
        <v>0</v>
      </c>
      <c r="V279" s="53" t="str">
        <f>IFERROR(
IF(tbl_abs[[#This Row],[Month of absence]]=0,"Unknown",
CHOOSE(tbl_abs[[#This Row],[Month of absence]],
"Jan","Feb","Mar","Apr","May","Jun","Jul","Aug","Sep","Oct","Nov","Dec")),"")</f>
        <v>May</v>
      </c>
      <c r="W279" s="53" t="str">
        <f>IFERROR(
IF(tbl_abs[[#This Row],[Age]]&lt;30,"&lt;30",
IF(tbl_abs[[#This Row],[Age]]&lt;40,"30–39",
IF(tbl_abs[[#This Row],[Age]]&lt;50,"40–49",
IF(tbl_abs[[#This Row],[Age]]&lt;60,"50–59",
"60+")))),"")</f>
        <v>50–59</v>
      </c>
      <c r="X279" s="53" t="str">
        <f>IFERROR(
IF(tbl_abs[[#This Row],[Distance from Residence to Work]]&lt;=5,"0–5",
IF(tbl_abs[[#This Row],[Distance from Residence to Work]]&lt;=10,"6–10",
IF(tbl_abs[[#This Row],[Distance from Residence to Work]]&lt;=20,"11–20",
"21+"))),"")</f>
        <v>11–20</v>
      </c>
      <c r="Y279" s="53" t="str">
        <f>IFERROR(
IF(tbl_abs[[#This Row],[Body Mass Index]]&lt;18.5,"Underweight",
IF(tbl_abs[[#This Row],[Body Mass Index]]&lt;25,"Normal",
IF(tbl_abs[[#This Row],[Body Mass Index]]&lt;30,"Overweight",
"Obese"))),"")</f>
        <v>Normal</v>
      </c>
      <c r="Z279" s="53" t="str">
        <f>IFERROR(
IF(tbl_abs[[#This Row],[Absenteeism time in hours]]&lt;=2,"0–2",
IF(tbl_abs[[#This Row],[Absenteeism time in hours]]&lt;=8,"3–8",
IF(tbl_abs[[#This Row],[Absenteeism time in hours]]&lt;=16,"9–16",
"17+"))),"")</f>
        <v>0–2</v>
      </c>
    </row>
    <row r="280" spans="1:26" ht="15" customHeight="1" x14ac:dyDescent="0.3">
      <c r="A280">
        <v>3</v>
      </c>
      <c r="B280">
        <v>11</v>
      </c>
      <c r="C280" s="1">
        <v>5</v>
      </c>
      <c r="D280">
        <v>3</v>
      </c>
      <c r="E280">
        <v>3</v>
      </c>
      <c r="F280">
        <v>179</v>
      </c>
      <c r="G280" s="1">
        <v>51</v>
      </c>
      <c r="H280">
        <v>18</v>
      </c>
      <c r="I280" s="1">
        <v>38</v>
      </c>
      <c r="J280" s="2">
        <v>378884</v>
      </c>
      <c r="K280">
        <v>92</v>
      </c>
      <c r="L280">
        <v>0</v>
      </c>
      <c r="M280">
        <v>1</v>
      </c>
      <c r="N280">
        <v>0</v>
      </c>
      <c r="O280">
        <v>1</v>
      </c>
      <c r="P280">
        <v>0</v>
      </c>
      <c r="Q280">
        <v>0</v>
      </c>
      <c r="R280">
        <v>89</v>
      </c>
      <c r="S280">
        <v>170</v>
      </c>
      <c r="T280">
        <v>31</v>
      </c>
      <c r="U280">
        <v>1</v>
      </c>
      <c r="V280" s="53" t="str">
        <f>IFERROR(
IF(tbl_abs[[#This Row],[Month of absence]]=0,"Unknown",
CHOOSE(tbl_abs[[#This Row],[Month of absence]],
"Jan","Feb","Mar","Apr","May","Jun","Jul","Aug","Sep","Oct","Nov","Dec")),"")</f>
        <v>May</v>
      </c>
      <c r="W280" s="53" t="str">
        <f>IFERROR(
IF(tbl_abs[[#This Row],[Age]]&lt;30,"&lt;30",
IF(tbl_abs[[#This Row],[Age]]&lt;40,"30–39",
IF(tbl_abs[[#This Row],[Age]]&lt;50,"40–49",
IF(tbl_abs[[#This Row],[Age]]&lt;60,"50–59",
"60+")))),"")</f>
        <v>30–39</v>
      </c>
      <c r="X280" s="53" t="str">
        <f>IFERROR(
IF(tbl_abs[[#This Row],[Distance from Residence to Work]]&lt;=5,"0–5",
IF(tbl_abs[[#This Row],[Distance from Residence to Work]]&lt;=10,"6–10",
IF(tbl_abs[[#This Row],[Distance from Residence to Work]]&lt;=20,"11–20",
"21+"))),"")</f>
        <v>21+</v>
      </c>
      <c r="Y280" s="53" t="str">
        <f>IFERROR(
IF(tbl_abs[[#This Row],[Body Mass Index]]&lt;18.5,"Underweight",
IF(tbl_abs[[#This Row],[Body Mass Index]]&lt;25,"Normal",
IF(tbl_abs[[#This Row],[Body Mass Index]]&lt;30,"Overweight",
"Obese"))),"")</f>
        <v>Obese</v>
      </c>
      <c r="Z280" s="53" t="str">
        <f>IFERROR(
IF(tbl_abs[[#This Row],[Absenteeism time in hours]]&lt;=2,"0–2",
IF(tbl_abs[[#This Row],[Absenteeism time in hours]]&lt;=8,"3–8",
IF(tbl_abs[[#This Row],[Absenteeism time in hours]]&lt;=16,"9–16",
"17+"))),"")</f>
        <v>0–2</v>
      </c>
    </row>
    <row r="281" spans="1:26" ht="15" customHeight="1" x14ac:dyDescent="0.3">
      <c r="A281">
        <v>36</v>
      </c>
      <c r="B281">
        <v>13</v>
      </c>
      <c r="C281" s="1">
        <v>5</v>
      </c>
      <c r="D281">
        <v>4</v>
      </c>
      <c r="E281">
        <v>3</v>
      </c>
      <c r="F281">
        <v>118</v>
      </c>
      <c r="G281" s="1">
        <v>13</v>
      </c>
      <c r="H281">
        <v>18</v>
      </c>
      <c r="I281" s="1">
        <v>50</v>
      </c>
      <c r="J281" s="2">
        <v>378884</v>
      </c>
      <c r="K281">
        <v>92</v>
      </c>
      <c r="L281">
        <v>0</v>
      </c>
      <c r="M281">
        <v>1</v>
      </c>
      <c r="N281">
        <v>1</v>
      </c>
      <c r="O281">
        <v>1</v>
      </c>
      <c r="P281">
        <v>0</v>
      </c>
      <c r="Q281">
        <v>0</v>
      </c>
      <c r="R281">
        <v>98</v>
      </c>
      <c r="S281">
        <v>178</v>
      </c>
      <c r="T281">
        <v>31</v>
      </c>
      <c r="U281">
        <v>24</v>
      </c>
      <c r="V281" s="53" t="str">
        <f>IFERROR(
IF(tbl_abs[[#This Row],[Month of absence]]=0,"Unknown",
CHOOSE(tbl_abs[[#This Row],[Month of absence]],
"Jan","Feb","Mar","Apr","May","Jun","Jul","Aug","Sep","Oct","Nov","Dec")),"")</f>
        <v>May</v>
      </c>
      <c r="W281" s="53" t="str">
        <f>IFERROR(
IF(tbl_abs[[#This Row],[Age]]&lt;30,"&lt;30",
IF(tbl_abs[[#This Row],[Age]]&lt;40,"30–39",
IF(tbl_abs[[#This Row],[Age]]&lt;50,"40–49",
IF(tbl_abs[[#This Row],[Age]]&lt;60,"50–59",
"60+")))),"")</f>
        <v>50–59</v>
      </c>
      <c r="X281" s="53" t="str">
        <f>IFERROR(
IF(tbl_abs[[#This Row],[Distance from Residence to Work]]&lt;=5,"0–5",
IF(tbl_abs[[#This Row],[Distance from Residence to Work]]&lt;=10,"6–10",
IF(tbl_abs[[#This Row],[Distance from Residence to Work]]&lt;=20,"11–20",
"21+"))),"")</f>
        <v>11–20</v>
      </c>
      <c r="Y281" s="53" t="str">
        <f>IFERROR(
IF(tbl_abs[[#This Row],[Body Mass Index]]&lt;18.5,"Underweight",
IF(tbl_abs[[#This Row],[Body Mass Index]]&lt;25,"Normal",
IF(tbl_abs[[#This Row],[Body Mass Index]]&lt;30,"Overweight",
"Obese"))),"")</f>
        <v>Obese</v>
      </c>
      <c r="Z281" s="53" t="str">
        <f>IFERROR(
IF(tbl_abs[[#This Row],[Absenteeism time in hours]]&lt;=2,"0–2",
IF(tbl_abs[[#This Row],[Absenteeism time in hours]]&lt;=8,"3–8",
IF(tbl_abs[[#This Row],[Absenteeism time in hours]]&lt;=16,"9–16",
"17+"))),"")</f>
        <v>17+</v>
      </c>
    </row>
    <row r="282" spans="1:26" ht="15" customHeight="1" x14ac:dyDescent="0.3">
      <c r="A282">
        <v>10</v>
      </c>
      <c r="B282">
        <v>22</v>
      </c>
      <c r="C282" s="1">
        <v>5</v>
      </c>
      <c r="D282">
        <v>6</v>
      </c>
      <c r="E282">
        <v>3</v>
      </c>
      <c r="F282">
        <v>361</v>
      </c>
      <c r="G282" s="1">
        <v>52</v>
      </c>
      <c r="H282">
        <v>3</v>
      </c>
      <c r="I282" s="1">
        <v>28</v>
      </c>
      <c r="J282" s="2"/>
      <c r="K282">
        <v>92</v>
      </c>
      <c r="L282">
        <v>0</v>
      </c>
      <c r="M282">
        <v>1</v>
      </c>
      <c r="N282">
        <v>1</v>
      </c>
      <c r="O282">
        <v>1</v>
      </c>
      <c r="P282">
        <v>0</v>
      </c>
      <c r="Q282">
        <v>4</v>
      </c>
      <c r="R282">
        <v>80</v>
      </c>
      <c r="S282">
        <v>172</v>
      </c>
      <c r="T282">
        <v>27</v>
      </c>
      <c r="V282" s="53" t="str">
        <f>IFERROR(
IF(tbl_abs[[#This Row],[Month of absence]]=0,"Unknown",
CHOOSE(tbl_abs[[#This Row],[Month of absence]],
"Jan","Feb","Mar","Apr","May","Jun","Jul","Aug","Sep","Oct","Nov","Dec")),"")</f>
        <v>May</v>
      </c>
      <c r="W282" s="53" t="str">
        <f>IFERROR(
IF(tbl_abs[[#This Row],[Age]]&lt;30,"&lt;30",
IF(tbl_abs[[#This Row],[Age]]&lt;40,"30–39",
IF(tbl_abs[[#This Row],[Age]]&lt;50,"40–49",
IF(tbl_abs[[#This Row],[Age]]&lt;60,"50–59",
"60+")))),"")</f>
        <v>&lt;30</v>
      </c>
      <c r="X282" s="53" t="str">
        <f>IFERROR(
IF(tbl_abs[[#This Row],[Distance from Residence to Work]]&lt;=5,"0–5",
IF(tbl_abs[[#This Row],[Distance from Residence to Work]]&lt;=10,"6–10",
IF(tbl_abs[[#This Row],[Distance from Residence to Work]]&lt;=20,"11–20",
"21+"))),"")</f>
        <v>21+</v>
      </c>
      <c r="Y282" s="53" t="str">
        <f>IFERROR(
IF(tbl_abs[[#This Row],[Body Mass Index]]&lt;18.5,"Underweight",
IF(tbl_abs[[#This Row],[Body Mass Index]]&lt;25,"Normal",
IF(tbl_abs[[#This Row],[Body Mass Index]]&lt;30,"Overweight",
"Obese"))),"")</f>
        <v>Overweight</v>
      </c>
      <c r="Z282" s="53" t="str">
        <f>IFERROR(
IF(tbl_abs[[#This Row],[Absenteeism time in hours]]&lt;=2,"0–2",
IF(tbl_abs[[#This Row],[Absenteeism time in hours]]&lt;=8,"3–8",
IF(tbl_abs[[#This Row],[Absenteeism time in hours]]&lt;=16,"9–16",
"17+"))),"")</f>
        <v>0–2</v>
      </c>
    </row>
    <row r="283" spans="1:26" ht="15" customHeight="1" x14ac:dyDescent="0.3">
      <c r="A283">
        <v>5</v>
      </c>
      <c r="B283">
        <v>13</v>
      </c>
      <c r="C283" s="1">
        <v>5</v>
      </c>
      <c r="D283">
        <v>2</v>
      </c>
      <c r="E283">
        <v>3</v>
      </c>
      <c r="F283">
        <v>235</v>
      </c>
      <c r="G283" s="1">
        <v>20</v>
      </c>
      <c r="H283">
        <v>13</v>
      </c>
      <c r="I283" s="1">
        <v>43</v>
      </c>
      <c r="J283" s="2">
        <v>246074</v>
      </c>
      <c r="K283">
        <v>99</v>
      </c>
      <c r="L283">
        <v>0</v>
      </c>
      <c r="M283">
        <v>1</v>
      </c>
      <c r="N283">
        <v>1</v>
      </c>
      <c r="O283">
        <v>1</v>
      </c>
      <c r="P283">
        <v>0</v>
      </c>
      <c r="Q283">
        <v>0</v>
      </c>
      <c r="R283">
        <v>106</v>
      </c>
      <c r="S283">
        <v>167</v>
      </c>
      <c r="T283">
        <v>38</v>
      </c>
      <c r="U283">
        <v>16</v>
      </c>
      <c r="V283" s="53" t="str">
        <f>IFERROR(
IF(tbl_abs[[#This Row],[Month of absence]]=0,"Unknown",
CHOOSE(tbl_abs[[#This Row],[Month of absence]],
"Jan","Feb","Mar","Apr","May","Jun","Jul","Aug","Sep","Oct","Nov","Dec")),"")</f>
        <v>May</v>
      </c>
      <c r="W283" s="53" t="str">
        <f>IFERROR(
IF(tbl_abs[[#This Row],[Age]]&lt;30,"&lt;30",
IF(tbl_abs[[#This Row],[Age]]&lt;40,"30–39",
IF(tbl_abs[[#This Row],[Age]]&lt;50,"40–49",
IF(tbl_abs[[#This Row],[Age]]&lt;60,"50–59",
"60+")))),"")</f>
        <v>40–49</v>
      </c>
      <c r="X283" s="53" t="str">
        <f>IFERROR(
IF(tbl_abs[[#This Row],[Distance from Residence to Work]]&lt;=5,"0–5",
IF(tbl_abs[[#This Row],[Distance from Residence to Work]]&lt;=10,"6–10",
IF(tbl_abs[[#This Row],[Distance from Residence to Work]]&lt;=20,"11–20",
"21+"))),"")</f>
        <v>11–20</v>
      </c>
      <c r="Y283" s="53" t="str">
        <f>IFERROR(
IF(tbl_abs[[#This Row],[Body Mass Index]]&lt;18.5,"Underweight",
IF(tbl_abs[[#This Row],[Body Mass Index]]&lt;25,"Normal",
IF(tbl_abs[[#This Row],[Body Mass Index]]&lt;30,"Overweight",
"Obese"))),"")</f>
        <v>Obese</v>
      </c>
      <c r="Z283" s="53" t="str">
        <f>IFERROR(
IF(tbl_abs[[#This Row],[Absenteeism time in hours]]&lt;=2,"0–2",
IF(tbl_abs[[#This Row],[Absenteeism time in hours]]&lt;=8,"3–8",
IF(tbl_abs[[#This Row],[Absenteeism time in hours]]&lt;=16,"9–16",
"17+"))),"")</f>
        <v>9–16</v>
      </c>
    </row>
    <row r="284" spans="1:26" ht="15" customHeight="1" x14ac:dyDescent="0.3">
      <c r="A284">
        <v>33</v>
      </c>
      <c r="B284">
        <v>23</v>
      </c>
      <c r="C284" s="1">
        <v>5</v>
      </c>
      <c r="D284">
        <v>4</v>
      </c>
      <c r="E284">
        <v>3</v>
      </c>
      <c r="F284">
        <v>248</v>
      </c>
      <c r="G284" s="1">
        <v>25</v>
      </c>
      <c r="H284">
        <v>14</v>
      </c>
      <c r="I284" s="1">
        <v>47</v>
      </c>
      <c r="J284" s="2">
        <v>246074</v>
      </c>
      <c r="K284">
        <v>99</v>
      </c>
      <c r="L284">
        <v>0</v>
      </c>
      <c r="M284">
        <v>1</v>
      </c>
      <c r="N284">
        <v>2</v>
      </c>
      <c r="O284">
        <v>0</v>
      </c>
      <c r="P284">
        <v>0</v>
      </c>
      <c r="Q284">
        <v>1</v>
      </c>
      <c r="R284">
        <v>86</v>
      </c>
      <c r="S284">
        <v>165</v>
      </c>
      <c r="T284">
        <v>32</v>
      </c>
      <c r="U284">
        <v>2</v>
      </c>
      <c r="V284" s="53" t="str">
        <f>IFERROR(
IF(tbl_abs[[#This Row],[Month of absence]]=0,"Unknown",
CHOOSE(tbl_abs[[#This Row],[Month of absence]],
"Jan","Feb","Mar","Apr","May","Jun","Jul","Aug","Sep","Oct","Nov","Dec")),"")</f>
        <v>May</v>
      </c>
      <c r="W284" s="53" t="str">
        <f>IFERROR(
IF(tbl_abs[[#This Row],[Age]]&lt;30,"&lt;30",
IF(tbl_abs[[#This Row],[Age]]&lt;40,"30–39",
IF(tbl_abs[[#This Row],[Age]]&lt;50,"40–49",
IF(tbl_abs[[#This Row],[Age]]&lt;60,"50–59",
"60+")))),"")</f>
        <v>40–49</v>
      </c>
      <c r="X284" s="53" t="str">
        <f>IFERROR(
IF(tbl_abs[[#This Row],[Distance from Residence to Work]]&lt;=5,"0–5",
IF(tbl_abs[[#This Row],[Distance from Residence to Work]]&lt;=10,"6–10",
IF(tbl_abs[[#This Row],[Distance from Residence to Work]]&lt;=20,"11–20",
"21+"))),"")</f>
        <v>21+</v>
      </c>
      <c r="Y284" s="53" t="str">
        <f>IFERROR(
IF(tbl_abs[[#This Row],[Body Mass Index]]&lt;18.5,"Underweight",
IF(tbl_abs[[#This Row],[Body Mass Index]]&lt;25,"Normal",
IF(tbl_abs[[#This Row],[Body Mass Index]]&lt;30,"Overweight",
"Obese"))),"")</f>
        <v>Obese</v>
      </c>
      <c r="Z284" s="53" t="str">
        <f>IFERROR(
IF(tbl_abs[[#This Row],[Absenteeism time in hours]]&lt;=2,"0–2",
IF(tbl_abs[[#This Row],[Absenteeism time in hours]]&lt;=8,"3–8",
IF(tbl_abs[[#This Row],[Absenteeism time in hours]]&lt;=16,"9–16",
"17+"))),"")</f>
        <v>0–2</v>
      </c>
    </row>
    <row r="285" spans="1:26" ht="15" customHeight="1" x14ac:dyDescent="0.3">
      <c r="A285">
        <v>13</v>
      </c>
      <c r="B285">
        <v>10</v>
      </c>
      <c r="C285" s="1">
        <v>5</v>
      </c>
      <c r="D285">
        <v>2</v>
      </c>
      <c r="E285">
        <v>3</v>
      </c>
      <c r="F285">
        <v>369</v>
      </c>
      <c r="G285" s="1">
        <v>17</v>
      </c>
      <c r="H285">
        <v>12</v>
      </c>
      <c r="I285" s="1">
        <v>31</v>
      </c>
      <c r="J285" s="2">
        <v>246074</v>
      </c>
      <c r="K285">
        <v>99</v>
      </c>
      <c r="L285">
        <v>0</v>
      </c>
      <c r="M285">
        <v>1</v>
      </c>
      <c r="N285">
        <v>3</v>
      </c>
      <c r="O285">
        <v>1</v>
      </c>
      <c r="P285">
        <v>0</v>
      </c>
      <c r="Q285">
        <v>0</v>
      </c>
      <c r="R285">
        <v>70</v>
      </c>
      <c r="S285">
        <v>169</v>
      </c>
      <c r="T285">
        <v>25</v>
      </c>
      <c r="U285">
        <v>8</v>
      </c>
      <c r="V285" s="53" t="str">
        <f>IFERROR(
IF(tbl_abs[[#This Row],[Month of absence]]=0,"Unknown",
CHOOSE(tbl_abs[[#This Row],[Month of absence]],
"Jan","Feb","Mar","Apr","May","Jun","Jul","Aug","Sep","Oct","Nov","Dec")),"")</f>
        <v>May</v>
      </c>
      <c r="W285" s="53" t="str">
        <f>IFERROR(
IF(tbl_abs[[#This Row],[Age]]&lt;30,"&lt;30",
IF(tbl_abs[[#This Row],[Age]]&lt;40,"30–39",
IF(tbl_abs[[#This Row],[Age]]&lt;50,"40–49",
IF(tbl_abs[[#This Row],[Age]]&lt;60,"50–59",
"60+")))),"")</f>
        <v>30–39</v>
      </c>
      <c r="X285" s="53" t="str">
        <f>IFERROR(
IF(tbl_abs[[#This Row],[Distance from Residence to Work]]&lt;=5,"0–5",
IF(tbl_abs[[#This Row],[Distance from Residence to Work]]&lt;=10,"6–10",
IF(tbl_abs[[#This Row],[Distance from Residence to Work]]&lt;=20,"11–20",
"21+"))),"")</f>
        <v>11–20</v>
      </c>
      <c r="Y285" s="53" t="str">
        <f>IFERROR(
IF(tbl_abs[[#This Row],[Body Mass Index]]&lt;18.5,"Underweight",
IF(tbl_abs[[#This Row],[Body Mass Index]]&lt;25,"Normal",
IF(tbl_abs[[#This Row],[Body Mass Index]]&lt;30,"Overweight",
"Obese"))),"")</f>
        <v>Overweight</v>
      </c>
      <c r="Z285" s="53" t="str">
        <f>IFERROR(
IF(tbl_abs[[#This Row],[Absenteeism time in hours]]&lt;=2,"0–2",
IF(tbl_abs[[#This Row],[Absenteeism time in hours]]&lt;=8,"3–8",
IF(tbl_abs[[#This Row],[Absenteeism time in hours]]&lt;=16,"9–16",
"17+"))),"")</f>
        <v>3–8</v>
      </c>
    </row>
    <row r="286" spans="1:26" ht="15" customHeight="1" x14ac:dyDescent="0.3">
      <c r="A286">
        <v>22</v>
      </c>
      <c r="B286">
        <v>23</v>
      </c>
      <c r="C286" s="1">
        <v>5</v>
      </c>
      <c r="D286">
        <v>4</v>
      </c>
      <c r="E286">
        <v>3</v>
      </c>
      <c r="F286">
        <v>179</v>
      </c>
      <c r="G286" s="1">
        <v>26</v>
      </c>
      <c r="H286">
        <v>9</v>
      </c>
      <c r="I286" s="1">
        <v>30</v>
      </c>
      <c r="J286" s="2">
        <v>246074</v>
      </c>
      <c r="K286">
        <v>99</v>
      </c>
      <c r="L286">
        <v>0</v>
      </c>
      <c r="M286">
        <v>3</v>
      </c>
      <c r="N286">
        <v>0</v>
      </c>
      <c r="O286">
        <v>0</v>
      </c>
      <c r="P286">
        <v>0</v>
      </c>
      <c r="Q286">
        <v>0</v>
      </c>
      <c r="R286">
        <v>56</v>
      </c>
      <c r="S286">
        <v>171</v>
      </c>
      <c r="T286">
        <v>19</v>
      </c>
      <c r="U286">
        <v>3</v>
      </c>
      <c r="V286" s="53" t="str">
        <f>IFERROR(
IF(tbl_abs[[#This Row],[Month of absence]]=0,"Unknown",
CHOOSE(tbl_abs[[#This Row],[Month of absence]],
"Jan","Feb","Mar","Apr","May","Jun","Jul","Aug","Sep","Oct","Nov","Dec")),"")</f>
        <v>May</v>
      </c>
      <c r="W286" s="53" t="str">
        <f>IFERROR(
IF(tbl_abs[[#This Row],[Age]]&lt;30,"&lt;30",
IF(tbl_abs[[#This Row],[Age]]&lt;40,"30–39",
IF(tbl_abs[[#This Row],[Age]]&lt;50,"40–49",
IF(tbl_abs[[#This Row],[Age]]&lt;60,"50–59",
"60+")))),"")</f>
        <v>30–39</v>
      </c>
      <c r="X286" s="53" t="str">
        <f>IFERROR(
IF(tbl_abs[[#This Row],[Distance from Residence to Work]]&lt;=5,"0–5",
IF(tbl_abs[[#This Row],[Distance from Residence to Work]]&lt;=10,"6–10",
IF(tbl_abs[[#This Row],[Distance from Residence to Work]]&lt;=20,"11–20",
"21+"))),"")</f>
        <v>21+</v>
      </c>
      <c r="Y286" s="53" t="str">
        <f>IFERROR(
IF(tbl_abs[[#This Row],[Body Mass Index]]&lt;18.5,"Underweight",
IF(tbl_abs[[#This Row],[Body Mass Index]]&lt;25,"Normal",
IF(tbl_abs[[#This Row],[Body Mass Index]]&lt;30,"Overweight",
"Obese"))),"")</f>
        <v>Normal</v>
      </c>
      <c r="Z286" s="53" t="str">
        <f>IFERROR(
IF(tbl_abs[[#This Row],[Absenteeism time in hours]]&lt;=2,"0–2",
IF(tbl_abs[[#This Row],[Absenteeism time in hours]]&lt;=8,"3–8",
IF(tbl_abs[[#This Row],[Absenteeism time in hours]]&lt;=16,"9–16",
"17+"))),"")</f>
        <v>3–8</v>
      </c>
    </row>
    <row r="287" spans="1:26" ht="15" customHeight="1" x14ac:dyDescent="0.3">
      <c r="A287">
        <v>3</v>
      </c>
      <c r="B287">
        <v>28</v>
      </c>
      <c r="C287" s="1">
        <v>5</v>
      </c>
      <c r="D287">
        <v>4</v>
      </c>
      <c r="E287">
        <v>3</v>
      </c>
      <c r="F287">
        <v>179</v>
      </c>
      <c r="G287" s="1">
        <v>51</v>
      </c>
      <c r="H287">
        <v>18</v>
      </c>
      <c r="I287" s="1">
        <v>38</v>
      </c>
      <c r="J287" s="2">
        <v>246074</v>
      </c>
      <c r="K287">
        <v>99</v>
      </c>
      <c r="L287">
        <v>0</v>
      </c>
      <c r="M287">
        <v>1</v>
      </c>
      <c r="N287">
        <v>0</v>
      </c>
      <c r="O287">
        <v>1</v>
      </c>
      <c r="P287">
        <v>0</v>
      </c>
      <c r="Q287">
        <v>0</v>
      </c>
      <c r="R287">
        <v>89</v>
      </c>
      <c r="S287">
        <v>170</v>
      </c>
      <c r="T287">
        <v>31</v>
      </c>
      <c r="U287">
        <v>4</v>
      </c>
      <c r="V287" s="53" t="str">
        <f>IFERROR(
IF(tbl_abs[[#This Row],[Month of absence]]=0,"Unknown",
CHOOSE(tbl_abs[[#This Row],[Month of absence]],
"Jan","Feb","Mar","Apr","May","Jun","Jul","Aug","Sep","Oct","Nov","Dec")),"")</f>
        <v>May</v>
      </c>
      <c r="W287" s="53" t="str">
        <f>IFERROR(
IF(tbl_abs[[#This Row],[Age]]&lt;30,"&lt;30",
IF(tbl_abs[[#This Row],[Age]]&lt;40,"30–39",
IF(tbl_abs[[#This Row],[Age]]&lt;50,"40–49",
IF(tbl_abs[[#This Row],[Age]]&lt;60,"50–59",
"60+")))),"")</f>
        <v>30–39</v>
      </c>
      <c r="X287" s="53" t="str">
        <f>IFERROR(
IF(tbl_abs[[#This Row],[Distance from Residence to Work]]&lt;=5,"0–5",
IF(tbl_abs[[#This Row],[Distance from Residence to Work]]&lt;=10,"6–10",
IF(tbl_abs[[#This Row],[Distance from Residence to Work]]&lt;=20,"11–20",
"21+"))),"")</f>
        <v>21+</v>
      </c>
      <c r="Y287" s="53" t="str">
        <f>IFERROR(
IF(tbl_abs[[#This Row],[Body Mass Index]]&lt;18.5,"Underweight",
IF(tbl_abs[[#This Row],[Body Mass Index]]&lt;25,"Normal",
IF(tbl_abs[[#This Row],[Body Mass Index]]&lt;30,"Overweight",
"Obese"))),"")</f>
        <v>Obese</v>
      </c>
      <c r="Z287" s="53" t="str">
        <f>IFERROR(
IF(tbl_abs[[#This Row],[Absenteeism time in hours]]&lt;=2,"0–2",
IF(tbl_abs[[#This Row],[Absenteeism time in hours]]&lt;=8,"3–8",
IF(tbl_abs[[#This Row],[Absenteeism time in hours]]&lt;=16,"9–16",
"17+"))),"")</f>
        <v>3–8</v>
      </c>
    </row>
    <row r="288" spans="1:26" ht="15" customHeight="1" x14ac:dyDescent="0.3">
      <c r="A288">
        <v>10</v>
      </c>
      <c r="B288">
        <v>23</v>
      </c>
      <c r="C288" s="1">
        <v>5</v>
      </c>
      <c r="D288">
        <v>5</v>
      </c>
      <c r="E288">
        <v>3</v>
      </c>
      <c r="F288">
        <v>361</v>
      </c>
      <c r="G288" s="1">
        <v>52</v>
      </c>
      <c r="H288">
        <v>3</v>
      </c>
      <c r="I288" s="1">
        <v>28</v>
      </c>
      <c r="J288" s="2">
        <v>246074</v>
      </c>
      <c r="K288">
        <v>99</v>
      </c>
      <c r="L288">
        <v>0</v>
      </c>
      <c r="M288">
        <v>1</v>
      </c>
      <c r="N288">
        <v>1</v>
      </c>
      <c r="O288">
        <v>1</v>
      </c>
      <c r="P288">
        <v>0</v>
      </c>
      <c r="Q288">
        <v>4</v>
      </c>
      <c r="R288">
        <v>80</v>
      </c>
      <c r="S288">
        <v>172</v>
      </c>
      <c r="T288">
        <v>27</v>
      </c>
      <c r="U288">
        <v>1</v>
      </c>
      <c r="V288" s="53" t="str">
        <f>IFERROR(
IF(tbl_abs[[#This Row],[Month of absence]]=0,"Unknown",
CHOOSE(tbl_abs[[#This Row],[Month of absence]],
"Jan","Feb","Mar","Apr","May","Jun","Jul","Aug","Sep","Oct","Nov","Dec")),"")</f>
        <v>May</v>
      </c>
      <c r="W288" s="53" t="str">
        <f>IFERROR(
IF(tbl_abs[[#This Row],[Age]]&lt;30,"&lt;30",
IF(tbl_abs[[#This Row],[Age]]&lt;40,"30–39",
IF(tbl_abs[[#This Row],[Age]]&lt;50,"40–49",
IF(tbl_abs[[#This Row],[Age]]&lt;60,"50–59",
"60+")))),"")</f>
        <v>&lt;30</v>
      </c>
      <c r="X288" s="53" t="str">
        <f>IFERROR(
IF(tbl_abs[[#This Row],[Distance from Residence to Work]]&lt;=5,"0–5",
IF(tbl_abs[[#This Row],[Distance from Residence to Work]]&lt;=10,"6–10",
IF(tbl_abs[[#This Row],[Distance from Residence to Work]]&lt;=20,"11–20",
"21+"))),"")</f>
        <v>21+</v>
      </c>
      <c r="Y288" s="53" t="str">
        <f>IFERROR(
IF(tbl_abs[[#This Row],[Body Mass Index]]&lt;18.5,"Underweight",
IF(tbl_abs[[#This Row],[Body Mass Index]]&lt;25,"Normal",
IF(tbl_abs[[#This Row],[Body Mass Index]]&lt;30,"Overweight",
"Obese"))),"")</f>
        <v>Overweight</v>
      </c>
      <c r="Z288" s="53" t="str">
        <f>IFERROR(
IF(tbl_abs[[#This Row],[Absenteeism time in hours]]&lt;=2,"0–2",
IF(tbl_abs[[#This Row],[Absenteeism time in hours]]&lt;=8,"3–8",
IF(tbl_abs[[#This Row],[Absenteeism time in hours]]&lt;=16,"9–16",
"17+"))),"")</f>
        <v>0–2</v>
      </c>
    </row>
    <row r="289" spans="1:26" ht="15" customHeight="1" x14ac:dyDescent="0.3">
      <c r="A289">
        <v>20</v>
      </c>
      <c r="B289">
        <v>28</v>
      </c>
      <c r="C289" s="1">
        <v>5</v>
      </c>
      <c r="D289">
        <v>6</v>
      </c>
      <c r="E289">
        <v>3</v>
      </c>
      <c r="F289">
        <v>260</v>
      </c>
      <c r="G289" s="1">
        <v>50</v>
      </c>
      <c r="H289">
        <v>11</v>
      </c>
      <c r="I289" s="1">
        <v>36</v>
      </c>
      <c r="J289" s="2">
        <v>246074</v>
      </c>
      <c r="K289">
        <v>99</v>
      </c>
      <c r="L289">
        <v>0</v>
      </c>
      <c r="M289">
        <v>1</v>
      </c>
      <c r="N289">
        <v>4</v>
      </c>
      <c r="O289">
        <v>1</v>
      </c>
      <c r="P289">
        <v>0</v>
      </c>
      <c r="Q289">
        <v>0</v>
      </c>
      <c r="R289">
        <v>65</v>
      </c>
      <c r="S289">
        <v>168</v>
      </c>
      <c r="T289">
        <v>23</v>
      </c>
      <c r="U289">
        <v>3</v>
      </c>
      <c r="V289" s="53" t="str">
        <f>IFERROR(
IF(tbl_abs[[#This Row],[Month of absence]]=0,"Unknown",
CHOOSE(tbl_abs[[#This Row],[Month of absence]],
"Jan","Feb","Mar","Apr","May","Jun","Jul","Aug","Sep","Oct","Nov","Dec")),"")</f>
        <v>May</v>
      </c>
      <c r="W289" s="53" t="str">
        <f>IFERROR(
IF(tbl_abs[[#This Row],[Age]]&lt;30,"&lt;30",
IF(tbl_abs[[#This Row],[Age]]&lt;40,"30–39",
IF(tbl_abs[[#This Row],[Age]]&lt;50,"40–49",
IF(tbl_abs[[#This Row],[Age]]&lt;60,"50–59",
"60+")))),"")</f>
        <v>30–39</v>
      </c>
      <c r="X289" s="53" t="str">
        <f>IFERROR(
IF(tbl_abs[[#This Row],[Distance from Residence to Work]]&lt;=5,"0–5",
IF(tbl_abs[[#This Row],[Distance from Residence to Work]]&lt;=10,"6–10",
IF(tbl_abs[[#This Row],[Distance from Residence to Work]]&lt;=20,"11–20",
"21+"))),"")</f>
        <v>21+</v>
      </c>
      <c r="Y289" s="53" t="str">
        <f>IFERROR(
IF(tbl_abs[[#This Row],[Body Mass Index]]&lt;18.5,"Underweight",
IF(tbl_abs[[#This Row],[Body Mass Index]]&lt;25,"Normal",
IF(tbl_abs[[#This Row],[Body Mass Index]]&lt;30,"Overweight",
"Obese"))),"")</f>
        <v>Normal</v>
      </c>
      <c r="Z289" s="53" t="str">
        <f>IFERROR(
IF(tbl_abs[[#This Row],[Absenteeism time in hours]]&lt;=2,"0–2",
IF(tbl_abs[[#This Row],[Absenteeism time in hours]]&lt;=8,"3–8",
IF(tbl_abs[[#This Row],[Absenteeism time in hours]]&lt;=16,"9–16",
"17+"))),"")</f>
        <v>3–8</v>
      </c>
    </row>
    <row r="290" spans="1:26" ht="15" customHeight="1" x14ac:dyDescent="0.3">
      <c r="A290">
        <v>17</v>
      </c>
      <c r="B290">
        <v>11</v>
      </c>
      <c r="C290" s="1">
        <v>5</v>
      </c>
      <c r="D290">
        <v>2</v>
      </c>
      <c r="E290">
        <v>3</v>
      </c>
      <c r="F290">
        <v>179</v>
      </c>
      <c r="G290" s="1">
        <v>22</v>
      </c>
      <c r="H290">
        <v>17</v>
      </c>
      <c r="I290" s="1">
        <v>40</v>
      </c>
      <c r="J290" s="2">
        <v>246074</v>
      </c>
      <c r="K290">
        <v>99</v>
      </c>
      <c r="L290">
        <v>0</v>
      </c>
      <c r="M290">
        <v>2</v>
      </c>
      <c r="N290">
        <v>2</v>
      </c>
      <c r="O290">
        <v>0</v>
      </c>
      <c r="P290">
        <v>1</v>
      </c>
      <c r="Q290">
        <v>0</v>
      </c>
      <c r="R290">
        <v>63</v>
      </c>
      <c r="S290">
        <v>170</v>
      </c>
      <c r="T290">
        <v>22</v>
      </c>
      <c r="U290">
        <v>2</v>
      </c>
      <c r="V290" s="53" t="str">
        <f>IFERROR(
IF(tbl_abs[[#This Row],[Month of absence]]=0,"Unknown",
CHOOSE(tbl_abs[[#This Row],[Month of absence]],
"Jan","Feb","Mar","Apr","May","Jun","Jul","Aug","Sep","Oct","Nov","Dec")),"")</f>
        <v>May</v>
      </c>
      <c r="W290" s="53" t="str">
        <f>IFERROR(
IF(tbl_abs[[#This Row],[Age]]&lt;30,"&lt;30",
IF(tbl_abs[[#This Row],[Age]]&lt;40,"30–39",
IF(tbl_abs[[#This Row],[Age]]&lt;50,"40–49",
IF(tbl_abs[[#This Row],[Age]]&lt;60,"50–59",
"60+")))),"")</f>
        <v>40–49</v>
      </c>
      <c r="X290" s="53" t="str">
        <f>IFERROR(
IF(tbl_abs[[#This Row],[Distance from Residence to Work]]&lt;=5,"0–5",
IF(tbl_abs[[#This Row],[Distance from Residence to Work]]&lt;=10,"6–10",
IF(tbl_abs[[#This Row],[Distance from Residence to Work]]&lt;=20,"11–20",
"21+"))),"")</f>
        <v>21+</v>
      </c>
      <c r="Y290" s="53" t="str">
        <f>IFERROR(
IF(tbl_abs[[#This Row],[Body Mass Index]]&lt;18.5,"Underweight",
IF(tbl_abs[[#This Row],[Body Mass Index]]&lt;25,"Normal",
IF(tbl_abs[[#This Row],[Body Mass Index]]&lt;30,"Overweight",
"Obese"))),"")</f>
        <v>Normal</v>
      </c>
      <c r="Z290" s="53" t="str">
        <f>IFERROR(
IF(tbl_abs[[#This Row],[Absenteeism time in hours]]&lt;=2,"0–2",
IF(tbl_abs[[#This Row],[Absenteeism time in hours]]&lt;=8,"3–8",
IF(tbl_abs[[#This Row],[Absenteeism time in hours]]&lt;=16,"9–16",
"17+"))),"")</f>
        <v>0–2</v>
      </c>
    </row>
    <row r="291" spans="1:26" ht="15" customHeight="1" x14ac:dyDescent="0.3">
      <c r="A291">
        <v>17</v>
      </c>
      <c r="B291">
        <v>8</v>
      </c>
      <c r="C291" s="1">
        <v>5</v>
      </c>
      <c r="D291">
        <v>2</v>
      </c>
      <c r="E291">
        <v>3</v>
      </c>
      <c r="F291">
        <v>179</v>
      </c>
      <c r="G291" s="1">
        <v>22</v>
      </c>
      <c r="H291">
        <v>17</v>
      </c>
      <c r="I291" s="1">
        <v>40</v>
      </c>
      <c r="J291" s="2">
        <v>246074</v>
      </c>
      <c r="K291">
        <v>99</v>
      </c>
      <c r="L291">
        <v>0</v>
      </c>
      <c r="M291">
        <v>2</v>
      </c>
      <c r="N291">
        <v>2</v>
      </c>
      <c r="O291">
        <v>0</v>
      </c>
      <c r="P291">
        <v>1</v>
      </c>
      <c r="Q291">
        <v>0</v>
      </c>
      <c r="R291">
        <v>63</v>
      </c>
      <c r="S291">
        <v>170</v>
      </c>
      <c r="T291">
        <v>22</v>
      </c>
      <c r="U291">
        <v>3</v>
      </c>
      <c r="V291" s="53" t="str">
        <f>IFERROR(
IF(tbl_abs[[#This Row],[Month of absence]]=0,"Unknown",
CHOOSE(tbl_abs[[#This Row],[Month of absence]],
"Jan","Feb","Mar","Apr","May","Jun","Jul","Aug","Sep","Oct","Nov","Dec")),"")</f>
        <v>May</v>
      </c>
      <c r="W291" s="53" t="str">
        <f>IFERROR(
IF(tbl_abs[[#This Row],[Age]]&lt;30,"&lt;30",
IF(tbl_abs[[#This Row],[Age]]&lt;40,"30–39",
IF(tbl_abs[[#This Row],[Age]]&lt;50,"40–49",
IF(tbl_abs[[#This Row],[Age]]&lt;60,"50–59",
"60+")))),"")</f>
        <v>40–49</v>
      </c>
      <c r="X291" s="53" t="str">
        <f>IFERROR(
IF(tbl_abs[[#This Row],[Distance from Residence to Work]]&lt;=5,"0–5",
IF(tbl_abs[[#This Row],[Distance from Residence to Work]]&lt;=10,"6–10",
IF(tbl_abs[[#This Row],[Distance from Residence to Work]]&lt;=20,"11–20",
"21+"))),"")</f>
        <v>21+</v>
      </c>
      <c r="Y291" s="53" t="str">
        <f>IFERROR(
IF(tbl_abs[[#This Row],[Body Mass Index]]&lt;18.5,"Underweight",
IF(tbl_abs[[#This Row],[Body Mass Index]]&lt;25,"Normal",
IF(tbl_abs[[#This Row],[Body Mass Index]]&lt;30,"Overweight",
"Obese"))),"")</f>
        <v>Normal</v>
      </c>
      <c r="Z291" s="53" t="str">
        <f>IFERROR(
IF(tbl_abs[[#This Row],[Absenteeism time in hours]]&lt;=2,"0–2",
IF(tbl_abs[[#This Row],[Absenteeism time in hours]]&lt;=8,"3–8",
IF(tbl_abs[[#This Row],[Absenteeism time in hours]]&lt;=16,"9–16",
"17+"))),"")</f>
        <v>3–8</v>
      </c>
    </row>
    <row r="292" spans="1:26" ht="15" customHeight="1" x14ac:dyDescent="0.3">
      <c r="A292">
        <v>9</v>
      </c>
      <c r="B292">
        <v>18</v>
      </c>
      <c r="C292" s="1">
        <v>5</v>
      </c>
      <c r="D292">
        <v>4</v>
      </c>
      <c r="E292">
        <v>3</v>
      </c>
      <c r="F292">
        <v>228</v>
      </c>
      <c r="G292" s="1">
        <v>14</v>
      </c>
      <c r="H292">
        <v>16</v>
      </c>
      <c r="I292" s="1">
        <v>58</v>
      </c>
      <c r="J292" s="2">
        <v>246074</v>
      </c>
      <c r="K292">
        <v>99</v>
      </c>
      <c r="L292">
        <v>0</v>
      </c>
      <c r="M292">
        <v>1</v>
      </c>
      <c r="N292">
        <v>2</v>
      </c>
      <c r="O292">
        <v>0</v>
      </c>
      <c r="P292">
        <v>0</v>
      </c>
      <c r="Q292">
        <v>1</v>
      </c>
      <c r="R292">
        <v>65</v>
      </c>
      <c r="S292">
        <v>172</v>
      </c>
      <c r="T292">
        <v>22</v>
      </c>
      <c r="U292">
        <v>8</v>
      </c>
      <c r="V292" s="53" t="str">
        <f>IFERROR(
IF(tbl_abs[[#This Row],[Month of absence]]=0,"Unknown",
CHOOSE(tbl_abs[[#This Row],[Month of absence]],
"Jan","Feb","Mar","Apr","May","Jun","Jul","Aug","Sep","Oct","Nov","Dec")),"")</f>
        <v>May</v>
      </c>
      <c r="W292" s="53" t="str">
        <f>IFERROR(
IF(tbl_abs[[#This Row],[Age]]&lt;30,"&lt;30",
IF(tbl_abs[[#This Row],[Age]]&lt;40,"30–39",
IF(tbl_abs[[#This Row],[Age]]&lt;50,"40–49",
IF(tbl_abs[[#This Row],[Age]]&lt;60,"50–59",
"60+")))),"")</f>
        <v>50–59</v>
      </c>
      <c r="X292" s="53" t="str">
        <f>IFERROR(
IF(tbl_abs[[#This Row],[Distance from Residence to Work]]&lt;=5,"0–5",
IF(tbl_abs[[#This Row],[Distance from Residence to Work]]&lt;=10,"6–10",
IF(tbl_abs[[#This Row],[Distance from Residence to Work]]&lt;=20,"11–20",
"21+"))),"")</f>
        <v>11–20</v>
      </c>
      <c r="Y292" s="53" t="str">
        <f>IFERROR(
IF(tbl_abs[[#This Row],[Body Mass Index]]&lt;18.5,"Underweight",
IF(tbl_abs[[#This Row],[Body Mass Index]]&lt;25,"Normal",
IF(tbl_abs[[#This Row],[Body Mass Index]]&lt;30,"Overweight",
"Obese"))),"")</f>
        <v>Normal</v>
      </c>
      <c r="Z292" s="53" t="str">
        <f>IFERROR(
IF(tbl_abs[[#This Row],[Absenteeism time in hours]]&lt;=2,"0–2",
IF(tbl_abs[[#This Row],[Absenteeism time in hours]]&lt;=8,"3–8",
IF(tbl_abs[[#This Row],[Absenteeism time in hours]]&lt;=16,"9–16",
"17+"))),"")</f>
        <v>3–8</v>
      </c>
    </row>
    <row r="293" spans="1:26" ht="15" customHeight="1" x14ac:dyDescent="0.3">
      <c r="A293">
        <v>28</v>
      </c>
      <c r="B293">
        <v>25</v>
      </c>
      <c r="C293" s="1">
        <v>5</v>
      </c>
      <c r="D293">
        <v>4</v>
      </c>
      <c r="E293">
        <v>3</v>
      </c>
      <c r="F293">
        <v>225</v>
      </c>
      <c r="G293" s="1">
        <v>26</v>
      </c>
      <c r="H293">
        <v>9</v>
      </c>
      <c r="I293" s="1">
        <v>28</v>
      </c>
      <c r="J293" s="2">
        <v>246074</v>
      </c>
      <c r="K293">
        <v>99</v>
      </c>
      <c r="L293">
        <v>0</v>
      </c>
      <c r="M293">
        <v>1</v>
      </c>
      <c r="N293">
        <v>1</v>
      </c>
      <c r="O293">
        <v>0</v>
      </c>
      <c r="P293">
        <v>0</v>
      </c>
      <c r="Q293">
        <v>2</v>
      </c>
      <c r="R293">
        <v>69</v>
      </c>
      <c r="S293">
        <v>169</v>
      </c>
      <c r="T293">
        <v>24</v>
      </c>
      <c r="U293">
        <v>3</v>
      </c>
      <c r="V293" s="53" t="str">
        <f>IFERROR(
IF(tbl_abs[[#This Row],[Month of absence]]=0,"Unknown",
CHOOSE(tbl_abs[[#This Row],[Month of absence]],
"Jan","Feb","Mar","Apr","May","Jun","Jul","Aug","Sep","Oct","Nov","Dec")),"")</f>
        <v>May</v>
      </c>
      <c r="W293" s="53" t="str">
        <f>IFERROR(
IF(tbl_abs[[#This Row],[Age]]&lt;30,"&lt;30",
IF(tbl_abs[[#This Row],[Age]]&lt;40,"30–39",
IF(tbl_abs[[#This Row],[Age]]&lt;50,"40–49",
IF(tbl_abs[[#This Row],[Age]]&lt;60,"50–59",
"60+")))),"")</f>
        <v>&lt;30</v>
      </c>
      <c r="X293" s="53" t="str">
        <f>IFERROR(
IF(tbl_abs[[#This Row],[Distance from Residence to Work]]&lt;=5,"0–5",
IF(tbl_abs[[#This Row],[Distance from Residence to Work]]&lt;=10,"6–10",
IF(tbl_abs[[#This Row],[Distance from Residence to Work]]&lt;=20,"11–20",
"21+"))),"")</f>
        <v>21+</v>
      </c>
      <c r="Y293" s="53" t="str">
        <f>IFERROR(
IF(tbl_abs[[#This Row],[Body Mass Index]]&lt;18.5,"Underweight",
IF(tbl_abs[[#This Row],[Body Mass Index]]&lt;25,"Normal",
IF(tbl_abs[[#This Row],[Body Mass Index]]&lt;30,"Overweight",
"Obese"))),"")</f>
        <v>Normal</v>
      </c>
      <c r="Z293" s="53" t="str">
        <f>IFERROR(
IF(tbl_abs[[#This Row],[Absenteeism time in hours]]&lt;=2,"0–2",
IF(tbl_abs[[#This Row],[Absenteeism time in hours]]&lt;=8,"3–8",
IF(tbl_abs[[#This Row],[Absenteeism time in hours]]&lt;=16,"9–16",
"17+"))),"")</f>
        <v>3–8</v>
      </c>
    </row>
    <row r="294" spans="1:26" ht="15" customHeight="1" x14ac:dyDescent="0.3">
      <c r="A294">
        <v>18</v>
      </c>
      <c r="B294">
        <v>13</v>
      </c>
      <c r="C294" s="1">
        <v>5</v>
      </c>
      <c r="D294">
        <v>6</v>
      </c>
      <c r="E294">
        <v>3</v>
      </c>
      <c r="F294">
        <v>330</v>
      </c>
      <c r="G294" s="1">
        <v>16</v>
      </c>
      <c r="H294">
        <v>4</v>
      </c>
      <c r="I294" s="1">
        <v>28</v>
      </c>
      <c r="J294" s="2">
        <v>246074</v>
      </c>
      <c r="K294">
        <v>99</v>
      </c>
      <c r="L294">
        <v>0</v>
      </c>
      <c r="M294">
        <v>2</v>
      </c>
      <c r="N294">
        <v>0</v>
      </c>
      <c r="O294">
        <v>0</v>
      </c>
      <c r="P294">
        <v>0</v>
      </c>
      <c r="Q294">
        <v>0</v>
      </c>
      <c r="R294">
        <v>84</v>
      </c>
      <c r="S294">
        <v>182</v>
      </c>
      <c r="T294">
        <v>25</v>
      </c>
      <c r="U294">
        <v>8</v>
      </c>
      <c r="V294" s="53" t="str">
        <f>IFERROR(
IF(tbl_abs[[#This Row],[Month of absence]]=0,"Unknown",
CHOOSE(tbl_abs[[#This Row],[Month of absence]],
"Jan","Feb","Mar","Apr","May","Jun","Jul","Aug","Sep","Oct","Nov","Dec")),"")</f>
        <v>May</v>
      </c>
      <c r="W294" s="53" t="str">
        <f>IFERROR(
IF(tbl_abs[[#This Row],[Age]]&lt;30,"&lt;30",
IF(tbl_abs[[#This Row],[Age]]&lt;40,"30–39",
IF(tbl_abs[[#This Row],[Age]]&lt;50,"40–49",
IF(tbl_abs[[#This Row],[Age]]&lt;60,"50–59",
"60+")))),"")</f>
        <v>&lt;30</v>
      </c>
      <c r="X294" s="53" t="str">
        <f>IFERROR(
IF(tbl_abs[[#This Row],[Distance from Residence to Work]]&lt;=5,"0–5",
IF(tbl_abs[[#This Row],[Distance from Residence to Work]]&lt;=10,"6–10",
IF(tbl_abs[[#This Row],[Distance from Residence to Work]]&lt;=20,"11–20",
"21+"))),"")</f>
        <v>11–20</v>
      </c>
      <c r="Y294" s="53" t="str">
        <f>IFERROR(
IF(tbl_abs[[#This Row],[Body Mass Index]]&lt;18.5,"Underweight",
IF(tbl_abs[[#This Row],[Body Mass Index]]&lt;25,"Normal",
IF(tbl_abs[[#This Row],[Body Mass Index]]&lt;30,"Overweight",
"Obese"))),"")</f>
        <v>Overweight</v>
      </c>
      <c r="Z294" s="53" t="str">
        <f>IFERROR(
IF(tbl_abs[[#This Row],[Absenteeism time in hours]]&lt;=2,"0–2",
IF(tbl_abs[[#This Row],[Absenteeism time in hours]]&lt;=8,"3–8",
IF(tbl_abs[[#This Row],[Absenteeism time in hours]]&lt;=16,"9–16",
"17+"))),"")</f>
        <v>3–8</v>
      </c>
    </row>
    <row r="295" spans="1:26" ht="15" customHeight="1" x14ac:dyDescent="0.3">
      <c r="A295">
        <v>22</v>
      </c>
      <c r="B295">
        <v>25</v>
      </c>
      <c r="C295" s="1">
        <v>5</v>
      </c>
      <c r="D295">
        <v>2</v>
      </c>
      <c r="E295">
        <v>3</v>
      </c>
      <c r="F295">
        <v>179</v>
      </c>
      <c r="G295" s="1">
        <v>26</v>
      </c>
      <c r="H295">
        <v>9</v>
      </c>
      <c r="I295" s="1">
        <v>30</v>
      </c>
      <c r="J295" s="2">
        <v>246074</v>
      </c>
      <c r="K295">
        <v>99</v>
      </c>
      <c r="L295">
        <v>0</v>
      </c>
      <c r="M295">
        <v>3</v>
      </c>
      <c r="N295">
        <v>0</v>
      </c>
      <c r="O295">
        <v>0</v>
      </c>
      <c r="P295">
        <v>0</v>
      </c>
      <c r="Q295">
        <v>0</v>
      </c>
      <c r="R295">
        <v>56</v>
      </c>
      <c r="S295">
        <v>171</v>
      </c>
      <c r="T295">
        <v>19</v>
      </c>
      <c r="U295">
        <v>2</v>
      </c>
      <c r="V295" s="53" t="str">
        <f>IFERROR(
IF(tbl_abs[[#This Row],[Month of absence]]=0,"Unknown",
CHOOSE(tbl_abs[[#This Row],[Month of absence]],
"Jan","Feb","Mar","Apr","May","Jun","Jul","Aug","Sep","Oct","Nov","Dec")),"")</f>
        <v>May</v>
      </c>
      <c r="W295" s="53" t="str">
        <f>IFERROR(
IF(tbl_abs[[#This Row],[Age]]&lt;30,"&lt;30",
IF(tbl_abs[[#This Row],[Age]]&lt;40,"30–39",
IF(tbl_abs[[#This Row],[Age]]&lt;50,"40–49",
IF(tbl_abs[[#This Row],[Age]]&lt;60,"50–59",
"60+")))),"")</f>
        <v>30–39</v>
      </c>
      <c r="X295" s="53" t="str">
        <f>IFERROR(
IF(tbl_abs[[#This Row],[Distance from Residence to Work]]&lt;=5,"0–5",
IF(tbl_abs[[#This Row],[Distance from Residence to Work]]&lt;=10,"6–10",
IF(tbl_abs[[#This Row],[Distance from Residence to Work]]&lt;=20,"11–20",
"21+"))),"")</f>
        <v>21+</v>
      </c>
      <c r="Y295" s="53" t="str">
        <f>IFERROR(
IF(tbl_abs[[#This Row],[Body Mass Index]]&lt;18.5,"Underweight",
IF(tbl_abs[[#This Row],[Body Mass Index]]&lt;25,"Normal",
IF(tbl_abs[[#This Row],[Body Mass Index]]&lt;30,"Overweight",
"Obese"))),"")</f>
        <v>Normal</v>
      </c>
      <c r="Z295" s="53" t="str">
        <f>IFERROR(
IF(tbl_abs[[#This Row],[Absenteeism time in hours]]&lt;=2,"0–2",
IF(tbl_abs[[#This Row],[Absenteeism time in hours]]&lt;=8,"3–8",
IF(tbl_abs[[#This Row],[Absenteeism time in hours]]&lt;=16,"9–16",
"17+"))),"")</f>
        <v>0–2</v>
      </c>
    </row>
    <row r="296" spans="1:26" ht="15" customHeight="1" x14ac:dyDescent="0.3">
      <c r="A296">
        <v>34</v>
      </c>
      <c r="B296">
        <v>28</v>
      </c>
      <c r="C296" s="1">
        <v>5</v>
      </c>
      <c r="D296">
        <v>2</v>
      </c>
      <c r="E296">
        <v>3</v>
      </c>
      <c r="F296">
        <v>118</v>
      </c>
      <c r="G296" s="1">
        <v>10</v>
      </c>
      <c r="H296">
        <v>10</v>
      </c>
      <c r="I296" s="1">
        <v>37</v>
      </c>
      <c r="J296" s="2">
        <v>246074</v>
      </c>
      <c r="K296">
        <v>99</v>
      </c>
      <c r="L296">
        <v>0</v>
      </c>
      <c r="M296">
        <v>1</v>
      </c>
      <c r="N296">
        <v>0</v>
      </c>
      <c r="O296">
        <v>0</v>
      </c>
      <c r="P296">
        <v>0</v>
      </c>
      <c r="Q296">
        <v>0</v>
      </c>
      <c r="R296">
        <v>83</v>
      </c>
      <c r="S296">
        <v>172</v>
      </c>
      <c r="T296">
        <v>28</v>
      </c>
      <c r="U296">
        <v>1</v>
      </c>
      <c r="V296" s="53" t="str">
        <f>IFERROR(
IF(tbl_abs[[#This Row],[Month of absence]]=0,"Unknown",
CHOOSE(tbl_abs[[#This Row],[Month of absence]],
"Jan","Feb","Mar","Apr","May","Jun","Jul","Aug","Sep","Oct","Nov","Dec")),"")</f>
        <v>May</v>
      </c>
      <c r="W296" s="53" t="str">
        <f>IFERROR(
IF(tbl_abs[[#This Row],[Age]]&lt;30,"&lt;30",
IF(tbl_abs[[#This Row],[Age]]&lt;40,"30–39",
IF(tbl_abs[[#This Row],[Age]]&lt;50,"40–49",
IF(tbl_abs[[#This Row],[Age]]&lt;60,"50–59",
"60+")))),"")</f>
        <v>30–39</v>
      </c>
      <c r="X296" s="53" t="str">
        <f>IFERROR(
IF(tbl_abs[[#This Row],[Distance from Residence to Work]]&lt;=5,"0–5",
IF(tbl_abs[[#This Row],[Distance from Residence to Work]]&lt;=10,"6–10",
IF(tbl_abs[[#This Row],[Distance from Residence to Work]]&lt;=20,"11–20",
"21+"))),"")</f>
        <v>6–10</v>
      </c>
      <c r="Y296" s="53" t="str">
        <f>IFERROR(
IF(tbl_abs[[#This Row],[Body Mass Index]]&lt;18.5,"Underweight",
IF(tbl_abs[[#This Row],[Body Mass Index]]&lt;25,"Normal",
IF(tbl_abs[[#This Row],[Body Mass Index]]&lt;30,"Overweight",
"Obese"))),"")</f>
        <v>Overweight</v>
      </c>
      <c r="Z296" s="53" t="str">
        <f>IFERROR(
IF(tbl_abs[[#This Row],[Absenteeism time in hours]]&lt;=2,"0–2",
IF(tbl_abs[[#This Row],[Absenteeism time in hours]]&lt;=8,"3–8",
IF(tbl_abs[[#This Row],[Absenteeism time in hours]]&lt;=16,"9–16",
"17+"))),"")</f>
        <v>0–2</v>
      </c>
    </row>
    <row r="297" spans="1:26" ht="15" customHeight="1" x14ac:dyDescent="0.3">
      <c r="A297">
        <v>1</v>
      </c>
      <c r="B297">
        <v>1</v>
      </c>
      <c r="C297" s="1">
        <v>5</v>
      </c>
      <c r="D297">
        <v>2</v>
      </c>
      <c r="E297">
        <v>3</v>
      </c>
      <c r="F297">
        <v>235</v>
      </c>
      <c r="G297" s="1">
        <v>11</v>
      </c>
      <c r="H297">
        <v>14</v>
      </c>
      <c r="I297" s="1">
        <v>37</v>
      </c>
      <c r="J297" s="2">
        <v>246074</v>
      </c>
      <c r="K297">
        <v>99</v>
      </c>
      <c r="L297">
        <v>0</v>
      </c>
      <c r="M297">
        <v>3</v>
      </c>
      <c r="N297">
        <v>1</v>
      </c>
      <c r="O297">
        <v>0</v>
      </c>
      <c r="P297">
        <v>0</v>
      </c>
      <c r="Q297">
        <v>1</v>
      </c>
      <c r="R297">
        <v>88</v>
      </c>
      <c r="S297">
        <v>172</v>
      </c>
      <c r="T297">
        <v>29</v>
      </c>
      <c r="U297">
        <v>8</v>
      </c>
      <c r="V297" s="53" t="str">
        <f>IFERROR(
IF(tbl_abs[[#This Row],[Month of absence]]=0,"Unknown",
CHOOSE(tbl_abs[[#This Row],[Month of absence]],
"Jan","Feb","Mar","Apr","May","Jun","Jul","Aug","Sep","Oct","Nov","Dec")),"")</f>
        <v>May</v>
      </c>
      <c r="W297" s="53" t="str">
        <f>IFERROR(
IF(tbl_abs[[#This Row],[Age]]&lt;30,"&lt;30",
IF(tbl_abs[[#This Row],[Age]]&lt;40,"30–39",
IF(tbl_abs[[#This Row],[Age]]&lt;50,"40–49",
IF(tbl_abs[[#This Row],[Age]]&lt;60,"50–59",
"60+")))),"")</f>
        <v>30–39</v>
      </c>
      <c r="X297" s="53" t="str">
        <f>IFERROR(
IF(tbl_abs[[#This Row],[Distance from Residence to Work]]&lt;=5,"0–5",
IF(tbl_abs[[#This Row],[Distance from Residence to Work]]&lt;=10,"6–10",
IF(tbl_abs[[#This Row],[Distance from Residence to Work]]&lt;=20,"11–20",
"21+"))),"")</f>
        <v>11–20</v>
      </c>
      <c r="Y297" s="53" t="str">
        <f>IFERROR(
IF(tbl_abs[[#This Row],[Body Mass Index]]&lt;18.5,"Underweight",
IF(tbl_abs[[#This Row],[Body Mass Index]]&lt;25,"Normal",
IF(tbl_abs[[#This Row],[Body Mass Index]]&lt;30,"Overweight",
"Obese"))),"")</f>
        <v>Overweight</v>
      </c>
      <c r="Z297" s="53" t="str">
        <f>IFERROR(
IF(tbl_abs[[#This Row],[Absenteeism time in hours]]&lt;=2,"0–2",
IF(tbl_abs[[#This Row],[Absenteeism time in hours]]&lt;=8,"3–8",
IF(tbl_abs[[#This Row],[Absenteeism time in hours]]&lt;=16,"9–16",
"17+"))),"")</f>
        <v>3–8</v>
      </c>
    </row>
    <row r="298" spans="1:26" ht="15" customHeight="1" x14ac:dyDescent="0.3">
      <c r="A298">
        <v>22</v>
      </c>
      <c r="B298">
        <v>23</v>
      </c>
      <c r="C298" s="1">
        <v>5</v>
      </c>
      <c r="D298">
        <v>4</v>
      </c>
      <c r="E298">
        <v>3</v>
      </c>
      <c r="F298">
        <v>179</v>
      </c>
      <c r="G298" s="1">
        <v>26</v>
      </c>
      <c r="H298">
        <v>9</v>
      </c>
      <c r="I298" s="1">
        <v>30</v>
      </c>
      <c r="J298" s="2">
        <v>246074</v>
      </c>
      <c r="K298">
        <v>99</v>
      </c>
      <c r="L298">
        <v>0</v>
      </c>
      <c r="M298">
        <v>3</v>
      </c>
      <c r="N298">
        <v>0</v>
      </c>
      <c r="O298">
        <v>0</v>
      </c>
      <c r="P298">
        <v>0</v>
      </c>
      <c r="Q298">
        <v>0</v>
      </c>
      <c r="R298">
        <v>56</v>
      </c>
      <c r="S298">
        <v>171</v>
      </c>
      <c r="T298">
        <v>19</v>
      </c>
      <c r="U298">
        <v>3</v>
      </c>
      <c r="V298" s="53" t="str">
        <f>IFERROR(
IF(tbl_abs[[#This Row],[Month of absence]]=0,"Unknown",
CHOOSE(tbl_abs[[#This Row],[Month of absence]],
"Jan","Feb","Mar","Apr","May","Jun","Jul","Aug","Sep","Oct","Nov","Dec")),"")</f>
        <v>May</v>
      </c>
      <c r="W298" s="53" t="str">
        <f>IFERROR(
IF(tbl_abs[[#This Row],[Age]]&lt;30,"&lt;30",
IF(tbl_abs[[#This Row],[Age]]&lt;40,"30–39",
IF(tbl_abs[[#This Row],[Age]]&lt;50,"40–49",
IF(tbl_abs[[#This Row],[Age]]&lt;60,"50–59",
"60+")))),"")</f>
        <v>30–39</v>
      </c>
      <c r="X298" s="53" t="str">
        <f>IFERROR(
IF(tbl_abs[[#This Row],[Distance from Residence to Work]]&lt;=5,"0–5",
IF(tbl_abs[[#This Row],[Distance from Residence to Work]]&lt;=10,"6–10",
IF(tbl_abs[[#This Row],[Distance from Residence to Work]]&lt;=20,"11–20",
"21+"))),"")</f>
        <v>21+</v>
      </c>
      <c r="Y298" s="53" t="str">
        <f>IFERROR(
IF(tbl_abs[[#This Row],[Body Mass Index]]&lt;18.5,"Underweight",
IF(tbl_abs[[#This Row],[Body Mass Index]]&lt;25,"Normal",
IF(tbl_abs[[#This Row],[Body Mass Index]]&lt;30,"Overweight",
"Obese"))),"")</f>
        <v>Normal</v>
      </c>
      <c r="Z298" s="53" t="str">
        <f>IFERROR(
IF(tbl_abs[[#This Row],[Absenteeism time in hours]]&lt;=2,"0–2",
IF(tbl_abs[[#This Row],[Absenteeism time in hours]]&lt;=8,"3–8",
IF(tbl_abs[[#This Row],[Absenteeism time in hours]]&lt;=16,"9–16",
"17+"))),"")</f>
        <v>3–8</v>
      </c>
    </row>
    <row r="299" spans="1:26" ht="15" customHeight="1" x14ac:dyDescent="0.3">
      <c r="A299">
        <v>1</v>
      </c>
      <c r="B299">
        <v>22</v>
      </c>
      <c r="C299" s="1">
        <v>5</v>
      </c>
      <c r="D299">
        <v>2</v>
      </c>
      <c r="E299">
        <v>3</v>
      </c>
      <c r="F299">
        <v>235</v>
      </c>
      <c r="G299" s="1">
        <v>11</v>
      </c>
      <c r="H299">
        <v>14</v>
      </c>
      <c r="I299" s="1">
        <v>37</v>
      </c>
      <c r="J299" s="2">
        <v>237656</v>
      </c>
      <c r="K299">
        <v>99</v>
      </c>
      <c r="L299">
        <v>0</v>
      </c>
      <c r="M299">
        <v>3</v>
      </c>
      <c r="N299">
        <v>1</v>
      </c>
      <c r="O299">
        <v>0</v>
      </c>
      <c r="P299">
        <v>0</v>
      </c>
      <c r="Q299">
        <v>1</v>
      </c>
      <c r="R299">
        <v>88</v>
      </c>
      <c r="S299">
        <v>172</v>
      </c>
      <c r="T299">
        <v>29</v>
      </c>
      <c r="U299">
        <v>8</v>
      </c>
      <c r="V299" s="53" t="str">
        <f>IFERROR(
IF(tbl_abs[[#This Row],[Month of absence]]=0,"Unknown",
CHOOSE(tbl_abs[[#This Row],[Month of absence]],
"Jan","Feb","Mar","Apr","May","Jun","Jul","Aug","Sep","Oct","Nov","Dec")),"")</f>
        <v>May</v>
      </c>
      <c r="W299" s="53" t="str">
        <f>IFERROR(
IF(tbl_abs[[#This Row],[Age]]&lt;30,"&lt;30",
IF(tbl_abs[[#This Row],[Age]]&lt;40,"30–39",
IF(tbl_abs[[#This Row],[Age]]&lt;50,"40–49",
IF(tbl_abs[[#This Row],[Age]]&lt;60,"50–59",
"60+")))),"")</f>
        <v>30–39</v>
      </c>
      <c r="X299" s="53" t="str">
        <f>IFERROR(
IF(tbl_abs[[#This Row],[Distance from Residence to Work]]&lt;=5,"0–5",
IF(tbl_abs[[#This Row],[Distance from Residence to Work]]&lt;=10,"6–10",
IF(tbl_abs[[#This Row],[Distance from Residence to Work]]&lt;=20,"11–20",
"21+"))),"")</f>
        <v>11–20</v>
      </c>
      <c r="Y299" s="53" t="str">
        <f>IFERROR(
IF(tbl_abs[[#This Row],[Body Mass Index]]&lt;18.5,"Underweight",
IF(tbl_abs[[#This Row],[Body Mass Index]]&lt;25,"Normal",
IF(tbl_abs[[#This Row],[Body Mass Index]]&lt;30,"Overweight",
"Obese"))),"")</f>
        <v>Overweight</v>
      </c>
      <c r="Z299" s="53" t="str">
        <f>IFERROR(
IF(tbl_abs[[#This Row],[Absenteeism time in hours]]&lt;=2,"0–2",
IF(tbl_abs[[#This Row],[Absenteeism time in hours]]&lt;=8,"3–8",
IF(tbl_abs[[#This Row],[Absenteeism time in hours]]&lt;=16,"9–16",
"17+"))),"")</f>
        <v>3–8</v>
      </c>
    </row>
    <row r="300" spans="1:26" ht="15" customHeight="1" x14ac:dyDescent="0.3">
      <c r="A300">
        <v>29</v>
      </c>
      <c r="B300">
        <v>19</v>
      </c>
      <c r="C300" s="1">
        <v>5</v>
      </c>
      <c r="D300">
        <v>4</v>
      </c>
      <c r="E300">
        <v>3</v>
      </c>
      <c r="F300">
        <v>225</v>
      </c>
      <c r="G300" s="1">
        <v>15</v>
      </c>
      <c r="H300">
        <v>15</v>
      </c>
      <c r="I300" s="1">
        <v>41</v>
      </c>
      <c r="J300" s="2">
        <v>237656</v>
      </c>
      <c r="K300">
        <v>99</v>
      </c>
      <c r="L300">
        <v>0</v>
      </c>
      <c r="M300">
        <v>4</v>
      </c>
      <c r="N300">
        <v>2</v>
      </c>
      <c r="O300">
        <v>1</v>
      </c>
      <c r="P300">
        <v>0</v>
      </c>
      <c r="Q300">
        <v>2</v>
      </c>
      <c r="R300">
        <v>94</v>
      </c>
      <c r="S300">
        <v>182</v>
      </c>
      <c r="T300">
        <v>28</v>
      </c>
      <c r="U300">
        <v>3</v>
      </c>
      <c r="V300" s="53" t="str">
        <f>IFERROR(
IF(tbl_abs[[#This Row],[Month of absence]]=0,"Unknown",
CHOOSE(tbl_abs[[#This Row],[Month of absence]],
"Jan","Feb","Mar","Apr","May","Jun","Jul","Aug","Sep","Oct","Nov","Dec")),"")</f>
        <v>May</v>
      </c>
      <c r="W300" s="53" t="str">
        <f>IFERROR(
IF(tbl_abs[[#This Row],[Age]]&lt;30,"&lt;30",
IF(tbl_abs[[#This Row],[Age]]&lt;40,"30–39",
IF(tbl_abs[[#This Row],[Age]]&lt;50,"40–49",
IF(tbl_abs[[#This Row],[Age]]&lt;60,"50–59",
"60+")))),"")</f>
        <v>40–49</v>
      </c>
      <c r="X300" s="53" t="str">
        <f>IFERROR(
IF(tbl_abs[[#This Row],[Distance from Residence to Work]]&lt;=5,"0–5",
IF(tbl_abs[[#This Row],[Distance from Residence to Work]]&lt;=10,"6–10",
IF(tbl_abs[[#This Row],[Distance from Residence to Work]]&lt;=20,"11–20",
"21+"))),"")</f>
        <v>11–20</v>
      </c>
      <c r="Y300" s="53" t="str">
        <f>IFERROR(
IF(tbl_abs[[#This Row],[Body Mass Index]]&lt;18.5,"Underweight",
IF(tbl_abs[[#This Row],[Body Mass Index]]&lt;25,"Normal",
IF(tbl_abs[[#This Row],[Body Mass Index]]&lt;30,"Overweight",
"Obese"))),"")</f>
        <v>Overweight</v>
      </c>
      <c r="Z300" s="53" t="str">
        <f>IFERROR(
IF(tbl_abs[[#This Row],[Absenteeism time in hours]]&lt;=2,"0–2",
IF(tbl_abs[[#This Row],[Absenteeism time in hours]]&lt;=8,"3–8",
IF(tbl_abs[[#This Row],[Absenteeism time in hours]]&lt;=16,"9–16",
"17+"))),"")</f>
        <v>3–8</v>
      </c>
    </row>
    <row r="301" spans="1:26" ht="15" customHeight="1" x14ac:dyDescent="0.3">
      <c r="A301">
        <v>25</v>
      </c>
      <c r="B301">
        <v>28</v>
      </c>
      <c r="C301" s="1">
        <v>5</v>
      </c>
      <c r="D301">
        <v>4</v>
      </c>
      <c r="E301">
        <v>3</v>
      </c>
      <c r="F301">
        <v>235</v>
      </c>
      <c r="G301" s="1">
        <v>16</v>
      </c>
      <c r="H301">
        <v>8</v>
      </c>
      <c r="I301" s="1">
        <v>32</v>
      </c>
      <c r="J301" s="2">
        <v>237656</v>
      </c>
      <c r="K301">
        <v>99</v>
      </c>
      <c r="L301">
        <v>0</v>
      </c>
      <c r="M301">
        <v>3</v>
      </c>
      <c r="N301">
        <v>0</v>
      </c>
      <c r="O301">
        <v>0</v>
      </c>
      <c r="P301">
        <v>0</v>
      </c>
      <c r="Q301">
        <v>0</v>
      </c>
      <c r="R301">
        <v>75</v>
      </c>
      <c r="S301">
        <v>178</v>
      </c>
      <c r="T301">
        <v>25</v>
      </c>
      <c r="U301">
        <v>2</v>
      </c>
      <c r="V301" s="53" t="str">
        <f>IFERROR(
IF(tbl_abs[[#This Row],[Month of absence]]=0,"Unknown",
CHOOSE(tbl_abs[[#This Row],[Month of absence]],
"Jan","Feb","Mar","Apr","May","Jun","Jul","Aug","Sep","Oct","Nov","Dec")),"")</f>
        <v>May</v>
      </c>
      <c r="W301" s="53" t="str">
        <f>IFERROR(
IF(tbl_abs[[#This Row],[Age]]&lt;30,"&lt;30",
IF(tbl_abs[[#This Row],[Age]]&lt;40,"30–39",
IF(tbl_abs[[#This Row],[Age]]&lt;50,"40–49",
IF(tbl_abs[[#This Row],[Age]]&lt;60,"50–59",
"60+")))),"")</f>
        <v>30–39</v>
      </c>
      <c r="X301" s="53" t="str">
        <f>IFERROR(
IF(tbl_abs[[#This Row],[Distance from Residence to Work]]&lt;=5,"0–5",
IF(tbl_abs[[#This Row],[Distance from Residence to Work]]&lt;=10,"6–10",
IF(tbl_abs[[#This Row],[Distance from Residence to Work]]&lt;=20,"11–20",
"21+"))),"")</f>
        <v>11–20</v>
      </c>
      <c r="Y301" s="53" t="str">
        <f>IFERROR(
IF(tbl_abs[[#This Row],[Body Mass Index]]&lt;18.5,"Underweight",
IF(tbl_abs[[#This Row],[Body Mass Index]]&lt;25,"Normal",
IF(tbl_abs[[#This Row],[Body Mass Index]]&lt;30,"Overweight",
"Obese"))),"")</f>
        <v>Overweight</v>
      </c>
      <c r="Z301" s="53" t="str">
        <f>IFERROR(
IF(tbl_abs[[#This Row],[Absenteeism time in hours]]&lt;=2,"0–2",
IF(tbl_abs[[#This Row],[Absenteeism time in hours]]&lt;=8,"3–8",
IF(tbl_abs[[#This Row],[Absenteeism time in hours]]&lt;=16,"9–16",
"17+"))),"")</f>
        <v>0–2</v>
      </c>
    </row>
    <row r="302" spans="1:26" ht="15" customHeight="1" x14ac:dyDescent="0.3">
      <c r="A302">
        <v>34</v>
      </c>
      <c r="B302">
        <v>8</v>
      </c>
      <c r="C302" s="1">
        <v>5</v>
      </c>
      <c r="D302">
        <v>4</v>
      </c>
      <c r="E302">
        <v>3</v>
      </c>
      <c r="F302">
        <v>118</v>
      </c>
      <c r="G302" s="1">
        <v>10</v>
      </c>
      <c r="H302">
        <v>10</v>
      </c>
      <c r="I302" s="1">
        <v>37</v>
      </c>
      <c r="J302" s="2">
        <v>237656</v>
      </c>
      <c r="K302">
        <v>99</v>
      </c>
      <c r="L302">
        <v>0</v>
      </c>
      <c r="M302">
        <v>1</v>
      </c>
      <c r="N302">
        <v>0</v>
      </c>
      <c r="O302">
        <v>0</v>
      </c>
      <c r="P302">
        <v>0</v>
      </c>
      <c r="Q302">
        <v>0</v>
      </c>
      <c r="R302">
        <v>83</v>
      </c>
      <c r="S302">
        <v>172</v>
      </c>
      <c r="T302">
        <v>28</v>
      </c>
      <c r="U302">
        <v>3</v>
      </c>
      <c r="V302" s="53" t="str">
        <f>IFERROR(
IF(tbl_abs[[#This Row],[Month of absence]]=0,"Unknown",
CHOOSE(tbl_abs[[#This Row],[Month of absence]],
"Jan","Feb","Mar","Apr","May","Jun","Jul","Aug","Sep","Oct","Nov","Dec")),"")</f>
        <v>May</v>
      </c>
      <c r="W302" s="53" t="str">
        <f>IFERROR(
IF(tbl_abs[[#This Row],[Age]]&lt;30,"&lt;30",
IF(tbl_abs[[#This Row],[Age]]&lt;40,"30–39",
IF(tbl_abs[[#This Row],[Age]]&lt;50,"40–49",
IF(tbl_abs[[#This Row],[Age]]&lt;60,"50–59",
"60+")))),"")</f>
        <v>30–39</v>
      </c>
      <c r="X302" s="53" t="str">
        <f>IFERROR(
IF(tbl_abs[[#This Row],[Distance from Residence to Work]]&lt;=5,"0–5",
IF(tbl_abs[[#This Row],[Distance from Residence to Work]]&lt;=10,"6–10",
IF(tbl_abs[[#This Row],[Distance from Residence to Work]]&lt;=20,"11–20",
"21+"))),"")</f>
        <v>6–10</v>
      </c>
      <c r="Y302" s="53" t="str">
        <f>IFERROR(
IF(tbl_abs[[#This Row],[Body Mass Index]]&lt;18.5,"Underweight",
IF(tbl_abs[[#This Row],[Body Mass Index]]&lt;25,"Normal",
IF(tbl_abs[[#This Row],[Body Mass Index]]&lt;30,"Overweight",
"Obese"))),"")</f>
        <v>Overweight</v>
      </c>
      <c r="Z302" s="53" t="str">
        <f>IFERROR(
IF(tbl_abs[[#This Row],[Absenteeism time in hours]]&lt;=2,"0–2",
IF(tbl_abs[[#This Row],[Absenteeism time in hours]]&lt;=8,"3–8",
IF(tbl_abs[[#This Row],[Absenteeism time in hours]]&lt;=16,"9–16",
"17+"))),"")</f>
        <v>3–8</v>
      </c>
    </row>
    <row r="303" spans="1:26" ht="15" customHeight="1" x14ac:dyDescent="0.3">
      <c r="A303">
        <v>5</v>
      </c>
      <c r="B303">
        <v>26</v>
      </c>
      <c r="C303" s="1">
        <v>5</v>
      </c>
      <c r="D303">
        <v>4</v>
      </c>
      <c r="E303">
        <v>3</v>
      </c>
      <c r="F303">
        <v>235</v>
      </c>
      <c r="G303" s="1">
        <v>20</v>
      </c>
      <c r="H303">
        <v>13</v>
      </c>
      <c r="I303" s="1">
        <v>43</v>
      </c>
      <c r="J303" s="2">
        <v>237656</v>
      </c>
      <c r="K303">
        <v>99</v>
      </c>
      <c r="L303">
        <v>0</v>
      </c>
      <c r="M303">
        <v>1</v>
      </c>
      <c r="N303">
        <v>1</v>
      </c>
      <c r="O303">
        <v>1</v>
      </c>
      <c r="P303">
        <v>0</v>
      </c>
      <c r="Q303">
        <v>0</v>
      </c>
      <c r="R303">
        <v>106</v>
      </c>
      <c r="S303">
        <v>167</v>
      </c>
      <c r="T303">
        <v>38</v>
      </c>
      <c r="U303">
        <v>8</v>
      </c>
      <c r="V303" s="53" t="str">
        <f>IFERROR(
IF(tbl_abs[[#This Row],[Month of absence]]=0,"Unknown",
CHOOSE(tbl_abs[[#This Row],[Month of absence]],
"Jan","Feb","Mar","Apr","May","Jun","Jul","Aug","Sep","Oct","Nov","Dec")),"")</f>
        <v>May</v>
      </c>
      <c r="W303" s="53" t="str">
        <f>IFERROR(
IF(tbl_abs[[#This Row],[Age]]&lt;30,"&lt;30",
IF(tbl_abs[[#This Row],[Age]]&lt;40,"30–39",
IF(tbl_abs[[#This Row],[Age]]&lt;50,"40–49",
IF(tbl_abs[[#This Row],[Age]]&lt;60,"50–59",
"60+")))),"")</f>
        <v>40–49</v>
      </c>
      <c r="X303" s="53" t="str">
        <f>IFERROR(
IF(tbl_abs[[#This Row],[Distance from Residence to Work]]&lt;=5,"0–5",
IF(tbl_abs[[#This Row],[Distance from Residence to Work]]&lt;=10,"6–10",
IF(tbl_abs[[#This Row],[Distance from Residence to Work]]&lt;=20,"11–20",
"21+"))),"")</f>
        <v>11–20</v>
      </c>
      <c r="Y303" s="53" t="str">
        <f>IFERROR(
IF(tbl_abs[[#This Row],[Body Mass Index]]&lt;18.5,"Underweight",
IF(tbl_abs[[#This Row],[Body Mass Index]]&lt;25,"Normal",
IF(tbl_abs[[#This Row],[Body Mass Index]]&lt;30,"Overweight",
"Obese"))),"")</f>
        <v>Obese</v>
      </c>
      <c r="Z303" s="53" t="str">
        <f>IFERROR(
IF(tbl_abs[[#This Row],[Absenteeism time in hours]]&lt;=2,"0–2",
IF(tbl_abs[[#This Row],[Absenteeism time in hours]]&lt;=8,"3–8",
IF(tbl_abs[[#This Row],[Absenteeism time in hours]]&lt;=16,"9–16",
"17+"))),"")</f>
        <v>3–8</v>
      </c>
    </row>
    <row r="304" spans="1:26" ht="15" customHeight="1" x14ac:dyDescent="0.3">
      <c r="A304">
        <v>22</v>
      </c>
      <c r="B304">
        <v>13</v>
      </c>
      <c r="C304" s="1">
        <v>5</v>
      </c>
      <c r="D304">
        <v>5</v>
      </c>
      <c r="E304">
        <v>3</v>
      </c>
      <c r="F304">
        <v>179</v>
      </c>
      <c r="G304" s="1">
        <v>26</v>
      </c>
      <c r="H304">
        <v>9</v>
      </c>
      <c r="I304" s="1">
        <v>30</v>
      </c>
      <c r="J304" s="2">
        <v>237656</v>
      </c>
      <c r="K304">
        <v>99</v>
      </c>
      <c r="L304">
        <v>0</v>
      </c>
      <c r="M304">
        <v>3</v>
      </c>
      <c r="N304">
        <v>0</v>
      </c>
      <c r="O304">
        <v>0</v>
      </c>
      <c r="P304">
        <v>0</v>
      </c>
      <c r="Q304">
        <v>0</v>
      </c>
      <c r="R304">
        <v>56</v>
      </c>
      <c r="S304">
        <v>171</v>
      </c>
      <c r="T304">
        <v>19</v>
      </c>
      <c r="U304">
        <v>1</v>
      </c>
      <c r="V304" s="53" t="str">
        <f>IFERROR(
IF(tbl_abs[[#This Row],[Month of absence]]=0,"Unknown",
CHOOSE(tbl_abs[[#This Row],[Month of absence]],
"Jan","Feb","Mar","Apr","May","Jun","Jul","Aug","Sep","Oct","Nov","Dec")),"")</f>
        <v>May</v>
      </c>
      <c r="W304" s="53" t="str">
        <f>IFERROR(
IF(tbl_abs[[#This Row],[Age]]&lt;30,"&lt;30",
IF(tbl_abs[[#This Row],[Age]]&lt;40,"30–39",
IF(tbl_abs[[#This Row],[Age]]&lt;50,"40–49",
IF(tbl_abs[[#This Row],[Age]]&lt;60,"50–59",
"60+")))),"")</f>
        <v>30–39</v>
      </c>
      <c r="X304" s="53" t="str">
        <f>IFERROR(
IF(tbl_abs[[#This Row],[Distance from Residence to Work]]&lt;=5,"0–5",
IF(tbl_abs[[#This Row],[Distance from Residence to Work]]&lt;=10,"6–10",
IF(tbl_abs[[#This Row],[Distance from Residence to Work]]&lt;=20,"11–20",
"21+"))),"")</f>
        <v>21+</v>
      </c>
      <c r="Y304" s="53" t="str">
        <f>IFERROR(
IF(tbl_abs[[#This Row],[Body Mass Index]]&lt;18.5,"Underweight",
IF(tbl_abs[[#This Row],[Body Mass Index]]&lt;25,"Normal",
IF(tbl_abs[[#This Row],[Body Mass Index]]&lt;30,"Overweight",
"Obese"))),"")</f>
        <v>Normal</v>
      </c>
      <c r="Z304" s="53" t="str">
        <f>IFERROR(
IF(tbl_abs[[#This Row],[Absenteeism time in hours]]&lt;=2,"0–2",
IF(tbl_abs[[#This Row],[Absenteeism time in hours]]&lt;=8,"3–8",
IF(tbl_abs[[#This Row],[Absenteeism time in hours]]&lt;=16,"9–16",
"17+"))),"")</f>
        <v>0–2</v>
      </c>
    </row>
    <row r="305" spans="1:26" ht="15" customHeight="1" x14ac:dyDescent="0.3">
      <c r="A305">
        <v>15</v>
      </c>
      <c r="B305">
        <v>28</v>
      </c>
      <c r="C305" s="1">
        <v>5</v>
      </c>
      <c r="D305">
        <v>5</v>
      </c>
      <c r="E305">
        <v>3</v>
      </c>
      <c r="F305">
        <v>291</v>
      </c>
      <c r="G305" s="1">
        <v>31</v>
      </c>
      <c r="H305">
        <v>12</v>
      </c>
      <c r="I305" s="1">
        <v>40</v>
      </c>
      <c r="J305" s="2">
        <v>237656</v>
      </c>
      <c r="K305">
        <v>99</v>
      </c>
      <c r="L305">
        <v>0</v>
      </c>
      <c r="M305">
        <v>1</v>
      </c>
      <c r="N305">
        <v>1</v>
      </c>
      <c r="O305">
        <v>1</v>
      </c>
      <c r="P305">
        <v>0</v>
      </c>
      <c r="Q305">
        <v>1</v>
      </c>
      <c r="R305">
        <v>73</v>
      </c>
      <c r="S305">
        <v>171</v>
      </c>
      <c r="T305">
        <v>25</v>
      </c>
      <c r="U305">
        <v>2</v>
      </c>
      <c r="V305" s="53" t="str">
        <f>IFERROR(
IF(tbl_abs[[#This Row],[Month of absence]]=0,"Unknown",
CHOOSE(tbl_abs[[#This Row],[Month of absence]],
"Jan","Feb","Mar","Apr","May","Jun","Jul","Aug","Sep","Oct","Nov","Dec")),"")</f>
        <v>May</v>
      </c>
      <c r="W305" s="53" t="str">
        <f>IFERROR(
IF(tbl_abs[[#This Row],[Age]]&lt;30,"&lt;30",
IF(tbl_abs[[#This Row],[Age]]&lt;40,"30–39",
IF(tbl_abs[[#This Row],[Age]]&lt;50,"40–49",
IF(tbl_abs[[#This Row],[Age]]&lt;60,"50–59",
"60+")))),"")</f>
        <v>40–49</v>
      </c>
      <c r="X305" s="53" t="str">
        <f>IFERROR(
IF(tbl_abs[[#This Row],[Distance from Residence to Work]]&lt;=5,"0–5",
IF(tbl_abs[[#This Row],[Distance from Residence to Work]]&lt;=10,"6–10",
IF(tbl_abs[[#This Row],[Distance from Residence to Work]]&lt;=20,"11–20",
"21+"))),"")</f>
        <v>21+</v>
      </c>
      <c r="Y305" s="53" t="str">
        <f>IFERROR(
IF(tbl_abs[[#This Row],[Body Mass Index]]&lt;18.5,"Underweight",
IF(tbl_abs[[#This Row],[Body Mass Index]]&lt;25,"Normal",
IF(tbl_abs[[#This Row],[Body Mass Index]]&lt;30,"Overweight",
"Obese"))),"")</f>
        <v>Overweight</v>
      </c>
      <c r="Z305" s="53" t="str">
        <f>IFERROR(
IF(tbl_abs[[#This Row],[Absenteeism time in hours]]&lt;=2,"0–2",
IF(tbl_abs[[#This Row],[Absenteeism time in hours]]&lt;=8,"3–8",
IF(tbl_abs[[#This Row],[Absenteeism time in hours]]&lt;=16,"9–16",
"17+"))),"")</f>
        <v>0–2</v>
      </c>
    </row>
    <row r="306" spans="1:26" ht="15" customHeight="1" x14ac:dyDescent="0.3">
      <c r="A306">
        <v>29</v>
      </c>
      <c r="B306">
        <v>14</v>
      </c>
      <c r="C306" s="1">
        <v>5</v>
      </c>
      <c r="D306">
        <v>5</v>
      </c>
      <c r="E306">
        <v>3</v>
      </c>
      <c r="F306">
        <v>225</v>
      </c>
      <c r="G306" s="1">
        <v>15</v>
      </c>
      <c r="H306">
        <v>15</v>
      </c>
      <c r="I306" s="1">
        <v>41</v>
      </c>
      <c r="J306" s="2">
        <v>237656</v>
      </c>
      <c r="K306">
        <v>99</v>
      </c>
      <c r="L306">
        <v>0</v>
      </c>
      <c r="M306">
        <v>4</v>
      </c>
      <c r="N306">
        <v>2</v>
      </c>
      <c r="O306">
        <v>1</v>
      </c>
      <c r="P306">
        <v>0</v>
      </c>
      <c r="Q306">
        <v>2</v>
      </c>
      <c r="R306">
        <v>94</v>
      </c>
      <c r="S306">
        <v>182</v>
      </c>
      <c r="T306">
        <v>28</v>
      </c>
      <c r="U306">
        <v>8</v>
      </c>
      <c r="V306" s="53" t="str">
        <f>IFERROR(
IF(tbl_abs[[#This Row],[Month of absence]]=0,"Unknown",
CHOOSE(tbl_abs[[#This Row],[Month of absence]],
"Jan","Feb","Mar","Apr","May","Jun","Jul","Aug","Sep","Oct","Nov","Dec")),"")</f>
        <v>May</v>
      </c>
      <c r="W306" s="53" t="str">
        <f>IFERROR(
IF(tbl_abs[[#This Row],[Age]]&lt;30,"&lt;30",
IF(tbl_abs[[#This Row],[Age]]&lt;40,"30–39",
IF(tbl_abs[[#This Row],[Age]]&lt;50,"40–49",
IF(tbl_abs[[#This Row],[Age]]&lt;60,"50–59",
"60+")))),"")</f>
        <v>40–49</v>
      </c>
      <c r="X306" s="53" t="str">
        <f>IFERROR(
IF(tbl_abs[[#This Row],[Distance from Residence to Work]]&lt;=5,"0–5",
IF(tbl_abs[[#This Row],[Distance from Residence to Work]]&lt;=10,"6–10",
IF(tbl_abs[[#This Row],[Distance from Residence to Work]]&lt;=20,"11–20",
"21+"))),"")</f>
        <v>11–20</v>
      </c>
      <c r="Y306" s="53" t="str">
        <f>IFERROR(
IF(tbl_abs[[#This Row],[Body Mass Index]]&lt;18.5,"Underweight",
IF(tbl_abs[[#This Row],[Body Mass Index]]&lt;25,"Normal",
IF(tbl_abs[[#This Row],[Body Mass Index]]&lt;30,"Overweight",
"Obese"))),"")</f>
        <v>Overweight</v>
      </c>
      <c r="Z306" s="53" t="str">
        <f>IFERROR(
IF(tbl_abs[[#This Row],[Absenteeism time in hours]]&lt;=2,"0–2",
IF(tbl_abs[[#This Row],[Absenteeism time in hours]]&lt;=8,"3–8",
IF(tbl_abs[[#This Row],[Absenteeism time in hours]]&lt;=16,"9–16",
"17+"))),"")</f>
        <v>3–8</v>
      </c>
    </row>
    <row r="307" spans="1:26" ht="15" customHeight="1" x14ac:dyDescent="0.3">
      <c r="A307">
        <v>26</v>
      </c>
      <c r="B307">
        <v>19</v>
      </c>
      <c r="C307" s="1">
        <v>5</v>
      </c>
      <c r="D307">
        <v>6</v>
      </c>
      <c r="E307">
        <v>3</v>
      </c>
      <c r="F307">
        <v>300</v>
      </c>
      <c r="G307" s="1">
        <v>26</v>
      </c>
      <c r="H307">
        <v>13</v>
      </c>
      <c r="I307" s="1">
        <v>43</v>
      </c>
      <c r="J307" s="2">
        <v>237656</v>
      </c>
      <c r="K307">
        <v>99</v>
      </c>
      <c r="L307">
        <v>0</v>
      </c>
      <c r="M307">
        <v>1</v>
      </c>
      <c r="N307">
        <v>2</v>
      </c>
      <c r="O307">
        <v>1</v>
      </c>
      <c r="P307">
        <v>1</v>
      </c>
      <c r="Q307">
        <v>1</v>
      </c>
      <c r="R307">
        <v>77</v>
      </c>
      <c r="S307">
        <v>175</v>
      </c>
      <c r="T307">
        <v>25</v>
      </c>
      <c r="U307">
        <v>64</v>
      </c>
      <c r="V307" s="53" t="str">
        <f>IFERROR(
IF(tbl_abs[[#This Row],[Month of absence]]=0,"Unknown",
CHOOSE(tbl_abs[[#This Row],[Month of absence]],
"Jan","Feb","Mar","Apr","May","Jun","Jul","Aug","Sep","Oct","Nov","Dec")),"")</f>
        <v>May</v>
      </c>
      <c r="W307" s="53" t="str">
        <f>IFERROR(
IF(tbl_abs[[#This Row],[Age]]&lt;30,"&lt;30",
IF(tbl_abs[[#This Row],[Age]]&lt;40,"30–39",
IF(tbl_abs[[#This Row],[Age]]&lt;50,"40–49",
IF(tbl_abs[[#This Row],[Age]]&lt;60,"50–59",
"60+")))),"")</f>
        <v>40–49</v>
      </c>
      <c r="X307" s="53" t="str">
        <f>IFERROR(
IF(tbl_abs[[#This Row],[Distance from Residence to Work]]&lt;=5,"0–5",
IF(tbl_abs[[#This Row],[Distance from Residence to Work]]&lt;=10,"6–10",
IF(tbl_abs[[#This Row],[Distance from Residence to Work]]&lt;=20,"11–20",
"21+"))),"")</f>
        <v>21+</v>
      </c>
      <c r="Y307" s="53" t="str">
        <f>IFERROR(
IF(tbl_abs[[#This Row],[Body Mass Index]]&lt;18.5,"Underweight",
IF(tbl_abs[[#This Row],[Body Mass Index]]&lt;25,"Normal",
IF(tbl_abs[[#This Row],[Body Mass Index]]&lt;30,"Overweight",
"Obese"))),"")</f>
        <v>Overweight</v>
      </c>
      <c r="Z307" s="53" t="str">
        <f>IFERROR(
IF(tbl_abs[[#This Row],[Absenteeism time in hours]]&lt;=2,"0–2",
IF(tbl_abs[[#This Row],[Absenteeism time in hours]]&lt;=8,"3–8",
IF(tbl_abs[[#This Row],[Absenteeism time in hours]]&lt;=16,"9–16",
"17+"))),"")</f>
        <v>17+</v>
      </c>
    </row>
    <row r="308" spans="1:26" ht="15" customHeight="1" x14ac:dyDescent="0.3">
      <c r="A308">
        <v>29</v>
      </c>
      <c r="B308">
        <v>22</v>
      </c>
      <c r="C308" s="1">
        <v>5</v>
      </c>
      <c r="D308">
        <v>6</v>
      </c>
      <c r="E308">
        <v>3</v>
      </c>
      <c r="F308">
        <v>225</v>
      </c>
      <c r="G308" s="1">
        <v>15</v>
      </c>
      <c r="H308">
        <v>15</v>
      </c>
      <c r="I308" s="1">
        <v>41</v>
      </c>
      <c r="J308" s="2">
        <v>237656</v>
      </c>
      <c r="K308">
        <v>99</v>
      </c>
      <c r="L308">
        <v>0</v>
      </c>
      <c r="M308">
        <v>4</v>
      </c>
      <c r="N308">
        <v>2</v>
      </c>
      <c r="O308">
        <v>1</v>
      </c>
      <c r="P308">
        <v>0</v>
      </c>
      <c r="Q308">
        <v>2</v>
      </c>
      <c r="R308">
        <v>94</v>
      </c>
      <c r="S308">
        <v>182</v>
      </c>
      <c r="T308">
        <v>28</v>
      </c>
      <c r="U308">
        <v>8</v>
      </c>
      <c r="V308" s="53" t="str">
        <f>IFERROR(
IF(tbl_abs[[#This Row],[Month of absence]]=0,"Unknown",
CHOOSE(tbl_abs[[#This Row],[Month of absence]],
"Jan","Feb","Mar","Apr","May","Jun","Jul","Aug","Sep","Oct","Nov","Dec")),"")</f>
        <v>May</v>
      </c>
      <c r="W308" s="53" t="str">
        <f>IFERROR(
IF(tbl_abs[[#This Row],[Age]]&lt;30,"&lt;30",
IF(tbl_abs[[#This Row],[Age]]&lt;40,"30–39",
IF(tbl_abs[[#This Row],[Age]]&lt;50,"40–49",
IF(tbl_abs[[#This Row],[Age]]&lt;60,"50–59",
"60+")))),"")</f>
        <v>40–49</v>
      </c>
      <c r="X308" s="53" t="str">
        <f>IFERROR(
IF(tbl_abs[[#This Row],[Distance from Residence to Work]]&lt;=5,"0–5",
IF(tbl_abs[[#This Row],[Distance from Residence to Work]]&lt;=10,"6–10",
IF(tbl_abs[[#This Row],[Distance from Residence to Work]]&lt;=20,"11–20",
"21+"))),"")</f>
        <v>11–20</v>
      </c>
      <c r="Y308" s="53" t="str">
        <f>IFERROR(
IF(tbl_abs[[#This Row],[Body Mass Index]]&lt;18.5,"Underweight",
IF(tbl_abs[[#This Row],[Body Mass Index]]&lt;25,"Normal",
IF(tbl_abs[[#This Row],[Body Mass Index]]&lt;30,"Overweight",
"Obese"))),"")</f>
        <v>Overweight</v>
      </c>
      <c r="Z308" s="53" t="str">
        <f>IFERROR(
IF(tbl_abs[[#This Row],[Absenteeism time in hours]]&lt;=2,"0–2",
IF(tbl_abs[[#This Row],[Absenteeism time in hours]]&lt;=8,"3–8",
IF(tbl_abs[[#This Row],[Absenteeism time in hours]]&lt;=16,"9–16",
"17+"))),"")</f>
        <v>3–8</v>
      </c>
    </row>
    <row r="309" spans="1:26" ht="15" customHeight="1" x14ac:dyDescent="0.3">
      <c r="A309">
        <v>22</v>
      </c>
      <c r="B309">
        <v>27</v>
      </c>
      <c r="C309" s="1">
        <v>5</v>
      </c>
      <c r="D309">
        <v>6</v>
      </c>
      <c r="E309">
        <v>3</v>
      </c>
      <c r="F309">
        <v>179</v>
      </c>
      <c r="G309" s="1">
        <v>26</v>
      </c>
      <c r="H309">
        <v>9</v>
      </c>
      <c r="I309" s="1">
        <v>30</v>
      </c>
      <c r="J309" s="2">
        <v>237656</v>
      </c>
      <c r="K309">
        <v>99</v>
      </c>
      <c r="L309">
        <v>0</v>
      </c>
      <c r="M309">
        <v>3</v>
      </c>
      <c r="N309">
        <v>0</v>
      </c>
      <c r="O309">
        <v>0</v>
      </c>
      <c r="P309">
        <v>0</v>
      </c>
      <c r="Q309">
        <v>0</v>
      </c>
      <c r="R309">
        <v>56</v>
      </c>
      <c r="S309">
        <v>171</v>
      </c>
      <c r="T309">
        <v>19</v>
      </c>
      <c r="U309">
        <v>2</v>
      </c>
      <c r="V309" s="53" t="str">
        <f>IFERROR(
IF(tbl_abs[[#This Row],[Month of absence]]=0,"Unknown",
CHOOSE(tbl_abs[[#This Row],[Month of absence]],
"Jan","Feb","Mar","Apr","May","Jun","Jul","Aug","Sep","Oct","Nov","Dec")),"")</f>
        <v>May</v>
      </c>
      <c r="W309" s="53" t="str">
        <f>IFERROR(
IF(tbl_abs[[#This Row],[Age]]&lt;30,"&lt;30",
IF(tbl_abs[[#This Row],[Age]]&lt;40,"30–39",
IF(tbl_abs[[#This Row],[Age]]&lt;50,"40–49",
IF(tbl_abs[[#This Row],[Age]]&lt;60,"50–59",
"60+")))),"")</f>
        <v>30–39</v>
      </c>
      <c r="X309" s="53" t="str">
        <f>IFERROR(
IF(tbl_abs[[#This Row],[Distance from Residence to Work]]&lt;=5,"0–5",
IF(tbl_abs[[#This Row],[Distance from Residence to Work]]&lt;=10,"6–10",
IF(tbl_abs[[#This Row],[Distance from Residence to Work]]&lt;=20,"11–20",
"21+"))),"")</f>
        <v>21+</v>
      </c>
      <c r="Y309" s="53" t="str">
        <f>IFERROR(
IF(tbl_abs[[#This Row],[Body Mass Index]]&lt;18.5,"Underweight",
IF(tbl_abs[[#This Row],[Body Mass Index]]&lt;25,"Normal",
IF(tbl_abs[[#This Row],[Body Mass Index]]&lt;30,"Overweight",
"Obese"))),"")</f>
        <v>Normal</v>
      </c>
      <c r="Z309" s="53" t="str">
        <f>IFERROR(
IF(tbl_abs[[#This Row],[Absenteeism time in hours]]&lt;=2,"0–2",
IF(tbl_abs[[#This Row],[Absenteeism time in hours]]&lt;=8,"3–8",
IF(tbl_abs[[#This Row],[Absenteeism time in hours]]&lt;=16,"9–16",
"17+"))),"")</f>
        <v>0–2</v>
      </c>
    </row>
    <row r="310" spans="1:26" ht="15" customHeight="1" x14ac:dyDescent="0.3">
      <c r="A310">
        <v>36</v>
      </c>
      <c r="B310">
        <v>23</v>
      </c>
      <c r="C310" s="1">
        <v>5</v>
      </c>
      <c r="D310">
        <v>2</v>
      </c>
      <c r="E310">
        <v>3</v>
      </c>
      <c r="F310">
        <v>118</v>
      </c>
      <c r="G310" s="1">
        <v>13</v>
      </c>
      <c r="H310">
        <v>18</v>
      </c>
      <c r="I310" s="1">
        <v>50</v>
      </c>
      <c r="J310" s="2">
        <v>237656</v>
      </c>
      <c r="K310">
        <v>99</v>
      </c>
      <c r="L310">
        <v>0</v>
      </c>
      <c r="M310">
        <v>1</v>
      </c>
      <c r="N310">
        <v>1</v>
      </c>
      <c r="O310">
        <v>1</v>
      </c>
      <c r="P310">
        <v>0</v>
      </c>
      <c r="Q310">
        <v>0</v>
      </c>
      <c r="R310">
        <v>98</v>
      </c>
      <c r="S310">
        <v>178</v>
      </c>
      <c r="T310">
        <v>31</v>
      </c>
      <c r="U310">
        <v>2</v>
      </c>
      <c r="V310" s="53" t="str">
        <f>IFERROR(
IF(tbl_abs[[#This Row],[Month of absence]]=0,"Unknown",
CHOOSE(tbl_abs[[#This Row],[Month of absence]],
"Jan","Feb","Mar","Apr","May","Jun","Jul","Aug","Sep","Oct","Nov","Dec")),"")</f>
        <v>May</v>
      </c>
      <c r="W310" s="53" t="str">
        <f>IFERROR(
IF(tbl_abs[[#This Row],[Age]]&lt;30,"&lt;30",
IF(tbl_abs[[#This Row],[Age]]&lt;40,"30–39",
IF(tbl_abs[[#This Row],[Age]]&lt;50,"40–49",
IF(tbl_abs[[#This Row],[Age]]&lt;60,"50–59",
"60+")))),"")</f>
        <v>50–59</v>
      </c>
      <c r="X310" s="53" t="str">
        <f>IFERROR(
IF(tbl_abs[[#This Row],[Distance from Residence to Work]]&lt;=5,"0–5",
IF(tbl_abs[[#This Row],[Distance from Residence to Work]]&lt;=10,"6–10",
IF(tbl_abs[[#This Row],[Distance from Residence to Work]]&lt;=20,"11–20",
"21+"))),"")</f>
        <v>11–20</v>
      </c>
      <c r="Y310" s="53" t="str">
        <f>IFERROR(
IF(tbl_abs[[#This Row],[Body Mass Index]]&lt;18.5,"Underweight",
IF(tbl_abs[[#This Row],[Body Mass Index]]&lt;25,"Normal",
IF(tbl_abs[[#This Row],[Body Mass Index]]&lt;30,"Overweight",
"Obese"))),"")</f>
        <v>Obese</v>
      </c>
      <c r="Z310" s="53" t="str">
        <f>IFERROR(
IF(tbl_abs[[#This Row],[Absenteeism time in hours]]&lt;=2,"0–2",
IF(tbl_abs[[#This Row],[Absenteeism time in hours]]&lt;=8,"3–8",
IF(tbl_abs[[#This Row],[Absenteeism time in hours]]&lt;=16,"9–16",
"17+"))),"")</f>
        <v>0–2</v>
      </c>
    </row>
    <row r="311" spans="1:26" ht="15" customHeight="1" x14ac:dyDescent="0.3">
      <c r="A311">
        <v>36</v>
      </c>
      <c r="B311">
        <v>5</v>
      </c>
      <c r="C311" s="1">
        <v>5</v>
      </c>
      <c r="D311">
        <v>3</v>
      </c>
      <c r="E311">
        <v>3</v>
      </c>
      <c r="F311">
        <v>118</v>
      </c>
      <c r="G311" s="1">
        <v>13</v>
      </c>
      <c r="H311">
        <v>18</v>
      </c>
      <c r="I311" s="1">
        <v>50</v>
      </c>
      <c r="J311" s="2">
        <v>237656</v>
      </c>
      <c r="K311">
        <v>99</v>
      </c>
      <c r="L311">
        <v>0</v>
      </c>
      <c r="M311">
        <v>1</v>
      </c>
      <c r="N311">
        <v>1</v>
      </c>
      <c r="O311">
        <v>1</v>
      </c>
      <c r="P311">
        <v>0</v>
      </c>
      <c r="Q311">
        <v>0</v>
      </c>
      <c r="R311">
        <v>98</v>
      </c>
      <c r="S311">
        <v>178</v>
      </c>
      <c r="T311">
        <v>31</v>
      </c>
      <c r="U311">
        <v>3</v>
      </c>
      <c r="V311" s="53" t="str">
        <f>IFERROR(
IF(tbl_abs[[#This Row],[Month of absence]]=0,"Unknown",
CHOOSE(tbl_abs[[#This Row],[Month of absence]],
"Jan","Feb","Mar","Apr","May","Jun","Jul","Aug","Sep","Oct","Nov","Dec")),"")</f>
        <v>May</v>
      </c>
      <c r="W311" s="53" t="str">
        <f>IFERROR(
IF(tbl_abs[[#This Row],[Age]]&lt;30,"&lt;30",
IF(tbl_abs[[#This Row],[Age]]&lt;40,"30–39",
IF(tbl_abs[[#This Row],[Age]]&lt;50,"40–49",
IF(tbl_abs[[#This Row],[Age]]&lt;60,"50–59",
"60+")))),"")</f>
        <v>50–59</v>
      </c>
      <c r="X311" s="53" t="str">
        <f>IFERROR(
IF(tbl_abs[[#This Row],[Distance from Residence to Work]]&lt;=5,"0–5",
IF(tbl_abs[[#This Row],[Distance from Residence to Work]]&lt;=10,"6–10",
IF(tbl_abs[[#This Row],[Distance from Residence to Work]]&lt;=20,"11–20",
"21+"))),"")</f>
        <v>11–20</v>
      </c>
      <c r="Y311" s="53" t="str">
        <f>IFERROR(
IF(tbl_abs[[#This Row],[Body Mass Index]]&lt;18.5,"Underweight",
IF(tbl_abs[[#This Row],[Body Mass Index]]&lt;25,"Normal",
IF(tbl_abs[[#This Row],[Body Mass Index]]&lt;30,"Overweight",
"Obese"))),"")</f>
        <v>Obese</v>
      </c>
      <c r="Z311" s="53" t="str">
        <f>IFERROR(
IF(tbl_abs[[#This Row],[Absenteeism time in hours]]&lt;=2,"0–2",
IF(tbl_abs[[#This Row],[Absenteeism time in hours]]&lt;=8,"3–8",
IF(tbl_abs[[#This Row],[Absenteeism time in hours]]&lt;=16,"9–16",
"17+"))),"")</f>
        <v>3–8</v>
      </c>
    </row>
    <row r="312" spans="1:26" ht="15" customHeight="1" x14ac:dyDescent="0.3">
      <c r="A312">
        <v>34</v>
      </c>
      <c r="B312">
        <v>28</v>
      </c>
      <c r="C312" s="1">
        <v>5</v>
      </c>
      <c r="D312">
        <v>3</v>
      </c>
      <c r="E312">
        <v>3</v>
      </c>
      <c r="F312">
        <v>118</v>
      </c>
      <c r="G312" s="1">
        <v>10</v>
      </c>
      <c r="H312">
        <v>10</v>
      </c>
      <c r="I312" s="1">
        <v>37</v>
      </c>
      <c r="J312" s="2">
        <v>237656</v>
      </c>
      <c r="K312">
        <v>99</v>
      </c>
      <c r="L312">
        <v>0</v>
      </c>
      <c r="M312">
        <v>1</v>
      </c>
      <c r="N312">
        <v>0</v>
      </c>
      <c r="O312">
        <v>0</v>
      </c>
      <c r="P312">
        <v>0</v>
      </c>
      <c r="Q312">
        <v>0</v>
      </c>
      <c r="R312">
        <v>83</v>
      </c>
      <c r="S312">
        <v>172</v>
      </c>
      <c r="T312">
        <v>28</v>
      </c>
      <c r="U312">
        <v>1</v>
      </c>
      <c r="V312" s="53" t="str">
        <f>IFERROR(
IF(tbl_abs[[#This Row],[Month of absence]]=0,"Unknown",
CHOOSE(tbl_abs[[#This Row],[Month of absence]],
"Jan","Feb","Mar","Apr","May","Jun","Jul","Aug","Sep","Oct","Nov","Dec")),"")</f>
        <v>May</v>
      </c>
      <c r="W312" s="53" t="str">
        <f>IFERROR(
IF(tbl_abs[[#This Row],[Age]]&lt;30,"&lt;30",
IF(tbl_abs[[#This Row],[Age]]&lt;40,"30–39",
IF(tbl_abs[[#This Row],[Age]]&lt;50,"40–49",
IF(tbl_abs[[#This Row],[Age]]&lt;60,"50–59",
"60+")))),"")</f>
        <v>30–39</v>
      </c>
      <c r="X312" s="53" t="str">
        <f>IFERROR(
IF(tbl_abs[[#This Row],[Distance from Residence to Work]]&lt;=5,"0–5",
IF(tbl_abs[[#This Row],[Distance from Residence to Work]]&lt;=10,"6–10",
IF(tbl_abs[[#This Row],[Distance from Residence to Work]]&lt;=20,"11–20",
"21+"))),"")</f>
        <v>6–10</v>
      </c>
      <c r="Y312" s="53" t="str">
        <f>IFERROR(
IF(tbl_abs[[#This Row],[Body Mass Index]]&lt;18.5,"Underweight",
IF(tbl_abs[[#This Row],[Body Mass Index]]&lt;25,"Normal",
IF(tbl_abs[[#This Row],[Body Mass Index]]&lt;30,"Overweight",
"Obese"))),"")</f>
        <v>Overweight</v>
      </c>
      <c r="Z312" s="53" t="str">
        <f>IFERROR(
IF(tbl_abs[[#This Row],[Absenteeism time in hours]]&lt;=2,"0–2",
IF(tbl_abs[[#This Row],[Absenteeism time in hours]]&lt;=8,"3–8",
IF(tbl_abs[[#This Row],[Absenteeism time in hours]]&lt;=16,"9–16",
"17+"))),"")</f>
        <v>0–2</v>
      </c>
    </row>
    <row r="313" spans="1:26" ht="15" customHeight="1" x14ac:dyDescent="0.3">
      <c r="A313">
        <v>36</v>
      </c>
      <c r="B313">
        <v>0</v>
      </c>
      <c r="C313" s="1">
        <v>5</v>
      </c>
      <c r="D313">
        <v>3</v>
      </c>
      <c r="E313">
        <v>3</v>
      </c>
      <c r="F313">
        <v>118</v>
      </c>
      <c r="G313" s="1">
        <v>13</v>
      </c>
      <c r="H313">
        <v>18</v>
      </c>
      <c r="I313" s="1">
        <v>50</v>
      </c>
      <c r="J313" s="2">
        <v>237656</v>
      </c>
      <c r="K313">
        <v>99</v>
      </c>
      <c r="L313">
        <v>1</v>
      </c>
      <c r="M313">
        <v>1</v>
      </c>
      <c r="N313">
        <v>1</v>
      </c>
      <c r="O313">
        <v>1</v>
      </c>
      <c r="P313">
        <v>0</v>
      </c>
      <c r="Q313">
        <v>0</v>
      </c>
      <c r="R313">
        <v>98</v>
      </c>
      <c r="S313">
        <v>178</v>
      </c>
      <c r="T313">
        <v>31</v>
      </c>
      <c r="U313">
        <v>0</v>
      </c>
      <c r="V313" s="53" t="str">
        <f>IFERROR(
IF(tbl_abs[[#This Row],[Month of absence]]=0,"Unknown",
CHOOSE(tbl_abs[[#This Row],[Month of absence]],
"Jan","Feb","Mar","Apr","May","Jun","Jul","Aug","Sep","Oct","Nov","Dec")),"")</f>
        <v>May</v>
      </c>
      <c r="W313" s="53" t="str">
        <f>IFERROR(
IF(tbl_abs[[#This Row],[Age]]&lt;30,"&lt;30",
IF(tbl_abs[[#This Row],[Age]]&lt;40,"30–39",
IF(tbl_abs[[#This Row],[Age]]&lt;50,"40–49",
IF(tbl_abs[[#This Row],[Age]]&lt;60,"50–59",
"60+")))),"")</f>
        <v>50–59</v>
      </c>
      <c r="X313" s="53" t="str">
        <f>IFERROR(
IF(tbl_abs[[#This Row],[Distance from Residence to Work]]&lt;=5,"0–5",
IF(tbl_abs[[#This Row],[Distance from Residence to Work]]&lt;=10,"6–10",
IF(tbl_abs[[#This Row],[Distance from Residence to Work]]&lt;=20,"11–20",
"21+"))),"")</f>
        <v>11–20</v>
      </c>
      <c r="Y313" s="53" t="str">
        <f>IFERROR(
IF(tbl_abs[[#This Row],[Body Mass Index]]&lt;18.5,"Underweight",
IF(tbl_abs[[#This Row],[Body Mass Index]]&lt;25,"Normal",
IF(tbl_abs[[#This Row],[Body Mass Index]]&lt;30,"Overweight",
"Obese"))),"")</f>
        <v>Obese</v>
      </c>
      <c r="Z313" s="53" t="str">
        <f>IFERROR(
IF(tbl_abs[[#This Row],[Absenteeism time in hours]]&lt;=2,"0–2",
IF(tbl_abs[[#This Row],[Absenteeism time in hours]]&lt;=8,"3–8",
IF(tbl_abs[[#This Row],[Absenteeism time in hours]]&lt;=16,"9–16",
"17+"))),"")</f>
        <v>0–2</v>
      </c>
    </row>
    <row r="314" spans="1:26" ht="15" customHeight="1" x14ac:dyDescent="0.3">
      <c r="A314">
        <v>22</v>
      </c>
      <c r="B314">
        <v>27</v>
      </c>
      <c r="C314" s="1">
        <v>5</v>
      </c>
      <c r="D314">
        <v>4</v>
      </c>
      <c r="E314">
        <v>3</v>
      </c>
      <c r="F314">
        <v>179</v>
      </c>
      <c r="G314" s="1">
        <v>26</v>
      </c>
      <c r="H314">
        <v>9</v>
      </c>
      <c r="I314" s="1">
        <v>30</v>
      </c>
      <c r="J314" s="2">
        <v>237656</v>
      </c>
      <c r="K314">
        <v>99</v>
      </c>
      <c r="L314">
        <v>0</v>
      </c>
      <c r="M314">
        <v>3</v>
      </c>
      <c r="N314">
        <v>0</v>
      </c>
      <c r="O314">
        <v>0</v>
      </c>
      <c r="P314">
        <v>0</v>
      </c>
      <c r="Q314">
        <v>0</v>
      </c>
      <c r="R314">
        <v>56</v>
      </c>
      <c r="S314">
        <v>171</v>
      </c>
      <c r="T314">
        <v>19</v>
      </c>
      <c r="U314">
        <v>2</v>
      </c>
      <c r="V314" s="53" t="str">
        <f>IFERROR(
IF(tbl_abs[[#This Row],[Month of absence]]=0,"Unknown",
CHOOSE(tbl_abs[[#This Row],[Month of absence]],
"Jan","Feb","Mar","Apr","May","Jun","Jul","Aug","Sep","Oct","Nov","Dec")),"")</f>
        <v>May</v>
      </c>
      <c r="W314" s="53" t="str">
        <f>IFERROR(
IF(tbl_abs[[#This Row],[Age]]&lt;30,"&lt;30",
IF(tbl_abs[[#This Row],[Age]]&lt;40,"30–39",
IF(tbl_abs[[#This Row],[Age]]&lt;50,"40–49",
IF(tbl_abs[[#This Row],[Age]]&lt;60,"50–59",
"60+")))),"")</f>
        <v>30–39</v>
      </c>
      <c r="X314" s="53" t="str">
        <f>IFERROR(
IF(tbl_abs[[#This Row],[Distance from Residence to Work]]&lt;=5,"0–5",
IF(tbl_abs[[#This Row],[Distance from Residence to Work]]&lt;=10,"6–10",
IF(tbl_abs[[#This Row],[Distance from Residence to Work]]&lt;=20,"11–20",
"21+"))),"")</f>
        <v>21+</v>
      </c>
      <c r="Y314" s="53" t="str">
        <f>IFERROR(
IF(tbl_abs[[#This Row],[Body Mass Index]]&lt;18.5,"Underweight",
IF(tbl_abs[[#This Row],[Body Mass Index]]&lt;25,"Normal",
IF(tbl_abs[[#This Row],[Body Mass Index]]&lt;30,"Overweight",
"Obese"))),"")</f>
        <v>Normal</v>
      </c>
      <c r="Z314" s="53" t="str">
        <f>IFERROR(
IF(tbl_abs[[#This Row],[Absenteeism time in hours]]&lt;=2,"0–2",
IF(tbl_abs[[#This Row],[Absenteeism time in hours]]&lt;=8,"3–8",
IF(tbl_abs[[#This Row],[Absenteeism time in hours]]&lt;=16,"9–16",
"17+"))),"")</f>
        <v>0–2</v>
      </c>
    </row>
    <row r="315" spans="1:26" ht="15" customHeight="1" x14ac:dyDescent="0.3">
      <c r="A315">
        <v>23</v>
      </c>
      <c r="B315">
        <v>0</v>
      </c>
      <c r="C315" s="1">
        <v>5</v>
      </c>
      <c r="D315">
        <v>4</v>
      </c>
      <c r="E315">
        <v>3</v>
      </c>
      <c r="F315">
        <v>378</v>
      </c>
      <c r="G315" s="1">
        <v>49</v>
      </c>
      <c r="H315">
        <v>11</v>
      </c>
      <c r="I315" s="1">
        <v>36</v>
      </c>
      <c r="J315" s="2">
        <v>237656</v>
      </c>
      <c r="K315">
        <v>99</v>
      </c>
      <c r="L315">
        <v>1</v>
      </c>
      <c r="M315">
        <v>1</v>
      </c>
      <c r="N315">
        <v>2</v>
      </c>
      <c r="O315">
        <v>0</v>
      </c>
      <c r="P315">
        <v>1</v>
      </c>
      <c r="Q315">
        <v>4</v>
      </c>
      <c r="R315">
        <v>65</v>
      </c>
      <c r="S315">
        <v>174</v>
      </c>
      <c r="T315">
        <v>21</v>
      </c>
      <c r="U315">
        <v>0</v>
      </c>
      <c r="V315" s="53" t="str">
        <f>IFERROR(
IF(tbl_abs[[#This Row],[Month of absence]]=0,"Unknown",
CHOOSE(tbl_abs[[#This Row],[Month of absence]],
"Jan","Feb","Mar","Apr","May","Jun","Jul","Aug","Sep","Oct","Nov","Dec")),"")</f>
        <v>May</v>
      </c>
      <c r="W315" s="53" t="str">
        <f>IFERROR(
IF(tbl_abs[[#This Row],[Age]]&lt;30,"&lt;30",
IF(tbl_abs[[#This Row],[Age]]&lt;40,"30–39",
IF(tbl_abs[[#This Row],[Age]]&lt;50,"40–49",
IF(tbl_abs[[#This Row],[Age]]&lt;60,"50–59",
"60+")))),"")</f>
        <v>30–39</v>
      </c>
      <c r="X315" s="53" t="str">
        <f>IFERROR(
IF(tbl_abs[[#This Row],[Distance from Residence to Work]]&lt;=5,"0–5",
IF(tbl_abs[[#This Row],[Distance from Residence to Work]]&lt;=10,"6–10",
IF(tbl_abs[[#This Row],[Distance from Residence to Work]]&lt;=20,"11–20",
"21+"))),"")</f>
        <v>21+</v>
      </c>
      <c r="Y315" s="53" t="str">
        <f>IFERROR(
IF(tbl_abs[[#This Row],[Body Mass Index]]&lt;18.5,"Underweight",
IF(tbl_abs[[#This Row],[Body Mass Index]]&lt;25,"Normal",
IF(tbl_abs[[#This Row],[Body Mass Index]]&lt;30,"Overweight",
"Obese"))),"")</f>
        <v>Normal</v>
      </c>
      <c r="Z315" s="53" t="str">
        <f>IFERROR(
IF(tbl_abs[[#This Row],[Absenteeism time in hours]]&lt;=2,"0–2",
IF(tbl_abs[[#This Row],[Absenteeism time in hours]]&lt;=8,"3–8",
IF(tbl_abs[[#This Row],[Absenteeism time in hours]]&lt;=16,"9–16",
"17+"))),"")</f>
        <v>0–2</v>
      </c>
    </row>
    <row r="316" spans="1:26" ht="15" customHeight="1" x14ac:dyDescent="0.3">
      <c r="A316">
        <v>17</v>
      </c>
      <c r="B316">
        <v>16</v>
      </c>
      <c r="C316" s="1">
        <v>5</v>
      </c>
      <c r="D316">
        <v>6</v>
      </c>
      <c r="E316">
        <v>3</v>
      </c>
      <c r="F316">
        <v>179</v>
      </c>
      <c r="G316" s="1">
        <v>22</v>
      </c>
      <c r="H316">
        <v>17</v>
      </c>
      <c r="I316" s="1">
        <v>40</v>
      </c>
      <c r="J316" s="2">
        <v>237656</v>
      </c>
      <c r="K316">
        <v>99</v>
      </c>
      <c r="L316">
        <v>0</v>
      </c>
      <c r="M316">
        <v>2</v>
      </c>
      <c r="N316">
        <v>2</v>
      </c>
      <c r="O316">
        <v>0</v>
      </c>
      <c r="P316">
        <v>1</v>
      </c>
      <c r="Q316">
        <v>0</v>
      </c>
      <c r="R316">
        <v>63</v>
      </c>
      <c r="S316">
        <v>170</v>
      </c>
      <c r="T316">
        <v>22</v>
      </c>
      <c r="U316">
        <v>1</v>
      </c>
      <c r="V316" s="53" t="str">
        <f>IFERROR(
IF(tbl_abs[[#This Row],[Month of absence]]=0,"Unknown",
CHOOSE(tbl_abs[[#This Row],[Month of absence]],
"Jan","Feb","Mar","Apr","May","Jun","Jul","Aug","Sep","Oct","Nov","Dec")),"")</f>
        <v>May</v>
      </c>
      <c r="W316" s="53" t="str">
        <f>IFERROR(
IF(tbl_abs[[#This Row],[Age]]&lt;30,"&lt;30",
IF(tbl_abs[[#This Row],[Age]]&lt;40,"30–39",
IF(tbl_abs[[#This Row],[Age]]&lt;50,"40–49",
IF(tbl_abs[[#This Row],[Age]]&lt;60,"50–59",
"60+")))),"")</f>
        <v>40–49</v>
      </c>
      <c r="X316" s="53" t="str">
        <f>IFERROR(
IF(tbl_abs[[#This Row],[Distance from Residence to Work]]&lt;=5,"0–5",
IF(tbl_abs[[#This Row],[Distance from Residence to Work]]&lt;=10,"6–10",
IF(tbl_abs[[#This Row],[Distance from Residence to Work]]&lt;=20,"11–20",
"21+"))),"")</f>
        <v>21+</v>
      </c>
      <c r="Y316" s="53" t="str">
        <f>IFERROR(
IF(tbl_abs[[#This Row],[Body Mass Index]]&lt;18.5,"Underweight",
IF(tbl_abs[[#This Row],[Body Mass Index]]&lt;25,"Normal",
IF(tbl_abs[[#This Row],[Body Mass Index]]&lt;30,"Overweight",
"Obese"))),"")</f>
        <v>Normal</v>
      </c>
      <c r="Z316" s="53" t="str">
        <f>IFERROR(
IF(tbl_abs[[#This Row],[Absenteeism time in hours]]&lt;=2,"0–2",
IF(tbl_abs[[#This Row],[Absenteeism time in hours]]&lt;=8,"3–8",
IF(tbl_abs[[#This Row],[Absenteeism time in hours]]&lt;=16,"9–16",
"17+"))),"")</f>
        <v>0–2</v>
      </c>
    </row>
    <row r="317" spans="1:26" ht="15" customHeight="1" x14ac:dyDescent="0.3">
      <c r="A317">
        <v>14</v>
      </c>
      <c r="B317">
        <v>10</v>
      </c>
      <c r="C317" s="1">
        <v>5</v>
      </c>
      <c r="D317">
        <v>2</v>
      </c>
      <c r="E317">
        <v>3</v>
      </c>
      <c r="F317">
        <v>155</v>
      </c>
      <c r="G317" s="1">
        <v>12</v>
      </c>
      <c r="H317">
        <v>14</v>
      </c>
      <c r="I317" s="1">
        <v>34</v>
      </c>
      <c r="J317" s="2">
        <v>237656</v>
      </c>
      <c r="K317">
        <v>99</v>
      </c>
      <c r="L317">
        <v>0</v>
      </c>
      <c r="M317">
        <v>1</v>
      </c>
      <c r="N317">
        <v>2</v>
      </c>
      <c r="O317">
        <v>1</v>
      </c>
      <c r="P317">
        <v>0</v>
      </c>
      <c r="Q317">
        <v>0</v>
      </c>
      <c r="R317">
        <v>95</v>
      </c>
      <c r="S317">
        <v>196</v>
      </c>
      <c r="T317">
        <v>25</v>
      </c>
      <c r="U317">
        <v>48</v>
      </c>
      <c r="V317" s="53" t="str">
        <f>IFERROR(
IF(tbl_abs[[#This Row],[Month of absence]]=0,"Unknown",
CHOOSE(tbl_abs[[#This Row],[Month of absence]],
"Jan","Feb","Mar","Apr","May","Jun","Jul","Aug","Sep","Oct","Nov","Dec")),"")</f>
        <v>May</v>
      </c>
      <c r="W317" s="53" t="str">
        <f>IFERROR(
IF(tbl_abs[[#This Row],[Age]]&lt;30,"&lt;30",
IF(tbl_abs[[#This Row],[Age]]&lt;40,"30–39",
IF(tbl_abs[[#This Row],[Age]]&lt;50,"40–49",
IF(tbl_abs[[#This Row],[Age]]&lt;60,"50–59",
"60+")))),"")</f>
        <v>30–39</v>
      </c>
      <c r="X317" s="53" t="str">
        <f>IFERROR(
IF(tbl_abs[[#This Row],[Distance from Residence to Work]]&lt;=5,"0–5",
IF(tbl_abs[[#This Row],[Distance from Residence to Work]]&lt;=10,"6–10",
IF(tbl_abs[[#This Row],[Distance from Residence to Work]]&lt;=20,"11–20",
"21+"))),"")</f>
        <v>11–20</v>
      </c>
      <c r="Y317" s="53" t="str">
        <f>IFERROR(
IF(tbl_abs[[#This Row],[Body Mass Index]]&lt;18.5,"Underweight",
IF(tbl_abs[[#This Row],[Body Mass Index]]&lt;25,"Normal",
IF(tbl_abs[[#This Row],[Body Mass Index]]&lt;30,"Overweight",
"Obese"))),"")</f>
        <v>Overweight</v>
      </c>
      <c r="Z317" s="53" t="str">
        <f>IFERROR(
IF(tbl_abs[[#This Row],[Absenteeism time in hours]]&lt;=2,"0–2",
IF(tbl_abs[[#This Row],[Absenteeism time in hours]]&lt;=8,"3–8",
IF(tbl_abs[[#This Row],[Absenteeism time in hours]]&lt;=16,"9–16",
"17+"))),"")</f>
        <v>17+</v>
      </c>
    </row>
    <row r="318" spans="1:26" ht="15" customHeight="1" x14ac:dyDescent="0.3">
      <c r="A318">
        <v>25</v>
      </c>
      <c r="B318">
        <v>10</v>
      </c>
      <c r="C318" s="1">
        <v>5</v>
      </c>
      <c r="D318">
        <v>2</v>
      </c>
      <c r="E318">
        <v>3</v>
      </c>
      <c r="F318">
        <v>235</v>
      </c>
      <c r="G318" s="1">
        <v>16</v>
      </c>
      <c r="H318">
        <v>8</v>
      </c>
      <c r="I318" s="1">
        <v>32</v>
      </c>
      <c r="J318" s="2">
        <v>237656</v>
      </c>
      <c r="K318">
        <v>99</v>
      </c>
      <c r="L318">
        <v>0</v>
      </c>
      <c r="M318">
        <v>3</v>
      </c>
      <c r="N318">
        <v>0</v>
      </c>
      <c r="O318">
        <v>0</v>
      </c>
      <c r="P318">
        <v>0</v>
      </c>
      <c r="Q318">
        <v>0</v>
      </c>
      <c r="R318">
        <v>75</v>
      </c>
      <c r="S318">
        <v>178</v>
      </c>
      <c r="T318">
        <v>25</v>
      </c>
      <c r="U318">
        <v>8</v>
      </c>
      <c r="V318" s="53" t="str">
        <f>IFERROR(
IF(tbl_abs[[#This Row],[Month of absence]]=0,"Unknown",
CHOOSE(tbl_abs[[#This Row],[Month of absence]],
"Jan","Feb","Mar","Apr","May","Jun","Jul","Aug","Sep","Oct","Nov","Dec")),"")</f>
        <v>May</v>
      </c>
      <c r="W318" s="53" t="str">
        <f>IFERROR(
IF(tbl_abs[[#This Row],[Age]]&lt;30,"&lt;30",
IF(tbl_abs[[#This Row],[Age]]&lt;40,"30–39",
IF(tbl_abs[[#This Row],[Age]]&lt;50,"40–49",
IF(tbl_abs[[#This Row],[Age]]&lt;60,"50–59",
"60+")))),"")</f>
        <v>30–39</v>
      </c>
      <c r="X318" s="53" t="str">
        <f>IFERROR(
IF(tbl_abs[[#This Row],[Distance from Residence to Work]]&lt;=5,"0–5",
IF(tbl_abs[[#This Row],[Distance from Residence to Work]]&lt;=10,"6–10",
IF(tbl_abs[[#This Row],[Distance from Residence to Work]]&lt;=20,"11–20",
"21+"))),"")</f>
        <v>11–20</v>
      </c>
      <c r="Y318" s="53" t="str">
        <f>IFERROR(
IF(tbl_abs[[#This Row],[Body Mass Index]]&lt;18.5,"Underweight",
IF(tbl_abs[[#This Row],[Body Mass Index]]&lt;25,"Normal",
IF(tbl_abs[[#This Row],[Body Mass Index]]&lt;30,"Overweight",
"Obese"))),"")</f>
        <v>Overweight</v>
      </c>
      <c r="Z318" s="53" t="str">
        <f>IFERROR(
IF(tbl_abs[[#This Row],[Absenteeism time in hours]]&lt;=2,"0–2",
IF(tbl_abs[[#This Row],[Absenteeism time in hours]]&lt;=8,"3–8",
IF(tbl_abs[[#This Row],[Absenteeism time in hours]]&lt;=16,"9–16",
"17+"))),"")</f>
        <v>3–8</v>
      </c>
    </row>
    <row r="319" spans="1:26" ht="15" customHeight="1" x14ac:dyDescent="0.3">
      <c r="A319">
        <v>15</v>
      </c>
      <c r="B319">
        <v>22</v>
      </c>
      <c r="C319" s="1">
        <v>5</v>
      </c>
      <c r="D319">
        <v>4</v>
      </c>
      <c r="E319">
        <v>3</v>
      </c>
      <c r="F319">
        <v>291</v>
      </c>
      <c r="G319" s="1">
        <v>31</v>
      </c>
      <c r="H319">
        <v>12</v>
      </c>
      <c r="I319" s="1">
        <v>40</v>
      </c>
      <c r="J319" s="2">
        <v>237656</v>
      </c>
      <c r="K319">
        <v>99</v>
      </c>
      <c r="L319">
        <v>0</v>
      </c>
      <c r="M319">
        <v>1</v>
      </c>
      <c r="N319">
        <v>1</v>
      </c>
      <c r="O319">
        <v>1</v>
      </c>
      <c r="P319">
        <v>0</v>
      </c>
      <c r="Q319">
        <v>1</v>
      </c>
      <c r="R319">
        <v>73</v>
      </c>
      <c r="S319">
        <v>171</v>
      </c>
      <c r="T319">
        <v>25</v>
      </c>
      <c r="U319">
        <v>8</v>
      </c>
      <c r="V319" s="53" t="str">
        <f>IFERROR(
IF(tbl_abs[[#This Row],[Month of absence]]=0,"Unknown",
CHOOSE(tbl_abs[[#This Row],[Month of absence]],
"Jan","Feb","Mar","Apr","May","Jun","Jul","Aug","Sep","Oct","Nov","Dec")),"")</f>
        <v>May</v>
      </c>
      <c r="W319" s="53" t="str">
        <f>IFERROR(
IF(tbl_abs[[#This Row],[Age]]&lt;30,"&lt;30",
IF(tbl_abs[[#This Row],[Age]]&lt;40,"30–39",
IF(tbl_abs[[#This Row],[Age]]&lt;50,"40–49",
IF(tbl_abs[[#This Row],[Age]]&lt;60,"50–59",
"60+")))),"")</f>
        <v>40–49</v>
      </c>
      <c r="X319" s="53" t="str">
        <f>IFERROR(
IF(tbl_abs[[#This Row],[Distance from Residence to Work]]&lt;=5,"0–5",
IF(tbl_abs[[#This Row],[Distance from Residence to Work]]&lt;=10,"6–10",
IF(tbl_abs[[#This Row],[Distance from Residence to Work]]&lt;=20,"11–20",
"21+"))),"")</f>
        <v>21+</v>
      </c>
      <c r="Y319" s="53" t="str">
        <f>IFERROR(
IF(tbl_abs[[#This Row],[Body Mass Index]]&lt;18.5,"Underweight",
IF(tbl_abs[[#This Row],[Body Mass Index]]&lt;25,"Normal",
IF(tbl_abs[[#This Row],[Body Mass Index]]&lt;30,"Overweight",
"Obese"))),"")</f>
        <v>Overweight</v>
      </c>
      <c r="Z319" s="53" t="str">
        <f>IFERROR(
IF(tbl_abs[[#This Row],[Absenteeism time in hours]]&lt;=2,"0–2",
IF(tbl_abs[[#This Row],[Absenteeism time in hours]]&lt;=8,"3–8",
IF(tbl_abs[[#This Row],[Absenteeism time in hours]]&lt;=16,"9–16",
"17+"))),"")</f>
        <v>3–8</v>
      </c>
    </row>
    <row r="320" spans="1:26" ht="15" customHeight="1" x14ac:dyDescent="0.3">
      <c r="A320">
        <v>17</v>
      </c>
      <c r="B320">
        <v>10</v>
      </c>
      <c r="C320" s="1">
        <v>5</v>
      </c>
      <c r="D320">
        <v>4</v>
      </c>
      <c r="E320">
        <v>3</v>
      </c>
      <c r="F320">
        <v>179</v>
      </c>
      <c r="G320" s="1">
        <v>22</v>
      </c>
      <c r="H320">
        <v>17</v>
      </c>
      <c r="I320" s="1">
        <v>40</v>
      </c>
      <c r="J320" s="2">
        <v>237656</v>
      </c>
      <c r="K320">
        <v>99</v>
      </c>
      <c r="L320">
        <v>0</v>
      </c>
      <c r="M320">
        <v>2</v>
      </c>
      <c r="N320">
        <v>2</v>
      </c>
      <c r="O320">
        <v>0</v>
      </c>
      <c r="P320">
        <v>1</v>
      </c>
      <c r="Q320">
        <v>0</v>
      </c>
      <c r="R320">
        <v>63</v>
      </c>
      <c r="S320">
        <v>170</v>
      </c>
      <c r="T320">
        <v>22</v>
      </c>
      <c r="U320">
        <v>8</v>
      </c>
      <c r="V320" s="53" t="str">
        <f>IFERROR(
IF(tbl_abs[[#This Row],[Month of absence]]=0,"Unknown",
CHOOSE(tbl_abs[[#This Row],[Month of absence]],
"Jan","Feb","Mar","Apr","May","Jun","Jul","Aug","Sep","Oct","Nov","Dec")),"")</f>
        <v>May</v>
      </c>
      <c r="W320" s="53" t="str">
        <f>IFERROR(
IF(tbl_abs[[#This Row],[Age]]&lt;30,"&lt;30",
IF(tbl_abs[[#This Row],[Age]]&lt;40,"30–39",
IF(tbl_abs[[#This Row],[Age]]&lt;50,"40–49",
IF(tbl_abs[[#This Row],[Age]]&lt;60,"50–59",
"60+")))),"")</f>
        <v>40–49</v>
      </c>
      <c r="X320" s="53" t="str">
        <f>IFERROR(
IF(tbl_abs[[#This Row],[Distance from Residence to Work]]&lt;=5,"0–5",
IF(tbl_abs[[#This Row],[Distance from Residence to Work]]&lt;=10,"6–10",
IF(tbl_abs[[#This Row],[Distance from Residence to Work]]&lt;=20,"11–20",
"21+"))),"")</f>
        <v>21+</v>
      </c>
      <c r="Y320" s="53" t="str">
        <f>IFERROR(
IF(tbl_abs[[#This Row],[Body Mass Index]]&lt;18.5,"Underweight",
IF(tbl_abs[[#This Row],[Body Mass Index]]&lt;25,"Normal",
IF(tbl_abs[[#This Row],[Body Mass Index]]&lt;30,"Overweight",
"Obese"))),"")</f>
        <v>Normal</v>
      </c>
      <c r="Z320" s="53" t="str">
        <f>IFERROR(
IF(tbl_abs[[#This Row],[Absenteeism time in hours]]&lt;=2,"0–2",
IF(tbl_abs[[#This Row],[Absenteeism time in hours]]&lt;=8,"3–8",
IF(tbl_abs[[#This Row],[Absenteeism time in hours]]&lt;=16,"9–16",
"17+"))),"")</f>
        <v>3–8</v>
      </c>
    </row>
    <row r="321" spans="1:26" ht="15" customHeight="1" x14ac:dyDescent="0.3">
      <c r="A321">
        <v>28</v>
      </c>
      <c r="B321">
        <v>6</v>
      </c>
      <c r="C321" s="1">
        <v>5</v>
      </c>
      <c r="D321">
        <v>4</v>
      </c>
      <c r="E321">
        <v>3</v>
      </c>
      <c r="F321">
        <v>225</v>
      </c>
      <c r="G321" s="1">
        <v>26</v>
      </c>
      <c r="H321">
        <v>9</v>
      </c>
      <c r="I321" s="1">
        <v>28</v>
      </c>
      <c r="J321" s="2">
        <v>237656</v>
      </c>
      <c r="K321">
        <v>99</v>
      </c>
      <c r="L321">
        <v>0</v>
      </c>
      <c r="M321">
        <v>1</v>
      </c>
      <c r="N321">
        <v>1</v>
      </c>
      <c r="O321">
        <v>0</v>
      </c>
      <c r="P321">
        <v>0</v>
      </c>
      <c r="Q321">
        <v>2</v>
      </c>
      <c r="R321">
        <v>69</v>
      </c>
      <c r="S321">
        <v>169</v>
      </c>
      <c r="T321">
        <v>24</v>
      </c>
      <c r="U321">
        <v>3</v>
      </c>
      <c r="V321" s="53" t="str">
        <f>IFERROR(
IF(tbl_abs[[#This Row],[Month of absence]]=0,"Unknown",
CHOOSE(tbl_abs[[#This Row],[Month of absence]],
"Jan","Feb","Mar","Apr","May","Jun","Jul","Aug","Sep","Oct","Nov","Dec")),"")</f>
        <v>May</v>
      </c>
      <c r="W321" s="53" t="str">
        <f>IFERROR(
IF(tbl_abs[[#This Row],[Age]]&lt;30,"&lt;30",
IF(tbl_abs[[#This Row],[Age]]&lt;40,"30–39",
IF(tbl_abs[[#This Row],[Age]]&lt;50,"40–49",
IF(tbl_abs[[#This Row],[Age]]&lt;60,"50–59",
"60+")))),"")</f>
        <v>&lt;30</v>
      </c>
      <c r="X321" s="53" t="str">
        <f>IFERROR(
IF(tbl_abs[[#This Row],[Distance from Residence to Work]]&lt;=5,"0–5",
IF(tbl_abs[[#This Row],[Distance from Residence to Work]]&lt;=10,"6–10",
IF(tbl_abs[[#This Row],[Distance from Residence to Work]]&lt;=20,"11–20",
"21+"))),"")</f>
        <v>21+</v>
      </c>
      <c r="Y321" s="53" t="str">
        <f>IFERROR(
IF(tbl_abs[[#This Row],[Body Mass Index]]&lt;18.5,"Underweight",
IF(tbl_abs[[#This Row],[Body Mass Index]]&lt;25,"Normal",
IF(tbl_abs[[#This Row],[Body Mass Index]]&lt;30,"Overweight",
"Obese"))),"")</f>
        <v>Normal</v>
      </c>
      <c r="Z321" s="53" t="str">
        <f>IFERROR(
IF(tbl_abs[[#This Row],[Absenteeism time in hours]]&lt;=2,"0–2",
IF(tbl_abs[[#This Row],[Absenteeism time in hours]]&lt;=8,"3–8",
IF(tbl_abs[[#This Row],[Absenteeism time in hours]]&lt;=16,"9–16",
"17+"))),"")</f>
        <v>3–8</v>
      </c>
    </row>
    <row r="322" spans="1:26" ht="15" customHeight="1" x14ac:dyDescent="0.3">
      <c r="A322">
        <v>18</v>
      </c>
      <c r="B322">
        <v>10</v>
      </c>
      <c r="C322" s="1">
        <v>5</v>
      </c>
      <c r="D322">
        <v>5</v>
      </c>
      <c r="E322">
        <v>3</v>
      </c>
      <c r="F322">
        <v>330</v>
      </c>
      <c r="G322" s="1">
        <v>16</v>
      </c>
      <c r="H322">
        <v>4</v>
      </c>
      <c r="I322" s="1">
        <v>28</v>
      </c>
      <c r="J322" s="2">
        <v>237656</v>
      </c>
      <c r="K322">
        <v>99</v>
      </c>
      <c r="L322">
        <v>0</v>
      </c>
      <c r="M322">
        <v>2</v>
      </c>
      <c r="N322">
        <v>0</v>
      </c>
      <c r="O322">
        <v>0</v>
      </c>
      <c r="P322">
        <v>0</v>
      </c>
      <c r="Q322">
        <v>0</v>
      </c>
      <c r="R322">
        <v>84</v>
      </c>
      <c r="S322">
        <v>182</v>
      </c>
      <c r="T322">
        <v>25</v>
      </c>
      <c r="U322">
        <v>8</v>
      </c>
      <c r="V322" s="53" t="str">
        <f>IFERROR(
IF(tbl_abs[[#This Row],[Month of absence]]=0,"Unknown",
CHOOSE(tbl_abs[[#This Row],[Month of absence]],
"Jan","Feb","Mar","Apr","May","Jun","Jul","Aug","Sep","Oct","Nov","Dec")),"")</f>
        <v>May</v>
      </c>
      <c r="W322" s="53" t="str">
        <f>IFERROR(
IF(tbl_abs[[#This Row],[Age]]&lt;30,"&lt;30",
IF(tbl_abs[[#This Row],[Age]]&lt;40,"30–39",
IF(tbl_abs[[#This Row],[Age]]&lt;50,"40–49",
IF(tbl_abs[[#This Row],[Age]]&lt;60,"50–59",
"60+")))),"")</f>
        <v>&lt;30</v>
      </c>
      <c r="X322" s="53" t="str">
        <f>IFERROR(
IF(tbl_abs[[#This Row],[Distance from Residence to Work]]&lt;=5,"0–5",
IF(tbl_abs[[#This Row],[Distance from Residence to Work]]&lt;=10,"6–10",
IF(tbl_abs[[#This Row],[Distance from Residence to Work]]&lt;=20,"11–20",
"21+"))),"")</f>
        <v>11–20</v>
      </c>
      <c r="Y322" s="53" t="str">
        <f>IFERROR(
IF(tbl_abs[[#This Row],[Body Mass Index]]&lt;18.5,"Underweight",
IF(tbl_abs[[#This Row],[Body Mass Index]]&lt;25,"Normal",
IF(tbl_abs[[#This Row],[Body Mass Index]]&lt;30,"Overweight",
"Obese"))),"")</f>
        <v>Overweight</v>
      </c>
      <c r="Z322" s="53" t="str">
        <f>IFERROR(
IF(tbl_abs[[#This Row],[Absenteeism time in hours]]&lt;=2,"0–2",
IF(tbl_abs[[#This Row],[Absenteeism time in hours]]&lt;=8,"3–8",
IF(tbl_abs[[#This Row],[Absenteeism time in hours]]&lt;=16,"9–16",
"17+"))),"")</f>
        <v>3–8</v>
      </c>
    </row>
    <row r="323" spans="1:26" ht="15" customHeight="1" x14ac:dyDescent="0.3">
      <c r="A323">
        <v>25</v>
      </c>
      <c r="B323">
        <v>23</v>
      </c>
      <c r="C323" s="1">
        <v>5</v>
      </c>
      <c r="D323">
        <v>5</v>
      </c>
      <c r="E323">
        <v>3</v>
      </c>
      <c r="F323">
        <v>235</v>
      </c>
      <c r="G323" s="1">
        <v>16</v>
      </c>
      <c r="H323">
        <v>8</v>
      </c>
      <c r="I323" s="1">
        <v>32</v>
      </c>
      <c r="J323" s="2">
        <v>237656</v>
      </c>
      <c r="K323">
        <v>99</v>
      </c>
      <c r="L323">
        <v>0</v>
      </c>
      <c r="M323">
        <v>3</v>
      </c>
      <c r="N323">
        <v>0</v>
      </c>
      <c r="O323">
        <v>0</v>
      </c>
      <c r="P323">
        <v>0</v>
      </c>
      <c r="Q323">
        <v>0</v>
      </c>
      <c r="R323">
        <v>75</v>
      </c>
      <c r="S323">
        <v>178</v>
      </c>
      <c r="T323">
        <v>25</v>
      </c>
      <c r="U323">
        <v>2</v>
      </c>
      <c r="V323" s="53" t="str">
        <f>IFERROR(
IF(tbl_abs[[#This Row],[Month of absence]]=0,"Unknown",
CHOOSE(tbl_abs[[#This Row],[Month of absence]],
"Jan","Feb","Mar","Apr","May","Jun","Jul","Aug","Sep","Oct","Nov","Dec")),"")</f>
        <v>May</v>
      </c>
      <c r="W323" s="53" t="str">
        <f>IFERROR(
IF(tbl_abs[[#This Row],[Age]]&lt;30,"&lt;30",
IF(tbl_abs[[#This Row],[Age]]&lt;40,"30–39",
IF(tbl_abs[[#This Row],[Age]]&lt;50,"40–49",
IF(tbl_abs[[#This Row],[Age]]&lt;60,"50–59",
"60+")))),"")</f>
        <v>30–39</v>
      </c>
      <c r="X323" s="53" t="str">
        <f>IFERROR(
IF(tbl_abs[[#This Row],[Distance from Residence to Work]]&lt;=5,"0–5",
IF(tbl_abs[[#This Row],[Distance from Residence to Work]]&lt;=10,"6–10",
IF(tbl_abs[[#This Row],[Distance from Residence to Work]]&lt;=20,"11–20",
"21+"))),"")</f>
        <v>11–20</v>
      </c>
      <c r="Y323" s="53" t="str">
        <f>IFERROR(
IF(tbl_abs[[#This Row],[Body Mass Index]]&lt;18.5,"Underweight",
IF(tbl_abs[[#This Row],[Body Mass Index]]&lt;25,"Normal",
IF(tbl_abs[[#This Row],[Body Mass Index]]&lt;30,"Overweight",
"Obese"))),"")</f>
        <v>Overweight</v>
      </c>
      <c r="Z323" s="53" t="str">
        <f>IFERROR(
IF(tbl_abs[[#This Row],[Absenteeism time in hours]]&lt;=2,"0–2",
IF(tbl_abs[[#This Row],[Absenteeism time in hours]]&lt;=8,"3–8",
IF(tbl_abs[[#This Row],[Absenteeism time in hours]]&lt;=16,"9–16",
"17+"))),"")</f>
        <v>0–2</v>
      </c>
    </row>
    <row r="324" spans="1:26" ht="15" customHeight="1" x14ac:dyDescent="0.3">
      <c r="A324">
        <v>15</v>
      </c>
      <c r="B324">
        <v>28</v>
      </c>
      <c r="C324" s="1">
        <v>5</v>
      </c>
      <c r="D324">
        <v>5</v>
      </c>
      <c r="E324">
        <v>3</v>
      </c>
      <c r="F324">
        <v>291</v>
      </c>
      <c r="G324" s="1">
        <v>31</v>
      </c>
      <c r="H324">
        <v>12</v>
      </c>
      <c r="I324" s="1">
        <v>40</v>
      </c>
      <c r="J324" s="2">
        <v>237656</v>
      </c>
      <c r="K324">
        <v>99</v>
      </c>
      <c r="L324">
        <v>0</v>
      </c>
      <c r="M324">
        <v>1</v>
      </c>
      <c r="N324">
        <v>1</v>
      </c>
      <c r="O324">
        <v>1</v>
      </c>
      <c r="P324">
        <v>0</v>
      </c>
      <c r="Q324">
        <v>1</v>
      </c>
      <c r="R324">
        <v>73</v>
      </c>
      <c r="S324">
        <v>171</v>
      </c>
      <c r="T324">
        <v>25</v>
      </c>
      <c r="U324">
        <v>2</v>
      </c>
      <c r="V324" s="53" t="str">
        <f>IFERROR(
IF(tbl_abs[[#This Row],[Month of absence]]=0,"Unknown",
CHOOSE(tbl_abs[[#This Row],[Month of absence]],
"Jan","Feb","Mar","Apr","May","Jun","Jul","Aug","Sep","Oct","Nov","Dec")),"")</f>
        <v>May</v>
      </c>
      <c r="W324" s="53" t="str">
        <f>IFERROR(
IF(tbl_abs[[#This Row],[Age]]&lt;30,"&lt;30",
IF(tbl_abs[[#This Row],[Age]]&lt;40,"30–39",
IF(tbl_abs[[#This Row],[Age]]&lt;50,"40–49",
IF(tbl_abs[[#This Row],[Age]]&lt;60,"50–59",
"60+")))),"")</f>
        <v>40–49</v>
      </c>
      <c r="X324" s="53" t="str">
        <f>IFERROR(
IF(tbl_abs[[#This Row],[Distance from Residence to Work]]&lt;=5,"0–5",
IF(tbl_abs[[#This Row],[Distance from Residence to Work]]&lt;=10,"6–10",
IF(tbl_abs[[#This Row],[Distance from Residence to Work]]&lt;=20,"11–20",
"21+"))),"")</f>
        <v>21+</v>
      </c>
      <c r="Y324" s="53" t="str">
        <f>IFERROR(
IF(tbl_abs[[#This Row],[Body Mass Index]]&lt;18.5,"Underweight",
IF(tbl_abs[[#This Row],[Body Mass Index]]&lt;25,"Normal",
IF(tbl_abs[[#This Row],[Body Mass Index]]&lt;30,"Overweight",
"Obese"))),"")</f>
        <v>Overweight</v>
      </c>
      <c r="Z324" s="53" t="str">
        <f>IFERROR(
IF(tbl_abs[[#This Row],[Absenteeism time in hours]]&lt;=2,"0–2",
IF(tbl_abs[[#This Row],[Absenteeism time in hours]]&lt;=8,"3–8",
IF(tbl_abs[[#This Row],[Absenteeism time in hours]]&lt;=16,"9–16",
"17+"))),"")</f>
        <v>0–2</v>
      </c>
    </row>
    <row r="325" spans="1:26" ht="15" customHeight="1" x14ac:dyDescent="0.3">
      <c r="A325">
        <v>22</v>
      </c>
      <c r="B325">
        <v>27</v>
      </c>
      <c r="C325" s="1">
        <v>5</v>
      </c>
      <c r="D325">
        <v>6</v>
      </c>
      <c r="E325">
        <v>3</v>
      </c>
      <c r="F325">
        <v>179</v>
      </c>
      <c r="G325" s="1">
        <v>26</v>
      </c>
      <c r="H325">
        <v>9</v>
      </c>
      <c r="I325" s="1">
        <v>30</v>
      </c>
      <c r="J325" s="2">
        <v>237656</v>
      </c>
      <c r="K325">
        <v>99</v>
      </c>
      <c r="L325">
        <v>0</v>
      </c>
      <c r="M325">
        <v>3</v>
      </c>
      <c r="N325">
        <v>0</v>
      </c>
      <c r="O325">
        <v>0</v>
      </c>
      <c r="P325">
        <v>0</v>
      </c>
      <c r="Q325">
        <v>0</v>
      </c>
      <c r="R325">
        <v>56</v>
      </c>
      <c r="S325">
        <v>171</v>
      </c>
      <c r="T325">
        <v>19</v>
      </c>
      <c r="U325">
        <v>2</v>
      </c>
      <c r="V325" s="53" t="str">
        <f>IFERROR(
IF(tbl_abs[[#This Row],[Month of absence]]=0,"Unknown",
CHOOSE(tbl_abs[[#This Row],[Month of absence]],
"Jan","Feb","Mar","Apr","May","Jun","Jul","Aug","Sep","Oct","Nov","Dec")),"")</f>
        <v>May</v>
      </c>
      <c r="W325" s="53" t="str">
        <f>IFERROR(
IF(tbl_abs[[#This Row],[Age]]&lt;30,"&lt;30",
IF(tbl_abs[[#This Row],[Age]]&lt;40,"30–39",
IF(tbl_abs[[#This Row],[Age]]&lt;50,"40–49",
IF(tbl_abs[[#This Row],[Age]]&lt;60,"50–59",
"60+")))),"")</f>
        <v>30–39</v>
      </c>
      <c r="X325" s="53" t="str">
        <f>IFERROR(
IF(tbl_abs[[#This Row],[Distance from Residence to Work]]&lt;=5,"0–5",
IF(tbl_abs[[#This Row],[Distance from Residence to Work]]&lt;=10,"6–10",
IF(tbl_abs[[#This Row],[Distance from Residence to Work]]&lt;=20,"11–20",
"21+"))),"")</f>
        <v>21+</v>
      </c>
      <c r="Y325" s="53" t="str">
        <f>IFERROR(
IF(tbl_abs[[#This Row],[Body Mass Index]]&lt;18.5,"Underweight",
IF(tbl_abs[[#This Row],[Body Mass Index]]&lt;25,"Normal",
IF(tbl_abs[[#This Row],[Body Mass Index]]&lt;30,"Overweight",
"Obese"))),"")</f>
        <v>Normal</v>
      </c>
      <c r="Z325" s="53" t="str">
        <f>IFERROR(
IF(tbl_abs[[#This Row],[Absenteeism time in hours]]&lt;=2,"0–2",
IF(tbl_abs[[#This Row],[Absenteeism time in hours]]&lt;=8,"3–8",
IF(tbl_abs[[#This Row],[Absenteeism time in hours]]&lt;=16,"9–16",
"17+"))),"")</f>
        <v>0–2</v>
      </c>
    </row>
    <row r="326" spans="1:26" ht="15" customHeight="1" x14ac:dyDescent="0.3">
      <c r="A326">
        <v>10</v>
      </c>
      <c r="B326">
        <v>7</v>
      </c>
      <c r="C326" s="1">
        <v>5</v>
      </c>
      <c r="D326">
        <v>2</v>
      </c>
      <c r="E326">
        <v>3</v>
      </c>
      <c r="F326">
        <v>361</v>
      </c>
      <c r="G326" s="1">
        <v>52</v>
      </c>
      <c r="H326">
        <v>3</v>
      </c>
      <c r="I326" s="1">
        <v>28</v>
      </c>
      <c r="J326" s="2">
        <v>237656</v>
      </c>
      <c r="K326">
        <v>99</v>
      </c>
      <c r="L326">
        <v>0</v>
      </c>
      <c r="M326">
        <v>1</v>
      </c>
      <c r="N326">
        <v>1</v>
      </c>
      <c r="O326">
        <v>1</v>
      </c>
      <c r="P326">
        <v>0</v>
      </c>
      <c r="Q326">
        <v>4</v>
      </c>
      <c r="R326">
        <v>80</v>
      </c>
      <c r="S326">
        <v>172</v>
      </c>
      <c r="T326">
        <v>27</v>
      </c>
      <c r="U326">
        <v>8</v>
      </c>
      <c r="V326" s="53" t="str">
        <f>IFERROR(
IF(tbl_abs[[#This Row],[Month of absence]]=0,"Unknown",
CHOOSE(tbl_abs[[#This Row],[Month of absence]],
"Jan","Feb","Mar","Apr","May","Jun","Jul","Aug","Sep","Oct","Nov","Dec")),"")</f>
        <v>May</v>
      </c>
      <c r="W326" s="53" t="str">
        <f>IFERROR(
IF(tbl_abs[[#This Row],[Age]]&lt;30,"&lt;30",
IF(tbl_abs[[#This Row],[Age]]&lt;40,"30–39",
IF(tbl_abs[[#This Row],[Age]]&lt;50,"40–49",
IF(tbl_abs[[#This Row],[Age]]&lt;60,"50–59",
"60+")))),"")</f>
        <v>&lt;30</v>
      </c>
      <c r="X326" s="53" t="str">
        <f>IFERROR(
IF(tbl_abs[[#This Row],[Distance from Residence to Work]]&lt;=5,"0–5",
IF(tbl_abs[[#This Row],[Distance from Residence to Work]]&lt;=10,"6–10",
IF(tbl_abs[[#This Row],[Distance from Residence to Work]]&lt;=20,"11–20",
"21+"))),"")</f>
        <v>21+</v>
      </c>
      <c r="Y326" s="53" t="str">
        <f>IFERROR(
IF(tbl_abs[[#This Row],[Body Mass Index]]&lt;18.5,"Underweight",
IF(tbl_abs[[#This Row],[Body Mass Index]]&lt;25,"Normal",
IF(tbl_abs[[#This Row],[Body Mass Index]]&lt;30,"Overweight",
"Obese"))),"")</f>
        <v>Overweight</v>
      </c>
      <c r="Z326" s="53" t="str">
        <f>IFERROR(
IF(tbl_abs[[#This Row],[Absenteeism time in hours]]&lt;=2,"0–2",
IF(tbl_abs[[#This Row],[Absenteeism time in hours]]&lt;=8,"3–8",
IF(tbl_abs[[#This Row],[Absenteeism time in hours]]&lt;=16,"9–16",
"17+"))),"")</f>
        <v>3–8</v>
      </c>
    </row>
    <row r="327" spans="1:26" ht="15" customHeight="1" x14ac:dyDescent="0.3">
      <c r="A327">
        <v>14</v>
      </c>
      <c r="B327">
        <v>23</v>
      </c>
      <c r="C327" s="1">
        <v>5</v>
      </c>
      <c r="D327">
        <v>4</v>
      </c>
      <c r="E327">
        <v>3</v>
      </c>
      <c r="F327">
        <v>155</v>
      </c>
      <c r="G327" s="1">
        <v>12</v>
      </c>
      <c r="H327">
        <v>14</v>
      </c>
      <c r="I327" s="1">
        <v>34</v>
      </c>
      <c r="J327" s="2">
        <v>237656</v>
      </c>
      <c r="K327">
        <v>99</v>
      </c>
      <c r="L327">
        <v>0</v>
      </c>
      <c r="M327">
        <v>1</v>
      </c>
      <c r="N327">
        <v>2</v>
      </c>
      <c r="O327">
        <v>1</v>
      </c>
      <c r="P327">
        <v>0</v>
      </c>
      <c r="Q327">
        <v>0</v>
      </c>
      <c r="R327">
        <v>95</v>
      </c>
      <c r="S327">
        <v>196</v>
      </c>
      <c r="T327">
        <v>25</v>
      </c>
      <c r="U327">
        <v>2</v>
      </c>
      <c r="V327" s="53" t="str">
        <f>IFERROR(
IF(tbl_abs[[#This Row],[Month of absence]]=0,"Unknown",
CHOOSE(tbl_abs[[#This Row],[Month of absence]],
"Jan","Feb","Mar","Apr","May","Jun","Jul","Aug","Sep","Oct","Nov","Dec")),"")</f>
        <v>May</v>
      </c>
      <c r="W327" s="53" t="str">
        <f>IFERROR(
IF(tbl_abs[[#This Row],[Age]]&lt;30,"&lt;30",
IF(tbl_abs[[#This Row],[Age]]&lt;40,"30–39",
IF(tbl_abs[[#This Row],[Age]]&lt;50,"40–49",
IF(tbl_abs[[#This Row],[Age]]&lt;60,"50–59",
"60+")))),"")</f>
        <v>30–39</v>
      </c>
      <c r="X327" s="53" t="str">
        <f>IFERROR(
IF(tbl_abs[[#This Row],[Distance from Residence to Work]]&lt;=5,"0–5",
IF(tbl_abs[[#This Row],[Distance from Residence to Work]]&lt;=10,"6–10",
IF(tbl_abs[[#This Row],[Distance from Residence to Work]]&lt;=20,"11–20",
"21+"))),"")</f>
        <v>11–20</v>
      </c>
      <c r="Y327" s="53" t="str">
        <f>IFERROR(
IF(tbl_abs[[#This Row],[Body Mass Index]]&lt;18.5,"Underweight",
IF(tbl_abs[[#This Row],[Body Mass Index]]&lt;25,"Normal",
IF(tbl_abs[[#This Row],[Body Mass Index]]&lt;30,"Overweight",
"Obese"))),"")</f>
        <v>Overweight</v>
      </c>
      <c r="Z327" s="53" t="str">
        <f>IFERROR(
IF(tbl_abs[[#This Row],[Absenteeism time in hours]]&lt;=2,"0–2",
IF(tbl_abs[[#This Row],[Absenteeism time in hours]]&lt;=8,"3–8",
IF(tbl_abs[[#This Row],[Absenteeism time in hours]]&lt;=16,"9–16",
"17+"))),"")</f>
        <v>0–2</v>
      </c>
    </row>
    <row r="328" spans="1:26" ht="15" customHeight="1" x14ac:dyDescent="0.3">
      <c r="A328">
        <v>17</v>
      </c>
      <c r="B328">
        <v>25</v>
      </c>
      <c r="C328" s="1">
        <v>5</v>
      </c>
      <c r="D328">
        <v>6</v>
      </c>
      <c r="E328">
        <v>3</v>
      </c>
      <c r="F328">
        <v>179</v>
      </c>
      <c r="G328" s="1">
        <v>22</v>
      </c>
      <c r="H328">
        <v>17</v>
      </c>
      <c r="I328" s="1">
        <v>40</v>
      </c>
      <c r="J328" s="2">
        <v>237656</v>
      </c>
      <c r="K328">
        <v>99</v>
      </c>
      <c r="L328">
        <v>0</v>
      </c>
      <c r="M328">
        <v>2</v>
      </c>
      <c r="N328">
        <v>2</v>
      </c>
      <c r="O328">
        <v>0</v>
      </c>
      <c r="P328">
        <v>1</v>
      </c>
      <c r="Q328">
        <v>0</v>
      </c>
      <c r="R328">
        <v>63</v>
      </c>
      <c r="S328">
        <v>170</v>
      </c>
      <c r="T328">
        <v>22</v>
      </c>
      <c r="U328">
        <v>8</v>
      </c>
      <c r="V328" s="53" t="str">
        <f>IFERROR(
IF(tbl_abs[[#This Row],[Month of absence]]=0,"Unknown",
CHOOSE(tbl_abs[[#This Row],[Month of absence]],
"Jan","Feb","Mar","Apr","May","Jun","Jul","Aug","Sep","Oct","Nov","Dec")),"")</f>
        <v>May</v>
      </c>
      <c r="W328" s="53" t="str">
        <f>IFERROR(
IF(tbl_abs[[#This Row],[Age]]&lt;30,"&lt;30",
IF(tbl_abs[[#This Row],[Age]]&lt;40,"30–39",
IF(tbl_abs[[#This Row],[Age]]&lt;50,"40–49",
IF(tbl_abs[[#This Row],[Age]]&lt;60,"50–59",
"60+")))),"")</f>
        <v>40–49</v>
      </c>
      <c r="X328" s="53" t="str">
        <f>IFERROR(
IF(tbl_abs[[#This Row],[Distance from Residence to Work]]&lt;=5,"0–5",
IF(tbl_abs[[#This Row],[Distance from Residence to Work]]&lt;=10,"6–10",
IF(tbl_abs[[#This Row],[Distance from Residence to Work]]&lt;=20,"11–20",
"21+"))),"")</f>
        <v>21+</v>
      </c>
      <c r="Y328" s="53" t="str">
        <f>IFERROR(
IF(tbl_abs[[#This Row],[Body Mass Index]]&lt;18.5,"Underweight",
IF(tbl_abs[[#This Row],[Body Mass Index]]&lt;25,"Normal",
IF(tbl_abs[[#This Row],[Body Mass Index]]&lt;30,"Overweight",
"Obese"))),"")</f>
        <v>Normal</v>
      </c>
      <c r="Z328" s="53" t="str">
        <f>IFERROR(
IF(tbl_abs[[#This Row],[Absenteeism time in hours]]&lt;=2,"0–2",
IF(tbl_abs[[#This Row],[Absenteeism time in hours]]&lt;=8,"3–8",
IF(tbl_abs[[#This Row],[Absenteeism time in hours]]&lt;=16,"9–16",
"17+"))),"")</f>
        <v>3–8</v>
      </c>
    </row>
    <row r="329" spans="1:26" ht="15" customHeight="1" x14ac:dyDescent="0.3">
      <c r="A329">
        <v>14</v>
      </c>
      <c r="B329">
        <v>10</v>
      </c>
      <c r="C329" s="1">
        <v>5</v>
      </c>
      <c r="D329">
        <v>6</v>
      </c>
      <c r="E329">
        <v>3</v>
      </c>
      <c r="F329">
        <v>155</v>
      </c>
      <c r="G329" s="1">
        <v>12</v>
      </c>
      <c r="H329">
        <v>14</v>
      </c>
      <c r="I329" s="1">
        <v>34</v>
      </c>
      <c r="J329" s="2">
        <v>237656</v>
      </c>
      <c r="K329">
        <v>99</v>
      </c>
      <c r="L329">
        <v>0</v>
      </c>
      <c r="M329">
        <v>1</v>
      </c>
      <c r="N329">
        <v>2</v>
      </c>
      <c r="O329">
        <v>1</v>
      </c>
      <c r="P329">
        <v>0</v>
      </c>
      <c r="Q329">
        <v>0</v>
      </c>
      <c r="R329">
        <v>95</v>
      </c>
      <c r="S329">
        <v>196</v>
      </c>
      <c r="T329">
        <v>25</v>
      </c>
      <c r="U329">
        <v>8</v>
      </c>
      <c r="V329" s="53" t="str">
        <f>IFERROR(
IF(tbl_abs[[#This Row],[Month of absence]]=0,"Unknown",
CHOOSE(tbl_abs[[#This Row],[Month of absence]],
"Jan","Feb","Mar","Apr","May","Jun","Jul","Aug","Sep","Oct","Nov","Dec")),"")</f>
        <v>May</v>
      </c>
      <c r="W329" s="53" t="str">
        <f>IFERROR(
IF(tbl_abs[[#This Row],[Age]]&lt;30,"&lt;30",
IF(tbl_abs[[#This Row],[Age]]&lt;40,"30–39",
IF(tbl_abs[[#This Row],[Age]]&lt;50,"40–49",
IF(tbl_abs[[#This Row],[Age]]&lt;60,"50–59",
"60+")))),"")</f>
        <v>30–39</v>
      </c>
      <c r="X329" s="53" t="str">
        <f>IFERROR(
IF(tbl_abs[[#This Row],[Distance from Residence to Work]]&lt;=5,"0–5",
IF(tbl_abs[[#This Row],[Distance from Residence to Work]]&lt;=10,"6–10",
IF(tbl_abs[[#This Row],[Distance from Residence to Work]]&lt;=20,"11–20",
"21+"))),"")</f>
        <v>11–20</v>
      </c>
      <c r="Y329" s="53" t="str">
        <f>IFERROR(
IF(tbl_abs[[#This Row],[Body Mass Index]]&lt;18.5,"Underweight",
IF(tbl_abs[[#This Row],[Body Mass Index]]&lt;25,"Normal",
IF(tbl_abs[[#This Row],[Body Mass Index]]&lt;30,"Overweight",
"Obese"))),"")</f>
        <v>Overweight</v>
      </c>
      <c r="Z329" s="53" t="str">
        <f>IFERROR(
IF(tbl_abs[[#This Row],[Absenteeism time in hours]]&lt;=2,"0–2",
IF(tbl_abs[[#This Row],[Absenteeism time in hours]]&lt;=8,"3–8",
IF(tbl_abs[[#This Row],[Absenteeism time in hours]]&lt;=16,"9–16",
"17+"))),"")</f>
        <v>3–8</v>
      </c>
    </row>
    <row r="330" spans="1:26" ht="15" customHeight="1" x14ac:dyDescent="0.3">
      <c r="A330">
        <v>28</v>
      </c>
      <c r="B330">
        <v>11</v>
      </c>
      <c r="C330" s="1">
        <v>5</v>
      </c>
      <c r="D330">
        <v>2</v>
      </c>
      <c r="E330">
        <v>3</v>
      </c>
      <c r="F330">
        <v>225</v>
      </c>
      <c r="G330" s="1">
        <v>26</v>
      </c>
      <c r="H330">
        <v>9</v>
      </c>
      <c r="I330" s="1">
        <v>28</v>
      </c>
      <c r="J330" s="2">
        <v>237656</v>
      </c>
      <c r="K330">
        <v>99</v>
      </c>
      <c r="L330">
        <v>0</v>
      </c>
      <c r="M330">
        <v>1</v>
      </c>
      <c r="N330">
        <v>1</v>
      </c>
      <c r="O330">
        <v>0</v>
      </c>
      <c r="P330">
        <v>0</v>
      </c>
      <c r="Q330">
        <v>2</v>
      </c>
      <c r="R330">
        <v>69</v>
      </c>
      <c r="S330">
        <v>169</v>
      </c>
      <c r="T330">
        <v>24</v>
      </c>
      <c r="U330">
        <v>1</v>
      </c>
      <c r="V330" s="53" t="str">
        <f>IFERROR(
IF(tbl_abs[[#This Row],[Month of absence]]=0,"Unknown",
CHOOSE(tbl_abs[[#This Row],[Month of absence]],
"Jan","Feb","Mar","Apr","May","Jun","Jul","Aug","Sep","Oct","Nov","Dec")),"")</f>
        <v>May</v>
      </c>
      <c r="W330" s="53" t="str">
        <f>IFERROR(
IF(tbl_abs[[#This Row],[Age]]&lt;30,"&lt;30",
IF(tbl_abs[[#This Row],[Age]]&lt;40,"30–39",
IF(tbl_abs[[#This Row],[Age]]&lt;50,"40–49",
IF(tbl_abs[[#This Row],[Age]]&lt;60,"50–59",
"60+")))),"")</f>
        <v>&lt;30</v>
      </c>
      <c r="X330" s="53" t="str">
        <f>IFERROR(
IF(tbl_abs[[#This Row],[Distance from Residence to Work]]&lt;=5,"0–5",
IF(tbl_abs[[#This Row],[Distance from Residence to Work]]&lt;=10,"6–10",
IF(tbl_abs[[#This Row],[Distance from Residence to Work]]&lt;=20,"11–20",
"21+"))),"")</f>
        <v>21+</v>
      </c>
      <c r="Y330" s="53" t="str">
        <f>IFERROR(
IF(tbl_abs[[#This Row],[Body Mass Index]]&lt;18.5,"Underweight",
IF(tbl_abs[[#This Row],[Body Mass Index]]&lt;25,"Normal",
IF(tbl_abs[[#This Row],[Body Mass Index]]&lt;30,"Overweight",
"Obese"))),"")</f>
        <v>Normal</v>
      </c>
      <c r="Z330" s="53" t="str">
        <f>IFERROR(
IF(tbl_abs[[#This Row],[Absenteeism time in hours]]&lt;=2,"0–2",
IF(tbl_abs[[#This Row],[Absenteeism time in hours]]&lt;=8,"3–8",
IF(tbl_abs[[#This Row],[Absenteeism time in hours]]&lt;=16,"9–16",
"17+"))),"")</f>
        <v>0–2</v>
      </c>
    </row>
    <row r="331" spans="1:26" ht="15" customHeight="1" x14ac:dyDescent="0.3">
      <c r="A331">
        <v>24</v>
      </c>
      <c r="B331">
        <v>19</v>
      </c>
      <c r="C331" s="1">
        <v>6</v>
      </c>
      <c r="D331">
        <v>2</v>
      </c>
      <c r="E331">
        <v>3</v>
      </c>
      <c r="F331">
        <v>246</v>
      </c>
      <c r="G331" s="1">
        <v>25</v>
      </c>
      <c r="H331">
        <v>16</v>
      </c>
      <c r="J331" s="2">
        <v>377550</v>
      </c>
      <c r="K331">
        <v>94</v>
      </c>
      <c r="L331">
        <v>0</v>
      </c>
      <c r="M331">
        <v>1</v>
      </c>
      <c r="N331">
        <v>0</v>
      </c>
      <c r="O331">
        <v>1</v>
      </c>
      <c r="P331">
        <v>0</v>
      </c>
      <c r="Q331">
        <v>0</v>
      </c>
      <c r="R331">
        <v>67</v>
      </c>
      <c r="S331">
        <v>170</v>
      </c>
      <c r="U331">
        <v>8</v>
      </c>
      <c r="V331" s="53" t="str">
        <f>IFERROR(
IF(tbl_abs[[#This Row],[Month of absence]]=0,"Unknown",
CHOOSE(tbl_abs[[#This Row],[Month of absence]],
"Jan","Feb","Mar","Apr","May","Jun","Jul","Aug","Sep","Oct","Nov","Dec")),"")</f>
        <v>Jun</v>
      </c>
      <c r="W331" s="53" t="str">
        <f>IFERROR(
IF(tbl_abs[[#This Row],[Age]]&lt;30,"&lt;30",
IF(tbl_abs[[#This Row],[Age]]&lt;40,"30–39",
IF(tbl_abs[[#This Row],[Age]]&lt;50,"40–49",
IF(tbl_abs[[#This Row],[Age]]&lt;60,"50–59",
"60+")))),"")</f>
        <v>&lt;30</v>
      </c>
      <c r="X331" s="53" t="str">
        <f>IFERROR(
IF(tbl_abs[[#This Row],[Distance from Residence to Work]]&lt;=5,"0–5",
IF(tbl_abs[[#This Row],[Distance from Residence to Work]]&lt;=10,"6–10",
IF(tbl_abs[[#This Row],[Distance from Residence to Work]]&lt;=20,"11–20",
"21+"))),"")</f>
        <v>21+</v>
      </c>
      <c r="Y331" s="53" t="str">
        <f>IFERROR(
IF(tbl_abs[[#This Row],[Body Mass Index]]&lt;18.5,"Underweight",
IF(tbl_abs[[#This Row],[Body Mass Index]]&lt;25,"Normal",
IF(tbl_abs[[#This Row],[Body Mass Index]]&lt;30,"Overweight",
"Obese"))),"")</f>
        <v>Underweight</v>
      </c>
      <c r="Z331" s="53" t="str">
        <f>IFERROR(
IF(tbl_abs[[#This Row],[Absenteeism time in hours]]&lt;=2,"0–2",
IF(tbl_abs[[#This Row],[Absenteeism time in hours]]&lt;=8,"3–8",
IF(tbl_abs[[#This Row],[Absenteeism time in hours]]&lt;=16,"9–16",
"17+"))),"")</f>
        <v>3–8</v>
      </c>
    </row>
    <row r="332" spans="1:26" ht="15" customHeight="1" x14ac:dyDescent="0.3">
      <c r="A332">
        <v>10</v>
      </c>
      <c r="B332">
        <v>22</v>
      </c>
      <c r="C332" s="1">
        <v>6</v>
      </c>
      <c r="D332">
        <v>2</v>
      </c>
      <c r="E332">
        <v>3</v>
      </c>
      <c r="F332">
        <v>361</v>
      </c>
      <c r="G332" s="1">
        <v>52</v>
      </c>
      <c r="H332">
        <v>3</v>
      </c>
      <c r="I332" s="1">
        <v>28</v>
      </c>
      <c r="J332" s="2">
        <v>377550</v>
      </c>
      <c r="K332">
        <v>94</v>
      </c>
      <c r="L332">
        <v>0</v>
      </c>
      <c r="M332">
        <v>1</v>
      </c>
      <c r="N332">
        <v>1</v>
      </c>
      <c r="O332">
        <v>1</v>
      </c>
      <c r="P332">
        <v>0</v>
      </c>
      <c r="Q332">
        <v>4</v>
      </c>
      <c r="R332">
        <v>80</v>
      </c>
      <c r="S332">
        <v>172</v>
      </c>
      <c r="T332">
        <v>27</v>
      </c>
      <c r="U332">
        <v>8</v>
      </c>
      <c r="V332" s="53" t="str">
        <f>IFERROR(
IF(tbl_abs[[#This Row],[Month of absence]]=0,"Unknown",
CHOOSE(tbl_abs[[#This Row],[Month of absence]],
"Jan","Feb","Mar","Apr","May","Jun","Jul","Aug","Sep","Oct","Nov","Dec")),"")</f>
        <v>Jun</v>
      </c>
      <c r="W332" s="53" t="str">
        <f>IFERROR(
IF(tbl_abs[[#This Row],[Age]]&lt;30,"&lt;30",
IF(tbl_abs[[#This Row],[Age]]&lt;40,"30–39",
IF(tbl_abs[[#This Row],[Age]]&lt;50,"40–49",
IF(tbl_abs[[#This Row],[Age]]&lt;60,"50–59",
"60+")))),"")</f>
        <v>&lt;30</v>
      </c>
      <c r="X332" s="53" t="str">
        <f>IFERROR(
IF(tbl_abs[[#This Row],[Distance from Residence to Work]]&lt;=5,"0–5",
IF(tbl_abs[[#This Row],[Distance from Residence to Work]]&lt;=10,"6–10",
IF(tbl_abs[[#This Row],[Distance from Residence to Work]]&lt;=20,"11–20",
"21+"))),"")</f>
        <v>21+</v>
      </c>
      <c r="Y332" s="53" t="str">
        <f>IFERROR(
IF(tbl_abs[[#This Row],[Body Mass Index]]&lt;18.5,"Underweight",
IF(tbl_abs[[#This Row],[Body Mass Index]]&lt;25,"Normal",
IF(tbl_abs[[#This Row],[Body Mass Index]]&lt;30,"Overweight",
"Obese"))),"")</f>
        <v>Overweight</v>
      </c>
      <c r="Z332" s="53" t="str">
        <f>IFERROR(
IF(tbl_abs[[#This Row],[Absenteeism time in hours]]&lt;=2,"0–2",
IF(tbl_abs[[#This Row],[Absenteeism time in hours]]&lt;=8,"3–8",
IF(tbl_abs[[#This Row],[Absenteeism time in hours]]&lt;=16,"9–16",
"17+"))),"")</f>
        <v>3–8</v>
      </c>
    </row>
    <row r="333" spans="1:26" ht="15" customHeight="1" x14ac:dyDescent="0.3">
      <c r="A333">
        <v>24</v>
      </c>
      <c r="B333">
        <v>10</v>
      </c>
      <c r="C333" s="1">
        <v>6</v>
      </c>
      <c r="D333">
        <v>3</v>
      </c>
      <c r="E333">
        <v>3</v>
      </c>
      <c r="F333">
        <v>246</v>
      </c>
      <c r="G333" s="1">
        <v>25</v>
      </c>
      <c r="H333">
        <v>16</v>
      </c>
      <c r="I333" s="1">
        <v>41</v>
      </c>
      <c r="J333" s="2">
        <v>377550</v>
      </c>
      <c r="K333">
        <v>94</v>
      </c>
      <c r="L333">
        <v>0</v>
      </c>
      <c r="M333">
        <v>1</v>
      </c>
      <c r="N333">
        <v>0</v>
      </c>
      <c r="O333">
        <v>1</v>
      </c>
      <c r="P333">
        <v>0</v>
      </c>
      <c r="Q333">
        <v>0</v>
      </c>
      <c r="R333">
        <v>67</v>
      </c>
      <c r="S333">
        <v>170</v>
      </c>
      <c r="T333">
        <v>23</v>
      </c>
      <c r="U333">
        <v>24</v>
      </c>
      <c r="V333" s="53" t="str">
        <f>IFERROR(
IF(tbl_abs[[#This Row],[Month of absence]]=0,"Unknown",
CHOOSE(tbl_abs[[#This Row],[Month of absence]],
"Jan","Feb","Mar","Apr","May","Jun","Jul","Aug","Sep","Oct","Nov","Dec")),"")</f>
        <v>Jun</v>
      </c>
      <c r="W333" s="53" t="str">
        <f>IFERROR(
IF(tbl_abs[[#This Row],[Age]]&lt;30,"&lt;30",
IF(tbl_abs[[#This Row],[Age]]&lt;40,"30–39",
IF(tbl_abs[[#This Row],[Age]]&lt;50,"40–49",
IF(tbl_abs[[#This Row],[Age]]&lt;60,"50–59",
"60+")))),"")</f>
        <v>40–49</v>
      </c>
      <c r="X333" s="53" t="str">
        <f>IFERROR(
IF(tbl_abs[[#This Row],[Distance from Residence to Work]]&lt;=5,"0–5",
IF(tbl_abs[[#This Row],[Distance from Residence to Work]]&lt;=10,"6–10",
IF(tbl_abs[[#This Row],[Distance from Residence to Work]]&lt;=20,"11–20",
"21+"))),"")</f>
        <v>21+</v>
      </c>
      <c r="Y333" s="53" t="str">
        <f>IFERROR(
IF(tbl_abs[[#This Row],[Body Mass Index]]&lt;18.5,"Underweight",
IF(tbl_abs[[#This Row],[Body Mass Index]]&lt;25,"Normal",
IF(tbl_abs[[#This Row],[Body Mass Index]]&lt;30,"Overweight",
"Obese"))),"")</f>
        <v>Normal</v>
      </c>
      <c r="Z333" s="53" t="str">
        <f>IFERROR(
IF(tbl_abs[[#This Row],[Absenteeism time in hours]]&lt;=2,"0–2",
IF(tbl_abs[[#This Row],[Absenteeism time in hours]]&lt;=8,"3–8",
IF(tbl_abs[[#This Row],[Absenteeism time in hours]]&lt;=16,"9–16",
"17+"))),"")</f>
        <v>17+</v>
      </c>
    </row>
    <row r="334" spans="1:26" ht="15" customHeight="1" x14ac:dyDescent="0.3">
      <c r="A334">
        <v>15</v>
      </c>
      <c r="B334">
        <v>23</v>
      </c>
      <c r="C334" s="1">
        <v>6</v>
      </c>
      <c r="D334">
        <v>5</v>
      </c>
      <c r="E334">
        <v>3</v>
      </c>
      <c r="F334">
        <v>291</v>
      </c>
      <c r="G334" s="1">
        <v>31</v>
      </c>
      <c r="H334">
        <v>12</v>
      </c>
      <c r="I334" s="1">
        <v>40</v>
      </c>
      <c r="J334" s="2">
        <v>377550</v>
      </c>
      <c r="K334">
        <v>94</v>
      </c>
      <c r="L334">
        <v>0</v>
      </c>
      <c r="M334">
        <v>1</v>
      </c>
      <c r="N334">
        <v>1</v>
      </c>
      <c r="O334">
        <v>1</v>
      </c>
      <c r="P334">
        <v>0</v>
      </c>
      <c r="Q334">
        <v>1</v>
      </c>
      <c r="R334">
        <v>73</v>
      </c>
      <c r="S334">
        <v>171</v>
      </c>
      <c r="T334">
        <v>25</v>
      </c>
      <c r="U334">
        <v>4</v>
      </c>
      <c r="V334" s="53" t="str">
        <f>IFERROR(
IF(tbl_abs[[#This Row],[Month of absence]]=0,"Unknown",
CHOOSE(tbl_abs[[#This Row],[Month of absence]],
"Jan","Feb","Mar","Apr","May","Jun","Jul","Aug","Sep","Oct","Nov","Dec")),"")</f>
        <v>Jun</v>
      </c>
      <c r="W334" s="53" t="str">
        <f>IFERROR(
IF(tbl_abs[[#This Row],[Age]]&lt;30,"&lt;30",
IF(tbl_abs[[#This Row],[Age]]&lt;40,"30–39",
IF(tbl_abs[[#This Row],[Age]]&lt;50,"40–49",
IF(tbl_abs[[#This Row],[Age]]&lt;60,"50–59",
"60+")))),"")</f>
        <v>40–49</v>
      </c>
      <c r="X334" s="53" t="str">
        <f>IFERROR(
IF(tbl_abs[[#This Row],[Distance from Residence to Work]]&lt;=5,"0–5",
IF(tbl_abs[[#This Row],[Distance from Residence to Work]]&lt;=10,"6–10",
IF(tbl_abs[[#This Row],[Distance from Residence to Work]]&lt;=20,"11–20",
"21+"))),"")</f>
        <v>21+</v>
      </c>
      <c r="Y334" s="53" t="str">
        <f>IFERROR(
IF(tbl_abs[[#This Row],[Body Mass Index]]&lt;18.5,"Underweight",
IF(tbl_abs[[#This Row],[Body Mass Index]]&lt;25,"Normal",
IF(tbl_abs[[#This Row],[Body Mass Index]]&lt;30,"Overweight",
"Obese"))),"")</f>
        <v>Overweight</v>
      </c>
      <c r="Z334" s="53" t="str">
        <f>IFERROR(
IF(tbl_abs[[#This Row],[Absenteeism time in hours]]&lt;=2,"0–2",
IF(tbl_abs[[#This Row],[Absenteeism time in hours]]&lt;=8,"3–8",
IF(tbl_abs[[#This Row],[Absenteeism time in hours]]&lt;=16,"9–16",
"17+"))),"")</f>
        <v>3–8</v>
      </c>
    </row>
    <row r="335" spans="1:26" ht="15" customHeight="1" x14ac:dyDescent="0.3">
      <c r="A335">
        <v>24</v>
      </c>
      <c r="B335">
        <v>10</v>
      </c>
      <c r="C335" s="1">
        <v>6</v>
      </c>
      <c r="D335">
        <v>6</v>
      </c>
      <c r="E335">
        <v>3</v>
      </c>
      <c r="F335">
        <v>246</v>
      </c>
      <c r="G335" s="1">
        <v>25</v>
      </c>
      <c r="H335">
        <v>16</v>
      </c>
      <c r="J335" s="2">
        <v>377550</v>
      </c>
      <c r="K335">
        <v>94</v>
      </c>
      <c r="L335">
        <v>0</v>
      </c>
      <c r="M335">
        <v>1</v>
      </c>
      <c r="N335">
        <v>0</v>
      </c>
      <c r="O335">
        <v>1</v>
      </c>
      <c r="P335">
        <v>0</v>
      </c>
      <c r="Q335">
        <v>0</v>
      </c>
      <c r="R335">
        <v>67</v>
      </c>
      <c r="S335">
        <v>170</v>
      </c>
      <c r="T335">
        <v>23</v>
      </c>
      <c r="V335" s="53" t="str">
        <f>IFERROR(
IF(tbl_abs[[#This Row],[Month of absence]]=0,"Unknown",
CHOOSE(tbl_abs[[#This Row],[Month of absence]],
"Jan","Feb","Mar","Apr","May","Jun","Jul","Aug","Sep","Oct","Nov","Dec")),"")</f>
        <v>Jun</v>
      </c>
      <c r="W335" s="53" t="str">
        <f>IFERROR(
IF(tbl_abs[[#This Row],[Age]]&lt;30,"&lt;30",
IF(tbl_abs[[#This Row],[Age]]&lt;40,"30–39",
IF(tbl_abs[[#This Row],[Age]]&lt;50,"40–49",
IF(tbl_abs[[#This Row],[Age]]&lt;60,"50–59",
"60+")))),"")</f>
        <v>&lt;30</v>
      </c>
      <c r="X335" s="53" t="str">
        <f>IFERROR(
IF(tbl_abs[[#This Row],[Distance from Residence to Work]]&lt;=5,"0–5",
IF(tbl_abs[[#This Row],[Distance from Residence to Work]]&lt;=10,"6–10",
IF(tbl_abs[[#This Row],[Distance from Residence to Work]]&lt;=20,"11–20",
"21+"))),"")</f>
        <v>21+</v>
      </c>
      <c r="Y335" s="53" t="str">
        <f>IFERROR(
IF(tbl_abs[[#This Row],[Body Mass Index]]&lt;18.5,"Underweight",
IF(tbl_abs[[#This Row],[Body Mass Index]]&lt;25,"Normal",
IF(tbl_abs[[#This Row],[Body Mass Index]]&lt;30,"Overweight",
"Obese"))),"")</f>
        <v>Normal</v>
      </c>
      <c r="Z335" s="53" t="str">
        <f>IFERROR(
IF(tbl_abs[[#This Row],[Absenteeism time in hours]]&lt;=2,"0–2",
IF(tbl_abs[[#This Row],[Absenteeism time in hours]]&lt;=8,"3–8",
IF(tbl_abs[[#This Row],[Absenteeism time in hours]]&lt;=16,"9–16",
"17+"))),"")</f>
        <v>0–2</v>
      </c>
    </row>
    <row r="336" spans="1:26" ht="15" customHeight="1" x14ac:dyDescent="0.3">
      <c r="A336">
        <v>3</v>
      </c>
      <c r="B336">
        <v>11</v>
      </c>
      <c r="C336" s="1">
        <v>6</v>
      </c>
      <c r="D336">
        <v>2</v>
      </c>
      <c r="E336">
        <v>3</v>
      </c>
      <c r="F336">
        <v>179</v>
      </c>
      <c r="G336" s="1">
        <v>51</v>
      </c>
      <c r="H336">
        <v>18</v>
      </c>
      <c r="I336" s="1">
        <v>38</v>
      </c>
      <c r="J336" s="2">
        <v>377550</v>
      </c>
      <c r="K336">
        <v>94</v>
      </c>
      <c r="L336">
        <v>0</v>
      </c>
      <c r="M336">
        <v>1</v>
      </c>
      <c r="N336">
        <v>0</v>
      </c>
      <c r="O336">
        <v>1</v>
      </c>
      <c r="P336">
        <v>0</v>
      </c>
      <c r="Q336">
        <v>0</v>
      </c>
      <c r="R336">
        <v>89</v>
      </c>
      <c r="S336">
        <v>170</v>
      </c>
      <c r="T336">
        <v>31</v>
      </c>
      <c r="U336">
        <v>8</v>
      </c>
      <c r="V336" s="53" t="str">
        <f>IFERROR(
IF(tbl_abs[[#This Row],[Month of absence]]=0,"Unknown",
CHOOSE(tbl_abs[[#This Row],[Month of absence]],
"Jan","Feb","Mar","Apr","May","Jun","Jul","Aug","Sep","Oct","Nov","Dec")),"")</f>
        <v>Jun</v>
      </c>
      <c r="W336" s="53" t="str">
        <f>IFERROR(
IF(tbl_abs[[#This Row],[Age]]&lt;30,"&lt;30",
IF(tbl_abs[[#This Row],[Age]]&lt;40,"30–39",
IF(tbl_abs[[#This Row],[Age]]&lt;50,"40–49",
IF(tbl_abs[[#This Row],[Age]]&lt;60,"50–59",
"60+")))),"")</f>
        <v>30–39</v>
      </c>
      <c r="X336" s="53" t="str">
        <f>IFERROR(
IF(tbl_abs[[#This Row],[Distance from Residence to Work]]&lt;=5,"0–5",
IF(tbl_abs[[#This Row],[Distance from Residence to Work]]&lt;=10,"6–10",
IF(tbl_abs[[#This Row],[Distance from Residence to Work]]&lt;=20,"11–20",
"21+"))),"")</f>
        <v>21+</v>
      </c>
      <c r="Y336" s="53" t="str">
        <f>IFERROR(
IF(tbl_abs[[#This Row],[Body Mass Index]]&lt;18.5,"Underweight",
IF(tbl_abs[[#This Row],[Body Mass Index]]&lt;25,"Normal",
IF(tbl_abs[[#This Row],[Body Mass Index]]&lt;30,"Overweight",
"Obese"))),"")</f>
        <v>Obese</v>
      </c>
      <c r="Z336" s="53" t="str">
        <f>IFERROR(
IF(tbl_abs[[#This Row],[Absenteeism time in hours]]&lt;=2,"0–2",
IF(tbl_abs[[#This Row],[Absenteeism time in hours]]&lt;=8,"3–8",
IF(tbl_abs[[#This Row],[Absenteeism time in hours]]&lt;=16,"9–16",
"17+"))),"")</f>
        <v>3–8</v>
      </c>
    </row>
    <row r="337" spans="1:26" ht="15" customHeight="1" x14ac:dyDescent="0.3">
      <c r="A337">
        <v>14</v>
      </c>
      <c r="B337">
        <v>23</v>
      </c>
      <c r="C337" s="1">
        <v>6</v>
      </c>
      <c r="D337">
        <v>2</v>
      </c>
      <c r="E337">
        <v>3</v>
      </c>
      <c r="F337">
        <v>155</v>
      </c>
      <c r="G337" s="1">
        <v>12</v>
      </c>
      <c r="H337">
        <v>14</v>
      </c>
      <c r="I337" s="1">
        <v>34</v>
      </c>
      <c r="J337" s="2">
        <v>377550</v>
      </c>
      <c r="K337">
        <v>94</v>
      </c>
      <c r="L337">
        <v>0</v>
      </c>
      <c r="M337">
        <v>1</v>
      </c>
      <c r="N337">
        <v>2</v>
      </c>
      <c r="O337">
        <v>1</v>
      </c>
      <c r="P337">
        <v>0</v>
      </c>
      <c r="Q337">
        <v>0</v>
      </c>
      <c r="R337">
        <v>95</v>
      </c>
      <c r="S337">
        <v>196</v>
      </c>
      <c r="T337">
        <v>25</v>
      </c>
      <c r="U337">
        <v>4</v>
      </c>
      <c r="V337" s="53" t="str">
        <f>IFERROR(
IF(tbl_abs[[#This Row],[Month of absence]]=0,"Unknown",
CHOOSE(tbl_abs[[#This Row],[Month of absence]],
"Jan","Feb","Mar","Apr","May","Jun","Jul","Aug","Sep","Oct","Nov","Dec")),"")</f>
        <v>Jun</v>
      </c>
      <c r="W337" s="53" t="str">
        <f>IFERROR(
IF(tbl_abs[[#This Row],[Age]]&lt;30,"&lt;30",
IF(tbl_abs[[#This Row],[Age]]&lt;40,"30–39",
IF(tbl_abs[[#This Row],[Age]]&lt;50,"40–49",
IF(tbl_abs[[#This Row],[Age]]&lt;60,"50–59",
"60+")))),"")</f>
        <v>30–39</v>
      </c>
      <c r="X337" s="53" t="str">
        <f>IFERROR(
IF(tbl_abs[[#This Row],[Distance from Residence to Work]]&lt;=5,"0–5",
IF(tbl_abs[[#This Row],[Distance from Residence to Work]]&lt;=10,"6–10",
IF(tbl_abs[[#This Row],[Distance from Residence to Work]]&lt;=20,"11–20",
"21+"))),"")</f>
        <v>11–20</v>
      </c>
      <c r="Y337" s="53" t="str">
        <f>IFERROR(
IF(tbl_abs[[#This Row],[Body Mass Index]]&lt;18.5,"Underweight",
IF(tbl_abs[[#This Row],[Body Mass Index]]&lt;25,"Normal",
IF(tbl_abs[[#This Row],[Body Mass Index]]&lt;30,"Overweight",
"Obese"))),"")</f>
        <v>Overweight</v>
      </c>
      <c r="Z337" s="53" t="str">
        <f>IFERROR(
IF(tbl_abs[[#This Row],[Absenteeism time in hours]]&lt;=2,"0–2",
IF(tbl_abs[[#This Row],[Absenteeism time in hours]]&lt;=8,"3–8",
IF(tbl_abs[[#This Row],[Absenteeism time in hours]]&lt;=16,"9–16",
"17+"))),"")</f>
        <v>3–8</v>
      </c>
    </row>
    <row r="338" spans="1:26" ht="15" customHeight="1" x14ac:dyDescent="0.3">
      <c r="A338">
        <v>24</v>
      </c>
      <c r="B338">
        <v>10</v>
      </c>
      <c r="C338" s="1">
        <v>6</v>
      </c>
      <c r="D338">
        <v>2</v>
      </c>
      <c r="E338">
        <v>3</v>
      </c>
      <c r="F338">
        <v>246</v>
      </c>
      <c r="G338" s="1">
        <v>25</v>
      </c>
      <c r="H338">
        <v>16</v>
      </c>
      <c r="I338" s="1">
        <v>41</v>
      </c>
      <c r="J338" s="2">
        <v>377550</v>
      </c>
      <c r="K338">
        <v>94</v>
      </c>
      <c r="L338">
        <v>0</v>
      </c>
      <c r="M338">
        <v>1</v>
      </c>
      <c r="N338">
        <v>0</v>
      </c>
      <c r="O338">
        <v>1</v>
      </c>
      <c r="P338">
        <v>0</v>
      </c>
      <c r="Q338">
        <v>0</v>
      </c>
      <c r="R338">
        <v>67</v>
      </c>
      <c r="S338">
        <v>170</v>
      </c>
      <c r="T338">
        <v>23</v>
      </c>
      <c r="U338">
        <v>8</v>
      </c>
      <c r="V338" s="53" t="str">
        <f>IFERROR(
IF(tbl_abs[[#This Row],[Month of absence]]=0,"Unknown",
CHOOSE(tbl_abs[[#This Row],[Month of absence]],
"Jan","Feb","Mar","Apr","May","Jun","Jul","Aug","Sep","Oct","Nov","Dec")),"")</f>
        <v>Jun</v>
      </c>
      <c r="W338" s="53" t="str">
        <f>IFERROR(
IF(tbl_abs[[#This Row],[Age]]&lt;30,"&lt;30",
IF(tbl_abs[[#This Row],[Age]]&lt;40,"30–39",
IF(tbl_abs[[#This Row],[Age]]&lt;50,"40–49",
IF(tbl_abs[[#This Row],[Age]]&lt;60,"50–59",
"60+")))),"")</f>
        <v>40–49</v>
      </c>
      <c r="X338" s="53" t="str">
        <f>IFERROR(
IF(tbl_abs[[#This Row],[Distance from Residence to Work]]&lt;=5,"0–5",
IF(tbl_abs[[#This Row],[Distance from Residence to Work]]&lt;=10,"6–10",
IF(tbl_abs[[#This Row],[Distance from Residence to Work]]&lt;=20,"11–20",
"21+"))),"")</f>
        <v>21+</v>
      </c>
      <c r="Y338" s="53" t="str">
        <f>IFERROR(
IF(tbl_abs[[#This Row],[Body Mass Index]]&lt;18.5,"Underweight",
IF(tbl_abs[[#This Row],[Body Mass Index]]&lt;25,"Normal",
IF(tbl_abs[[#This Row],[Body Mass Index]]&lt;30,"Overweight",
"Obese"))),"")</f>
        <v>Normal</v>
      </c>
      <c r="Z338" s="53" t="str">
        <f>IFERROR(
IF(tbl_abs[[#This Row],[Absenteeism time in hours]]&lt;=2,"0–2",
IF(tbl_abs[[#This Row],[Absenteeism time in hours]]&lt;=8,"3–8",
IF(tbl_abs[[#This Row],[Absenteeism time in hours]]&lt;=16,"9–16",
"17+"))),"")</f>
        <v>3–8</v>
      </c>
    </row>
    <row r="339" spans="1:26" ht="15" customHeight="1" x14ac:dyDescent="0.3">
      <c r="A339">
        <v>36</v>
      </c>
      <c r="B339">
        <v>13</v>
      </c>
      <c r="C339" s="1">
        <v>6</v>
      </c>
      <c r="D339">
        <v>4</v>
      </c>
      <c r="E339">
        <v>3</v>
      </c>
      <c r="F339">
        <v>118</v>
      </c>
      <c r="G339" s="1">
        <v>13</v>
      </c>
      <c r="H339">
        <v>18</v>
      </c>
      <c r="I339" s="1">
        <v>50</v>
      </c>
      <c r="J339" s="2">
        <v>377550</v>
      </c>
      <c r="K339">
        <v>94</v>
      </c>
      <c r="L339">
        <v>0</v>
      </c>
      <c r="M339">
        <v>1</v>
      </c>
      <c r="N339">
        <v>1</v>
      </c>
      <c r="O339">
        <v>1</v>
      </c>
      <c r="P339">
        <v>0</v>
      </c>
      <c r="Q339">
        <v>0</v>
      </c>
      <c r="R339">
        <v>98</v>
      </c>
      <c r="S339">
        <v>178</v>
      </c>
      <c r="T339">
        <v>31</v>
      </c>
      <c r="U339">
        <v>8</v>
      </c>
      <c r="V339" s="53" t="str">
        <f>IFERROR(
IF(tbl_abs[[#This Row],[Month of absence]]=0,"Unknown",
CHOOSE(tbl_abs[[#This Row],[Month of absence]],
"Jan","Feb","Mar","Apr","May","Jun","Jul","Aug","Sep","Oct","Nov","Dec")),"")</f>
        <v>Jun</v>
      </c>
      <c r="W339" s="53" t="str">
        <f>IFERROR(
IF(tbl_abs[[#This Row],[Age]]&lt;30,"&lt;30",
IF(tbl_abs[[#This Row],[Age]]&lt;40,"30–39",
IF(tbl_abs[[#This Row],[Age]]&lt;50,"40–49",
IF(tbl_abs[[#This Row],[Age]]&lt;60,"50–59",
"60+")))),"")</f>
        <v>50–59</v>
      </c>
      <c r="X339" s="53" t="str">
        <f>IFERROR(
IF(tbl_abs[[#This Row],[Distance from Residence to Work]]&lt;=5,"0–5",
IF(tbl_abs[[#This Row],[Distance from Residence to Work]]&lt;=10,"6–10",
IF(tbl_abs[[#This Row],[Distance from Residence to Work]]&lt;=20,"11–20",
"21+"))),"")</f>
        <v>11–20</v>
      </c>
      <c r="Y339" s="53" t="str">
        <f>IFERROR(
IF(tbl_abs[[#This Row],[Body Mass Index]]&lt;18.5,"Underweight",
IF(tbl_abs[[#This Row],[Body Mass Index]]&lt;25,"Normal",
IF(tbl_abs[[#This Row],[Body Mass Index]]&lt;30,"Overweight",
"Obese"))),"")</f>
        <v>Obese</v>
      </c>
      <c r="Z339" s="53" t="str">
        <f>IFERROR(
IF(tbl_abs[[#This Row],[Absenteeism time in hours]]&lt;=2,"0–2",
IF(tbl_abs[[#This Row],[Absenteeism time in hours]]&lt;=8,"3–8",
IF(tbl_abs[[#This Row],[Absenteeism time in hours]]&lt;=16,"9–16",
"17+"))),"")</f>
        <v>3–8</v>
      </c>
    </row>
    <row r="340" spans="1:26" ht="15" customHeight="1" x14ac:dyDescent="0.3">
      <c r="A340">
        <v>1</v>
      </c>
      <c r="B340">
        <v>13</v>
      </c>
      <c r="C340" s="1">
        <v>6</v>
      </c>
      <c r="D340">
        <v>6</v>
      </c>
      <c r="E340">
        <v>3</v>
      </c>
      <c r="F340">
        <v>235</v>
      </c>
      <c r="G340" s="1">
        <v>11</v>
      </c>
      <c r="H340">
        <v>14</v>
      </c>
      <c r="I340" s="1">
        <v>37</v>
      </c>
      <c r="J340" s="2">
        <v>377550</v>
      </c>
      <c r="K340">
        <v>94</v>
      </c>
      <c r="L340">
        <v>0</v>
      </c>
      <c r="M340">
        <v>3</v>
      </c>
      <c r="N340">
        <v>1</v>
      </c>
      <c r="O340">
        <v>0</v>
      </c>
      <c r="P340">
        <v>0</v>
      </c>
      <c r="Q340">
        <v>1</v>
      </c>
      <c r="R340">
        <v>88</v>
      </c>
      <c r="S340">
        <v>172</v>
      </c>
      <c r="T340">
        <v>29</v>
      </c>
      <c r="U340">
        <v>16</v>
      </c>
      <c r="V340" s="53" t="str">
        <f>IFERROR(
IF(tbl_abs[[#This Row],[Month of absence]]=0,"Unknown",
CHOOSE(tbl_abs[[#This Row],[Month of absence]],
"Jan","Feb","Mar","Apr","May","Jun","Jul","Aug","Sep","Oct","Nov","Dec")),"")</f>
        <v>Jun</v>
      </c>
      <c r="W340" s="53" t="str">
        <f>IFERROR(
IF(tbl_abs[[#This Row],[Age]]&lt;30,"&lt;30",
IF(tbl_abs[[#This Row],[Age]]&lt;40,"30–39",
IF(tbl_abs[[#This Row],[Age]]&lt;50,"40–49",
IF(tbl_abs[[#This Row],[Age]]&lt;60,"50–59",
"60+")))),"")</f>
        <v>30–39</v>
      </c>
      <c r="X340" s="53" t="str">
        <f>IFERROR(
IF(tbl_abs[[#This Row],[Distance from Residence to Work]]&lt;=5,"0–5",
IF(tbl_abs[[#This Row],[Distance from Residence to Work]]&lt;=10,"6–10",
IF(tbl_abs[[#This Row],[Distance from Residence to Work]]&lt;=20,"11–20",
"21+"))),"")</f>
        <v>11–20</v>
      </c>
      <c r="Y340" s="53" t="str">
        <f>IFERROR(
IF(tbl_abs[[#This Row],[Body Mass Index]]&lt;18.5,"Underweight",
IF(tbl_abs[[#This Row],[Body Mass Index]]&lt;25,"Normal",
IF(tbl_abs[[#This Row],[Body Mass Index]]&lt;30,"Overweight",
"Obese"))),"")</f>
        <v>Overweight</v>
      </c>
      <c r="Z340" s="53" t="str">
        <f>IFERROR(
IF(tbl_abs[[#This Row],[Absenteeism time in hours]]&lt;=2,"0–2",
IF(tbl_abs[[#This Row],[Absenteeism time in hours]]&lt;=8,"3–8",
IF(tbl_abs[[#This Row],[Absenteeism time in hours]]&lt;=16,"9–16",
"17+"))),"")</f>
        <v>9–16</v>
      </c>
    </row>
    <row r="341" spans="1:26" ht="15" customHeight="1" x14ac:dyDescent="0.3">
      <c r="A341">
        <v>36</v>
      </c>
      <c r="B341">
        <v>23</v>
      </c>
      <c r="C341" s="1">
        <v>6</v>
      </c>
      <c r="D341">
        <v>3</v>
      </c>
      <c r="E341">
        <v>3</v>
      </c>
      <c r="F341">
        <v>118</v>
      </c>
      <c r="G341" s="1">
        <v>13</v>
      </c>
      <c r="H341">
        <v>18</v>
      </c>
      <c r="I341" s="1">
        <v>50</v>
      </c>
      <c r="J341" s="2">
        <v>377550</v>
      </c>
      <c r="K341">
        <v>94</v>
      </c>
      <c r="L341">
        <v>0</v>
      </c>
      <c r="M341">
        <v>1</v>
      </c>
      <c r="N341">
        <v>1</v>
      </c>
      <c r="O341">
        <v>1</v>
      </c>
      <c r="P341">
        <v>0</v>
      </c>
      <c r="Q341">
        <v>0</v>
      </c>
      <c r="R341">
        <v>98</v>
      </c>
      <c r="S341">
        <v>178</v>
      </c>
      <c r="T341">
        <v>31</v>
      </c>
      <c r="U341">
        <v>1</v>
      </c>
      <c r="V341" s="53" t="str">
        <f>IFERROR(
IF(tbl_abs[[#This Row],[Month of absence]]=0,"Unknown",
CHOOSE(tbl_abs[[#This Row],[Month of absence]],
"Jan","Feb","Mar","Apr","May","Jun","Jul","Aug","Sep","Oct","Nov","Dec")),"")</f>
        <v>Jun</v>
      </c>
      <c r="W341" s="53" t="str">
        <f>IFERROR(
IF(tbl_abs[[#This Row],[Age]]&lt;30,"&lt;30",
IF(tbl_abs[[#This Row],[Age]]&lt;40,"30–39",
IF(tbl_abs[[#This Row],[Age]]&lt;50,"40–49",
IF(tbl_abs[[#This Row],[Age]]&lt;60,"50–59",
"60+")))),"")</f>
        <v>50–59</v>
      </c>
      <c r="X341" s="53" t="str">
        <f>IFERROR(
IF(tbl_abs[[#This Row],[Distance from Residence to Work]]&lt;=5,"0–5",
IF(tbl_abs[[#This Row],[Distance from Residence to Work]]&lt;=10,"6–10",
IF(tbl_abs[[#This Row],[Distance from Residence to Work]]&lt;=20,"11–20",
"21+"))),"")</f>
        <v>11–20</v>
      </c>
      <c r="Y341" s="53" t="str">
        <f>IFERROR(
IF(tbl_abs[[#This Row],[Body Mass Index]]&lt;18.5,"Underweight",
IF(tbl_abs[[#This Row],[Body Mass Index]]&lt;25,"Normal",
IF(tbl_abs[[#This Row],[Body Mass Index]]&lt;30,"Overweight",
"Obese"))),"")</f>
        <v>Obese</v>
      </c>
      <c r="Z341" s="53" t="str">
        <f>IFERROR(
IF(tbl_abs[[#This Row],[Absenteeism time in hours]]&lt;=2,"0–2",
IF(tbl_abs[[#This Row],[Absenteeism time in hours]]&lt;=8,"3–8",
IF(tbl_abs[[#This Row],[Absenteeism time in hours]]&lt;=16,"9–16",
"17+"))),"")</f>
        <v>0–2</v>
      </c>
    </row>
    <row r="342" spans="1:26" ht="15" customHeight="1" x14ac:dyDescent="0.3">
      <c r="A342">
        <v>36</v>
      </c>
      <c r="B342">
        <v>13</v>
      </c>
      <c r="C342" s="1">
        <v>6</v>
      </c>
      <c r="D342">
        <v>4</v>
      </c>
      <c r="E342">
        <v>3</v>
      </c>
      <c r="F342">
        <v>118</v>
      </c>
      <c r="G342" s="1">
        <v>13</v>
      </c>
      <c r="H342">
        <v>18</v>
      </c>
      <c r="I342" s="1">
        <v>50</v>
      </c>
      <c r="J342" s="2">
        <v>377550</v>
      </c>
      <c r="K342">
        <v>94</v>
      </c>
      <c r="L342">
        <v>0</v>
      </c>
      <c r="M342">
        <v>1</v>
      </c>
      <c r="N342">
        <v>1</v>
      </c>
      <c r="O342">
        <v>1</v>
      </c>
      <c r="P342">
        <v>0</v>
      </c>
      <c r="Q342">
        <v>0</v>
      </c>
      <c r="R342">
        <v>98</v>
      </c>
      <c r="S342">
        <v>178</v>
      </c>
      <c r="T342">
        <v>31</v>
      </c>
      <c r="U342">
        <v>80</v>
      </c>
      <c r="V342" s="53" t="str">
        <f>IFERROR(
IF(tbl_abs[[#This Row],[Month of absence]]=0,"Unknown",
CHOOSE(tbl_abs[[#This Row],[Month of absence]],
"Jan","Feb","Mar","Apr","May","Jun","Jul","Aug","Sep","Oct","Nov","Dec")),"")</f>
        <v>Jun</v>
      </c>
      <c r="W342" s="53" t="str">
        <f>IFERROR(
IF(tbl_abs[[#This Row],[Age]]&lt;30,"&lt;30",
IF(tbl_abs[[#This Row],[Age]]&lt;40,"30–39",
IF(tbl_abs[[#This Row],[Age]]&lt;50,"40–49",
IF(tbl_abs[[#This Row],[Age]]&lt;60,"50–59",
"60+")))),"")</f>
        <v>50–59</v>
      </c>
      <c r="X342" s="53" t="str">
        <f>IFERROR(
IF(tbl_abs[[#This Row],[Distance from Residence to Work]]&lt;=5,"0–5",
IF(tbl_abs[[#This Row],[Distance from Residence to Work]]&lt;=10,"6–10",
IF(tbl_abs[[#This Row],[Distance from Residence to Work]]&lt;=20,"11–20",
"21+"))),"")</f>
        <v>11–20</v>
      </c>
      <c r="Y342" s="53" t="str">
        <f>IFERROR(
IF(tbl_abs[[#This Row],[Body Mass Index]]&lt;18.5,"Underweight",
IF(tbl_abs[[#This Row],[Body Mass Index]]&lt;25,"Normal",
IF(tbl_abs[[#This Row],[Body Mass Index]]&lt;30,"Overweight",
"Obese"))),"")</f>
        <v>Obese</v>
      </c>
      <c r="Z342" s="53" t="str">
        <f>IFERROR(
IF(tbl_abs[[#This Row],[Absenteeism time in hours]]&lt;=2,"0–2",
IF(tbl_abs[[#This Row],[Absenteeism time in hours]]&lt;=8,"3–8",
IF(tbl_abs[[#This Row],[Absenteeism time in hours]]&lt;=16,"9–16",
"17+"))),"")</f>
        <v>17+</v>
      </c>
    </row>
    <row r="343" spans="1:26" ht="15" customHeight="1" x14ac:dyDescent="0.3">
      <c r="A343">
        <v>23</v>
      </c>
      <c r="B343">
        <v>22</v>
      </c>
      <c r="C343" s="1">
        <v>6</v>
      </c>
      <c r="D343">
        <v>5</v>
      </c>
      <c r="E343">
        <v>3</v>
      </c>
      <c r="F343">
        <v>378</v>
      </c>
      <c r="G343" s="1">
        <v>49</v>
      </c>
      <c r="H343">
        <v>11</v>
      </c>
      <c r="I343" s="1">
        <v>36</v>
      </c>
      <c r="J343" s="2">
        <v>377550</v>
      </c>
      <c r="K343">
        <v>94</v>
      </c>
      <c r="L343">
        <v>0</v>
      </c>
      <c r="M343">
        <v>1</v>
      </c>
      <c r="N343">
        <v>2</v>
      </c>
      <c r="O343">
        <v>0</v>
      </c>
      <c r="P343">
        <v>1</v>
      </c>
      <c r="Q343">
        <v>4</v>
      </c>
      <c r="R343">
        <v>65</v>
      </c>
      <c r="S343">
        <v>174</v>
      </c>
      <c r="T343">
        <v>21</v>
      </c>
      <c r="U343">
        <v>8</v>
      </c>
      <c r="V343" s="53" t="str">
        <f>IFERROR(
IF(tbl_abs[[#This Row],[Month of absence]]=0,"Unknown",
CHOOSE(tbl_abs[[#This Row],[Month of absence]],
"Jan","Feb","Mar","Apr","May","Jun","Jul","Aug","Sep","Oct","Nov","Dec")),"")</f>
        <v>Jun</v>
      </c>
      <c r="W343" s="53" t="str">
        <f>IFERROR(
IF(tbl_abs[[#This Row],[Age]]&lt;30,"&lt;30",
IF(tbl_abs[[#This Row],[Age]]&lt;40,"30–39",
IF(tbl_abs[[#This Row],[Age]]&lt;50,"40–49",
IF(tbl_abs[[#This Row],[Age]]&lt;60,"50–59",
"60+")))),"")</f>
        <v>30–39</v>
      </c>
      <c r="X343" s="53" t="str">
        <f>IFERROR(
IF(tbl_abs[[#This Row],[Distance from Residence to Work]]&lt;=5,"0–5",
IF(tbl_abs[[#This Row],[Distance from Residence to Work]]&lt;=10,"6–10",
IF(tbl_abs[[#This Row],[Distance from Residence to Work]]&lt;=20,"11–20",
"21+"))),"")</f>
        <v>21+</v>
      </c>
      <c r="Y343" s="53" t="str">
        <f>IFERROR(
IF(tbl_abs[[#This Row],[Body Mass Index]]&lt;18.5,"Underweight",
IF(tbl_abs[[#This Row],[Body Mass Index]]&lt;25,"Normal",
IF(tbl_abs[[#This Row],[Body Mass Index]]&lt;30,"Overweight",
"Obese"))),"")</f>
        <v>Normal</v>
      </c>
      <c r="Z343" s="53" t="str">
        <f>IFERROR(
IF(tbl_abs[[#This Row],[Absenteeism time in hours]]&lt;=2,"0–2",
IF(tbl_abs[[#This Row],[Absenteeism time in hours]]&lt;=8,"3–8",
IF(tbl_abs[[#This Row],[Absenteeism time in hours]]&lt;=16,"9–16",
"17+"))),"")</f>
        <v>3–8</v>
      </c>
    </row>
    <row r="344" spans="1:26" ht="15" customHeight="1" x14ac:dyDescent="0.3">
      <c r="A344">
        <v>3</v>
      </c>
      <c r="B344">
        <v>11</v>
      </c>
      <c r="C344" s="1">
        <v>6</v>
      </c>
      <c r="D344">
        <v>6</v>
      </c>
      <c r="E344">
        <v>3</v>
      </c>
      <c r="F344">
        <v>179</v>
      </c>
      <c r="G344" s="1">
        <v>51</v>
      </c>
      <c r="H344">
        <v>18</v>
      </c>
      <c r="I344" s="1">
        <v>38</v>
      </c>
      <c r="J344" s="2">
        <v>377550</v>
      </c>
      <c r="K344">
        <v>94</v>
      </c>
      <c r="L344">
        <v>0</v>
      </c>
      <c r="M344">
        <v>1</v>
      </c>
      <c r="N344">
        <v>0</v>
      </c>
      <c r="O344">
        <v>1</v>
      </c>
      <c r="P344">
        <v>0</v>
      </c>
      <c r="Q344">
        <v>0</v>
      </c>
      <c r="R344">
        <v>89</v>
      </c>
      <c r="S344">
        <v>170</v>
      </c>
      <c r="T344">
        <v>31</v>
      </c>
      <c r="U344">
        <v>2</v>
      </c>
      <c r="V344" s="53" t="str">
        <f>IFERROR(
IF(tbl_abs[[#This Row],[Month of absence]]=0,"Unknown",
CHOOSE(tbl_abs[[#This Row],[Month of absence]],
"Jan","Feb","Mar","Apr","May","Jun","Jul","Aug","Sep","Oct","Nov","Dec")),"")</f>
        <v>Jun</v>
      </c>
      <c r="W344" s="53" t="str">
        <f>IFERROR(
IF(tbl_abs[[#This Row],[Age]]&lt;30,"&lt;30",
IF(tbl_abs[[#This Row],[Age]]&lt;40,"30–39",
IF(tbl_abs[[#This Row],[Age]]&lt;50,"40–49",
IF(tbl_abs[[#This Row],[Age]]&lt;60,"50–59",
"60+")))),"")</f>
        <v>30–39</v>
      </c>
      <c r="X344" s="53" t="str">
        <f>IFERROR(
IF(tbl_abs[[#This Row],[Distance from Residence to Work]]&lt;=5,"0–5",
IF(tbl_abs[[#This Row],[Distance from Residence to Work]]&lt;=10,"6–10",
IF(tbl_abs[[#This Row],[Distance from Residence to Work]]&lt;=20,"11–20",
"21+"))),"")</f>
        <v>21+</v>
      </c>
      <c r="Y344" s="53" t="str">
        <f>IFERROR(
IF(tbl_abs[[#This Row],[Body Mass Index]]&lt;18.5,"Underweight",
IF(tbl_abs[[#This Row],[Body Mass Index]]&lt;25,"Normal",
IF(tbl_abs[[#This Row],[Body Mass Index]]&lt;30,"Overweight",
"Obese"))),"")</f>
        <v>Obese</v>
      </c>
      <c r="Z344" s="53" t="str">
        <f>IFERROR(
IF(tbl_abs[[#This Row],[Absenteeism time in hours]]&lt;=2,"0–2",
IF(tbl_abs[[#This Row],[Absenteeism time in hours]]&lt;=8,"3–8",
IF(tbl_abs[[#This Row],[Absenteeism time in hours]]&lt;=16,"9–16",
"17+"))),"")</f>
        <v>0–2</v>
      </c>
    </row>
    <row r="345" spans="1:26" ht="15" customHeight="1" x14ac:dyDescent="0.3">
      <c r="A345">
        <v>32</v>
      </c>
      <c r="B345">
        <v>28</v>
      </c>
      <c r="C345" s="1">
        <v>6</v>
      </c>
      <c r="D345">
        <v>2</v>
      </c>
      <c r="E345">
        <v>1</v>
      </c>
      <c r="F345">
        <v>289</v>
      </c>
      <c r="G345" s="1">
        <v>48</v>
      </c>
      <c r="H345">
        <v>29</v>
      </c>
      <c r="I345" s="1">
        <v>49</v>
      </c>
      <c r="J345" s="2">
        <v>377550</v>
      </c>
      <c r="K345">
        <v>94</v>
      </c>
      <c r="L345">
        <v>0</v>
      </c>
      <c r="M345">
        <v>1</v>
      </c>
      <c r="N345">
        <v>0</v>
      </c>
      <c r="O345">
        <v>0</v>
      </c>
      <c r="P345">
        <v>0</v>
      </c>
      <c r="Q345">
        <v>2</v>
      </c>
      <c r="R345">
        <v>108</v>
      </c>
      <c r="S345">
        <v>172</v>
      </c>
      <c r="T345">
        <v>36</v>
      </c>
      <c r="U345">
        <v>2</v>
      </c>
      <c r="V345" s="53" t="str">
        <f>IFERROR(
IF(tbl_abs[[#This Row],[Month of absence]]=0,"Unknown",
CHOOSE(tbl_abs[[#This Row],[Month of absence]],
"Jan","Feb","Mar","Apr","May","Jun","Jul","Aug","Sep","Oct","Nov","Dec")),"")</f>
        <v>Jun</v>
      </c>
      <c r="W345" s="53" t="str">
        <f>IFERROR(
IF(tbl_abs[[#This Row],[Age]]&lt;30,"&lt;30",
IF(tbl_abs[[#This Row],[Age]]&lt;40,"30–39",
IF(tbl_abs[[#This Row],[Age]]&lt;50,"40–49",
IF(tbl_abs[[#This Row],[Age]]&lt;60,"50–59",
"60+")))),"")</f>
        <v>40–49</v>
      </c>
      <c r="X345" s="53" t="str">
        <f>IFERROR(
IF(tbl_abs[[#This Row],[Distance from Residence to Work]]&lt;=5,"0–5",
IF(tbl_abs[[#This Row],[Distance from Residence to Work]]&lt;=10,"6–10",
IF(tbl_abs[[#This Row],[Distance from Residence to Work]]&lt;=20,"11–20",
"21+"))),"")</f>
        <v>21+</v>
      </c>
      <c r="Y345" s="53" t="str">
        <f>IFERROR(
IF(tbl_abs[[#This Row],[Body Mass Index]]&lt;18.5,"Underweight",
IF(tbl_abs[[#This Row],[Body Mass Index]]&lt;25,"Normal",
IF(tbl_abs[[#This Row],[Body Mass Index]]&lt;30,"Overweight",
"Obese"))),"")</f>
        <v>Obese</v>
      </c>
      <c r="Z345" s="53" t="str">
        <f>IFERROR(
IF(tbl_abs[[#This Row],[Absenteeism time in hours]]&lt;=2,"0–2",
IF(tbl_abs[[#This Row],[Absenteeism time in hours]]&lt;=8,"3–8",
IF(tbl_abs[[#This Row],[Absenteeism time in hours]]&lt;=16,"9–16",
"17+"))),"")</f>
        <v>0–2</v>
      </c>
    </row>
    <row r="346" spans="1:26" ht="15" customHeight="1" x14ac:dyDescent="0.3">
      <c r="A346">
        <v>28</v>
      </c>
      <c r="B346">
        <v>28</v>
      </c>
      <c r="C346" s="1">
        <v>6</v>
      </c>
      <c r="D346">
        <v>5</v>
      </c>
      <c r="E346">
        <v>1</v>
      </c>
      <c r="F346">
        <v>225</v>
      </c>
      <c r="G346" s="1">
        <v>26</v>
      </c>
      <c r="H346">
        <v>9</v>
      </c>
      <c r="I346" s="1">
        <v>28</v>
      </c>
      <c r="J346" s="2">
        <v>377550</v>
      </c>
      <c r="K346">
        <v>94</v>
      </c>
      <c r="L346">
        <v>0</v>
      </c>
      <c r="M346">
        <v>1</v>
      </c>
      <c r="N346">
        <v>1</v>
      </c>
      <c r="O346">
        <v>0</v>
      </c>
      <c r="P346">
        <v>0</v>
      </c>
      <c r="Q346">
        <v>2</v>
      </c>
      <c r="R346">
        <v>69</v>
      </c>
      <c r="S346">
        <v>169</v>
      </c>
      <c r="T346">
        <v>24</v>
      </c>
      <c r="U346">
        <v>2</v>
      </c>
      <c r="V346" s="53" t="str">
        <f>IFERROR(
IF(tbl_abs[[#This Row],[Month of absence]]=0,"Unknown",
CHOOSE(tbl_abs[[#This Row],[Month of absence]],
"Jan","Feb","Mar","Apr","May","Jun","Jul","Aug","Sep","Oct","Nov","Dec")),"")</f>
        <v>Jun</v>
      </c>
      <c r="W346" s="53" t="str">
        <f>IFERROR(
IF(tbl_abs[[#This Row],[Age]]&lt;30,"&lt;30",
IF(tbl_abs[[#This Row],[Age]]&lt;40,"30–39",
IF(tbl_abs[[#This Row],[Age]]&lt;50,"40–49",
IF(tbl_abs[[#This Row],[Age]]&lt;60,"50–59",
"60+")))),"")</f>
        <v>&lt;30</v>
      </c>
      <c r="X346" s="53" t="str">
        <f>IFERROR(
IF(tbl_abs[[#This Row],[Distance from Residence to Work]]&lt;=5,"0–5",
IF(tbl_abs[[#This Row],[Distance from Residence to Work]]&lt;=10,"6–10",
IF(tbl_abs[[#This Row],[Distance from Residence to Work]]&lt;=20,"11–20",
"21+"))),"")</f>
        <v>21+</v>
      </c>
      <c r="Y346" s="53" t="str">
        <f>IFERROR(
IF(tbl_abs[[#This Row],[Body Mass Index]]&lt;18.5,"Underweight",
IF(tbl_abs[[#This Row],[Body Mass Index]]&lt;25,"Normal",
IF(tbl_abs[[#This Row],[Body Mass Index]]&lt;30,"Overweight",
"Obese"))),"")</f>
        <v>Normal</v>
      </c>
      <c r="Z346" s="53" t="str">
        <f>IFERROR(
IF(tbl_abs[[#This Row],[Absenteeism time in hours]]&lt;=2,"0–2",
IF(tbl_abs[[#This Row],[Absenteeism time in hours]]&lt;=8,"3–8",
IF(tbl_abs[[#This Row],[Absenteeism time in hours]]&lt;=16,"9–16",
"17+"))),"")</f>
        <v>0–2</v>
      </c>
    </row>
    <row r="347" spans="1:26" ht="15" customHeight="1" x14ac:dyDescent="0.3">
      <c r="A347">
        <v>34</v>
      </c>
      <c r="B347">
        <v>23</v>
      </c>
      <c r="C347" s="1">
        <v>6</v>
      </c>
      <c r="D347">
        <v>2</v>
      </c>
      <c r="E347">
        <v>3</v>
      </c>
      <c r="F347">
        <v>118</v>
      </c>
      <c r="G347" s="1">
        <v>10</v>
      </c>
      <c r="H347">
        <v>10</v>
      </c>
      <c r="I347" s="1">
        <v>37</v>
      </c>
      <c r="J347" s="2">
        <v>253957</v>
      </c>
      <c r="K347">
        <v>95</v>
      </c>
      <c r="L347">
        <v>0</v>
      </c>
      <c r="M347">
        <v>1</v>
      </c>
      <c r="N347">
        <v>0</v>
      </c>
      <c r="O347">
        <v>0</v>
      </c>
      <c r="P347">
        <v>0</v>
      </c>
      <c r="Q347">
        <v>0</v>
      </c>
      <c r="R347">
        <v>83</v>
      </c>
      <c r="S347">
        <v>172</v>
      </c>
      <c r="T347">
        <v>28</v>
      </c>
      <c r="U347">
        <v>3</v>
      </c>
      <c r="V347" s="53" t="str">
        <f>IFERROR(
IF(tbl_abs[[#This Row],[Month of absence]]=0,"Unknown",
CHOOSE(tbl_abs[[#This Row],[Month of absence]],
"Jan","Feb","Mar","Apr","May","Jun","Jul","Aug","Sep","Oct","Nov","Dec")),"")</f>
        <v>Jun</v>
      </c>
      <c r="W347" s="53" t="str">
        <f>IFERROR(
IF(tbl_abs[[#This Row],[Age]]&lt;30,"&lt;30",
IF(tbl_abs[[#This Row],[Age]]&lt;40,"30–39",
IF(tbl_abs[[#This Row],[Age]]&lt;50,"40–49",
IF(tbl_abs[[#This Row],[Age]]&lt;60,"50–59",
"60+")))),"")</f>
        <v>30–39</v>
      </c>
      <c r="X347" s="53" t="str">
        <f>IFERROR(
IF(tbl_abs[[#This Row],[Distance from Residence to Work]]&lt;=5,"0–5",
IF(tbl_abs[[#This Row],[Distance from Residence to Work]]&lt;=10,"6–10",
IF(tbl_abs[[#This Row],[Distance from Residence to Work]]&lt;=20,"11–20",
"21+"))),"")</f>
        <v>6–10</v>
      </c>
      <c r="Y347" s="53" t="str">
        <f>IFERROR(
IF(tbl_abs[[#This Row],[Body Mass Index]]&lt;18.5,"Underweight",
IF(tbl_abs[[#This Row],[Body Mass Index]]&lt;25,"Normal",
IF(tbl_abs[[#This Row],[Body Mass Index]]&lt;30,"Overweight",
"Obese"))),"")</f>
        <v>Overweight</v>
      </c>
      <c r="Z347" s="53" t="str">
        <f>IFERROR(
IF(tbl_abs[[#This Row],[Absenteeism time in hours]]&lt;=2,"0–2",
IF(tbl_abs[[#This Row],[Absenteeism time in hours]]&lt;=8,"3–8",
IF(tbl_abs[[#This Row],[Absenteeism time in hours]]&lt;=16,"9–16",
"17+"))),"")</f>
        <v>3–8</v>
      </c>
    </row>
    <row r="348" spans="1:26" ht="15" customHeight="1" x14ac:dyDescent="0.3">
      <c r="A348">
        <v>3</v>
      </c>
      <c r="B348">
        <v>28</v>
      </c>
      <c r="C348" s="1">
        <v>6</v>
      </c>
      <c r="D348">
        <v>2</v>
      </c>
      <c r="E348">
        <v>3</v>
      </c>
      <c r="F348">
        <v>179</v>
      </c>
      <c r="G348" s="1">
        <v>51</v>
      </c>
      <c r="H348">
        <v>18</v>
      </c>
      <c r="I348" s="1">
        <v>38</v>
      </c>
      <c r="J348" s="2">
        <v>253957</v>
      </c>
      <c r="K348">
        <v>95</v>
      </c>
      <c r="L348">
        <v>0</v>
      </c>
      <c r="M348">
        <v>1</v>
      </c>
      <c r="N348">
        <v>0</v>
      </c>
      <c r="O348">
        <v>1</v>
      </c>
      <c r="P348">
        <v>0</v>
      </c>
      <c r="Q348">
        <v>0</v>
      </c>
      <c r="R348">
        <v>89</v>
      </c>
      <c r="S348">
        <v>170</v>
      </c>
      <c r="T348">
        <v>31</v>
      </c>
      <c r="U348">
        <v>3</v>
      </c>
      <c r="V348" s="53" t="str">
        <f>IFERROR(
IF(tbl_abs[[#This Row],[Month of absence]]=0,"Unknown",
CHOOSE(tbl_abs[[#This Row],[Month of absence]],
"Jan","Feb","Mar","Apr","May","Jun","Jul","Aug","Sep","Oct","Nov","Dec")),"")</f>
        <v>Jun</v>
      </c>
      <c r="W348" s="53" t="str">
        <f>IFERROR(
IF(tbl_abs[[#This Row],[Age]]&lt;30,"&lt;30",
IF(tbl_abs[[#This Row],[Age]]&lt;40,"30–39",
IF(tbl_abs[[#This Row],[Age]]&lt;50,"40–49",
IF(tbl_abs[[#This Row],[Age]]&lt;60,"50–59",
"60+")))),"")</f>
        <v>30–39</v>
      </c>
      <c r="X348" s="53" t="str">
        <f>IFERROR(
IF(tbl_abs[[#This Row],[Distance from Residence to Work]]&lt;=5,"0–5",
IF(tbl_abs[[#This Row],[Distance from Residence to Work]]&lt;=10,"6–10",
IF(tbl_abs[[#This Row],[Distance from Residence to Work]]&lt;=20,"11–20",
"21+"))),"")</f>
        <v>21+</v>
      </c>
      <c r="Y348" s="53" t="str">
        <f>IFERROR(
IF(tbl_abs[[#This Row],[Body Mass Index]]&lt;18.5,"Underweight",
IF(tbl_abs[[#This Row],[Body Mass Index]]&lt;25,"Normal",
IF(tbl_abs[[#This Row],[Body Mass Index]]&lt;30,"Overweight",
"Obese"))),"")</f>
        <v>Obese</v>
      </c>
      <c r="Z348" s="53" t="str">
        <f>IFERROR(
IF(tbl_abs[[#This Row],[Absenteeism time in hours]]&lt;=2,"0–2",
IF(tbl_abs[[#This Row],[Absenteeism time in hours]]&lt;=8,"3–8",
IF(tbl_abs[[#This Row],[Absenteeism time in hours]]&lt;=16,"9–16",
"17+"))),"")</f>
        <v>3–8</v>
      </c>
    </row>
    <row r="349" spans="1:26" ht="15" customHeight="1" x14ac:dyDescent="0.3">
      <c r="A349">
        <v>34</v>
      </c>
      <c r="B349">
        <v>28</v>
      </c>
      <c r="C349" s="1">
        <v>6</v>
      </c>
      <c r="D349">
        <v>3</v>
      </c>
      <c r="E349">
        <v>3</v>
      </c>
      <c r="F349">
        <v>118</v>
      </c>
      <c r="G349" s="1">
        <v>10</v>
      </c>
      <c r="H349">
        <v>10</v>
      </c>
      <c r="I349" s="1">
        <v>37</v>
      </c>
      <c r="J349" s="2">
        <v>253957</v>
      </c>
      <c r="K349">
        <v>95</v>
      </c>
      <c r="L349">
        <v>0</v>
      </c>
      <c r="M349">
        <v>1</v>
      </c>
      <c r="N349">
        <v>0</v>
      </c>
      <c r="O349">
        <v>0</v>
      </c>
      <c r="P349">
        <v>0</v>
      </c>
      <c r="Q349">
        <v>0</v>
      </c>
      <c r="R349">
        <v>83</v>
      </c>
      <c r="S349">
        <v>172</v>
      </c>
      <c r="T349">
        <v>28</v>
      </c>
      <c r="U349">
        <v>2</v>
      </c>
      <c r="V349" s="53" t="str">
        <f>IFERROR(
IF(tbl_abs[[#This Row],[Month of absence]]=0,"Unknown",
CHOOSE(tbl_abs[[#This Row],[Month of absence]],
"Jan","Feb","Mar","Apr","May","Jun","Jul","Aug","Sep","Oct","Nov","Dec")),"")</f>
        <v>Jun</v>
      </c>
      <c r="W349" s="53" t="str">
        <f>IFERROR(
IF(tbl_abs[[#This Row],[Age]]&lt;30,"&lt;30",
IF(tbl_abs[[#This Row],[Age]]&lt;40,"30–39",
IF(tbl_abs[[#This Row],[Age]]&lt;50,"40–49",
IF(tbl_abs[[#This Row],[Age]]&lt;60,"50–59",
"60+")))),"")</f>
        <v>30–39</v>
      </c>
      <c r="X349" s="53" t="str">
        <f>IFERROR(
IF(tbl_abs[[#This Row],[Distance from Residence to Work]]&lt;=5,"0–5",
IF(tbl_abs[[#This Row],[Distance from Residence to Work]]&lt;=10,"6–10",
IF(tbl_abs[[#This Row],[Distance from Residence to Work]]&lt;=20,"11–20",
"21+"))),"")</f>
        <v>6–10</v>
      </c>
      <c r="Y349" s="53" t="str">
        <f>IFERROR(
IF(tbl_abs[[#This Row],[Body Mass Index]]&lt;18.5,"Underweight",
IF(tbl_abs[[#This Row],[Body Mass Index]]&lt;25,"Normal",
IF(tbl_abs[[#This Row],[Body Mass Index]]&lt;30,"Overweight",
"Obese"))),"")</f>
        <v>Overweight</v>
      </c>
      <c r="Z349" s="53" t="str">
        <f>IFERROR(
IF(tbl_abs[[#This Row],[Absenteeism time in hours]]&lt;=2,"0–2",
IF(tbl_abs[[#This Row],[Absenteeism time in hours]]&lt;=8,"3–8",
IF(tbl_abs[[#This Row],[Absenteeism time in hours]]&lt;=16,"9–16",
"17+"))),"")</f>
        <v>0–2</v>
      </c>
    </row>
    <row r="350" spans="1:26" ht="15" customHeight="1" x14ac:dyDescent="0.3">
      <c r="A350">
        <v>28</v>
      </c>
      <c r="B350">
        <v>23</v>
      </c>
      <c r="C350" s="1">
        <v>6</v>
      </c>
      <c r="D350">
        <v>5</v>
      </c>
      <c r="E350">
        <v>3</v>
      </c>
      <c r="F350">
        <v>225</v>
      </c>
      <c r="G350" s="1">
        <v>26</v>
      </c>
      <c r="H350">
        <v>9</v>
      </c>
      <c r="I350" s="1">
        <v>28</v>
      </c>
      <c r="J350" s="2">
        <v>253957</v>
      </c>
      <c r="K350">
        <v>95</v>
      </c>
      <c r="L350">
        <v>0</v>
      </c>
      <c r="M350">
        <v>1</v>
      </c>
      <c r="N350">
        <v>1</v>
      </c>
      <c r="O350">
        <v>0</v>
      </c>
      <c r="P350">
        <v>0</v>
      </c>
      <c r="Q350">
        <v>2</v>
      </c>
      <c r="R350">
        <v>69</v>
      </c>
      <c r="S350">
        <v>169</v>
      </c>
      <c r="T350">
        <v>24</v>
      </c>
      <c r="U350">
        <v>4</v>
      </c>
      <c r="V350" s="53" t="str">
        <f>IFERROR(
IF(tbl_abs[[#This Row],[Month of absence]]=0,"Unknown",
CHOOSE(tbl_abs[[#This Row],[Month of absence]],
"Jan","Feb","Mar","Apr","May","Jun","Jul","Aug","Sep","Oct","Nov","Dec")),"")</f>
        <v>Jun</v>
      </c>
      <c r="W350" s="53" t="str">
        <f>IFERROR(
IF(tbl_abs[[#This Row],[Age]]&lt;30,"&lt;30",
IF(tbl_abs[[#This Row],[Age]]&lt;40,"30–39",
IF(tbl_abs[[#This Row],[Age]]&lt;50,"40–49",
IF(tbl_abs[[#This Row],[Age]]&lt;60,"50–59",
"60+")))),"")</f>
        <v>&lt;30</v>
      </c>
      <c r="X350" s="53" t="str">
        <f>IFERROR(
IF(tbl_abs[[#This Row],[Distance from Residence to Work]]&lt;=5,"0–5",
IF(tbl_abs[[#This Row],[Distance from Residence to Work]]&lt;=10,"6–10",
IF(tbl_abs[[#This Row],[Distance from Residence to Work]]&lt;=20,"11–20",
"21+"))),"")</f>
        <v>21+</v>
      </c>
      <c r="Y350" s="53" t="str">
        <f>IFERROR(
IF(tbl_abs[[#This Row],[Body Mass Index]]&lt;18.5,"Underweight",
IF(tbl_abs[[#This Row],[Body Mass Index]]&lt;25,"Normal",
IF(tbl_abs[[#This Row],[Body Mass Index]]&lt;30,"Overweight",
"Obese"))),"")</f>
        <v>Normal</v>
      </c>
      <c r="Z350" s="53" t="str">
        <f>IFERROR(
IF(tbl_abs[[#This Row],[Absenteeism time in hours]]&lt;=2,"0–2",
IF(tbl_abs[[#This Row],[Absenteeism time in hours]]&lt;=8,"3–8",
IF(tbl_abs[[#This Row],[Absenteeism time in hours]]&lt;=16,"9–16",
"17+"))),"")</f>
        <v>3–8</v>
      </c>
    </row>
    <row r="351" spans="1:26" ht="15" customHeight="1" x14ac:dyDescent="0.3">
      <c r="A351">
        <v>20</v>
      </c>
      <c r="B351">
        <v>28</v>
      </c>
      <c r="C351" s="1">
        <v>6</v>
      </c>
      <c r="D351">
        <v>6</v>
      </c>
      <c r="E351">
        <v>3</v>
      </c>
      <c r="F351">
        <v>260</v>
      </c>
      <c r="G351" s="1">
        <v>50</v>
      </c>
      <c r="H351">
        <v>11</v>
      </c>
      <c r="I351" s="1">
        <v>36</v>
      </c>
      <c r="J351" s="2">
        <v>253957</v>
      </c>
      <c r="K351">
        <v>95</v>
      </c>
      <c r="L351">
        <v>0</v>
      </c>
      <c r="M351">
        <v>1</v>
      </c>
      <c r="N351">
        <v>4</v>
      </c>
      <c r="O351">
        <v>1</v>
      </c>
      <c r="P351">
        <v>0</v>
      </c>
      <c r="Q351">
        <v>0</v>
      </c>
      <c r="R351">
        <v>65</v>
      </c>
      <c r="S351">
        <v>168</v>
      </c>
      <c r="T351">
        <v>23</v>
      </c>
      <c r="U351">
        <v>4</v>
      </c>
      <c r="V351" s="53" t="str">
        <f>IFERROR(
IF(tbl_abs[[#This Row],[Month of absence]]=0,"Unknown",
CHOOSE(tbl_abs[[#This Row],[Month of absence]],
"Jan","Feb","Mar","Apr","May","Jun","Jul","Aug","Sep","Oct","Nov","Dec")),"")</f>
        <v>Jun</v>
      </c>
      <c r="W351" s="53" t="str">
        <f>IFERROR(
IF(tbl_abs[[#This Row],[Age]]&lt;30,"&lt;30",
IF(tbl_abs[[#This Row],[Age]]&lt;40,"30–39",
IF(tbl_abs[[#This Row],[Age]]&lt;50,"40–49",
IF(tbl_abs[[#This Row],[Age]]&lt;60,"50–59",
"60+")))),"")</f>
        <v>30–39</v>
      </c>
      <c r="X351" s="53" t="str">
        <f>IFERROR(
IF(tbl_abs[[#This Row],[Distance from Residence to Work]]&lt;=5,"0–5",
IF(tbl_abs[[#This Row],[Distance from Residence to Work]]&lt;=10,"6–10",
IF(tbl_abs[[#This Row],[Distance from Residence to Work]]&lt;=20,"11–20",
"21+"))),"")</f>
        <v>21+</v>
      </c>
      <c r="Y351" s="53" t="str">
        <f>IFERROR(
IF(tbl_abs[[#This Row],[Body Mass Index]]&lt;18.5,"Underweight",
IF(tbl_abs[[#This Row],[Body Mass Index]]&lt;25,"Normal",
IF(tbl_abs[[#This Row],[Body Mass Index]]&lt;30,"Overweight",
"Obese"))),"")</f>
        <v>Normal</v>
      </c>
      <c r="Z351" s="53" t="str">
        <f>IFERROR(
IF(tbl_abs[[#This Row],[Absenteeism time in hours]]&lt;=2,"0–2",
IF(tbl_abs[[#This Row],[Absenteeism time in hours]]&lt;=8,"3–8",
IF(tbl_abs[[#This Row],[Absenteeism time in hours]]&lt;=16,"9–16",
"17+"))),"")</f>
        <v>3–8</v>
      </c>
    </row>
    <row r="352" spans="1:26" ht="15" customHeight="1" x14ac:dyDescent="0.3">
      <c r="A352">
        <v>3</v>
      </c>
      <c r="B352">
        <v>0</v>
      </c>
      <c r="C352" s="1">
        <v>6</v>
      </c>
      <c r="D352">
        <v>6</v>
      </c>
      <c r="E352">
        <v>3</v>
      </c>
      <c r="F352">
        <v>179</v>
      </c>
      <c r="G352" s="1">
        <v>51</v>
      </c>
      <c r="H352">
        <v>18</v>
      </c>
      <c r="I352" s="1">
        <v>38</v>
      </c>
      <c r="J352" s="2">
        <v>253957</v>
      </c>
      <c r="K352">
        <v>95</v>
      </c>
      <c r="L352">
        <v>1</v>
      </c>
      <c r="M352">
        <v>1</v>
      </c>
      <c r="N352">
        <v>0</v>
      </c>
      <c r="O352">
        <v>1</v>
      </c>
      <c r="P352">
        <v>0</v>
      </c>
      <c r="Q352">
        <v>0</v>
      </c>
      <c r="R352">
        <v>89</v>
      </c>
      <c r="S352">
        <v>170</v>
      </c>
      <c r="T352">
        <v>31</v>
      </c>
      <c r="U352">
        <v>0</v>
      </c>
      <c r="V352" s="53" t="str">
        <f>IFERROR(
IF(tbl_abs[[#This Row],[Month of absence]]=0,"Unknown",
CHOOSE(tbl_abs[[#This Row],[Month of absence]],
"Jan","Feb","Mar","Apr","May","Jun","Jul","Aug","Sep","Oct","Nov","Dec")),"")</f>
        <v>Jun</v>
      </c>
      <c r="W352" s="53" t="str">
        <f>IFERROR(
IF(tbl_abs[[#This Row],[Age]]&lt;30,"&lt;30",
IF(tbl_abs[[#This Row],[Age]]&lt;40,"30–39",
IF(tbl_abs[[#This Row],[Age]]&lt;50,"40–49",
IF(tbl_abs[[#This Row],[Age]]&lt;60,"50–59",
"60+")))),"")</f>
        <v>30–39</v>
      </c>
      <c r="X352" s="53" t="str">
        <f>IFERROR(
IF(tbl_abs[[#This Row],[Distance from Residence to Work]]&lt;=5,"0–5",
IF(tbl_abs[[#This Row],[Distance from Residence to Work]]&lt;=10,"6–10",
IF(tbl_abs[[#This Row],[Distance from Residence to Work]]&lt;=20,"11–20",
"21+"))),"")</f>
        <v>21+</v>
      </c>
      <c r="Y352" s="53" t="str">
        <f>IFERROR(
IF(tbl_abs[[#This Row],[Body Mass Index]]&lt;18.5,"Underweight",
IF(tbl_abs[[#This Row],[Body Mass Index]]&lt;25,"Normal",
IF(tbl_abs[[#This Row],[Body Mass Index]]&lt;30,"Overweight",
"Obese"))),"")</f>
        <v>Obese</v>
      </c>
      <c r="Z352" s="53" t="str">
        <f>IFERROR(
IF(tbl_abs[[#This Row],[Absenteeism time in hours]]&lt;=2,"0–2",
IF(tbl_abs[[#This Row],[Absenteeism time in hours]]&lt;=8,"3–8",
IF(tbl_abs[[#This Row],[Absenteeism time in hours]]&lt;=16,"9–16",
"17+"))),"")</f>
        <v>0–2</v>
      </c>
    </row>
    <row r="353" spans="1:26" ht="15" customHeight="1" x14ac:dyDescent="0.3">
      <c r="A353">
        <v>15</v>
      </c>
      <c r="B353">
        <v>13</v>
      </c>
      <c r="C353" s="1">
        <v>6</v>
      </c>
      <c r="D353">
        <v>2</v>
      </c>
      <c r="E353">
        <v>3</v>
      </c>
      <c r="F353">
        <v>291</v>
      </c>
      <c r="G353" s="1">
        <v>31</v>
      </c>
      <c r="H353">
        <v>12</v>
      </c>
      <c r="I353" s="1">
        <v>40</v>
      </c>
      <c r="J353" s="2">
        <v>253957</v>
      </c>
      <c r="K353">
        <v>95</v>
      </c>
      <c r="L353">
        <v>0</v>
      </c>
      <c r="M353">
        <v>1</v>
      </c>
      <c r="N353">
        <v>1</v>
      </c>
      <c r="O353">
        <v>1</v>
      </c>
      <c r="P353">
        <v>0</v>
      </c>
      <c r="Q353">
        <v>1</v>
      </c>
      <c r="R353">
        <v>73</v>
      </c>
      <c r="S353">
        <v>171</v>
      </c>
      <c r="T353">
        <v>25</v>
      </c>
      <c r="U353">
        <v>40</v>
      </c>
      <c r="V353" s="53" t="str">
        <f>IFERROR(
IF(tbl_abs[[#This Row],[Month of absence]]=0,"Unknown",
CHOOSE(tbl_abs[[#This Row],[Month of absence]],
"Jan","Feb","Mar","Apr","May","Jun","Jul","Aug","Sep","Oct","Nov","Dec")),"")</f>
        <v>Jun</v>
      </c>
      <c r="W353" s="53" t="str">
        <f>IFERROR(
IF(tbl_abs[[#This Row],[Age]]&lt;30,"&lt;30",
IF(tbl_abs[[#This Row],[Age]]&lt;40,"30–39",
IF(tbl_abs[[#This Row],[Age]]&lt;50,"40–49",
IF(tbl_abs[[#This Row],[Age]]&lt;60,"50–59",
"60+")))),"")</f>
        <v>40–49</v>
      </c>
      <c r="X353" s="53" t="str">
        <f>IFERROR(
IF(tbl_abs[[#This Row],[Distance from Residence to Work]]&lt;=5,"0–5",
IF(tbl_abs[[#This Row],[Distance from Residence to Work]]&lt;=10,"6–10",
IF(tbl_abs[[#This Row],[Distance from Residence to Work]]&lt;=20,"11–20",
"21+"))),"")</f>
        <v>21+</v>
      </c>
      <c r="Y353" s="53" t="str">
        <f>IFERROR(
IF(tbl_abs[[#This Row],[Body Mass Index]]&lt;18.5,"Underweight",
IF(tbl_abs[[#This Row],[Body Mass Index]]&lt;25,"Normal",
IF(tbl_abs[[#This Row],[Body Mass Index]]&lt;30,"Overweight",
"Obese"))),"")</f>
        <v>Overweight</v>
      </c>
      <c r="Z353" s="53" t="str">
        <f>IFERROR(
IF(tbl_abs[[#This Row],[Absenteeism time in hours]]&lt;=2,"0–2",
IF(tbl_abs[[#This Row],[Absenteeism time in hours]]&lt;=8,"3–8",
IF(tbl_abs[[#This Row],[Absenteeism time in hours]]&lt;=16,"9–16",
"17+"))),"")</f>
        <v>17+</v>
      </c>
    </row>
    <row r="354" spans="1:26" ht="15" customHeight="1" x14ac:dyDescent="0.3">
      <c r="A354">
        <v>3</v>
      </c>
      <c r="B354">
        <v>28</v>
      </c>
      <c r="C354" s="1">
        <v>6</v>
      </c>
      <c r="D354">
        <v>2</v>
      </c>
      <c r="E354">
        <v>3</v>
      </c>
      <c r="F354">
        <v>179</v>
      </c>
      <c r="G354" s="1">
        <v>51</v>
      </c>
      <c r="H354">
        <v>18</v>
      </c>
      <c r="I354" s="1">
        <v>38</v>
      </c>
      <c r="J354" s="2">
        <v>253957</v>
      </c>
      <c r="K354">
        <v>95</v>
      </c>
      <c r="L354">
        <v>0</v>
      </c>
      <c r="M354">
        <v>1</v>
      </c>
      <c r="N354">
        <v>0</v>
      </c>
      <c r="O354">
        <v>1</v>
      </c>
      <c r="P354">
        <v>0</v>
      </c>
      <c r="Q354">
        <v>0</v>
      </c>
      <c r="R354">
        <v>89</v>
      </c>
      <c r="S354">
        <v>170</v>
      </c>
      <c r="T354">
        <v>31</v>
      </c>
      <c r="U354">
        <v>24</v>
      </c>
      <c r="V354" s="53" t="str">
        <f>IFERROR(
IF(tbl_abs[[#This Row],[Month of absence]]=0,"Unknown",
CHOOSE(tbl_abs[[#This Row],[Month of absence]],
"Jan","Feb","Mar","Apr","May","Jun","Jul","Aug","Sep","Oct","Nov","Dec")),"")</f>
        <v>Jun</v>
      </c>
      <c r="W354" s="53" t="str">
        <f>IFERROR(
IF(tbl_abs[[#This Row],[Age]]&lt;30,"&lt;30",
IF(tbl_abs[[#This Row],[Age]]&lt;40,"30–39",
IF(tbl_abs[[#This Row],[Age]]&lt;50,"40–49",
IF(tbl_abs[[#This Row],[Age]]&lt;60,"50–59",
"60+")))),"")</f>
        <v>30–39</v>
      </c>
      <c r="X354" s="53" t="str">
        <f>IFERROR(
IF(tbl_abs[[#This Row],[Distance from Residence to Work]]&lt;=5,"0–5",
IF(tbl_abs[[#This Row],[Distance from Residence to Work]]&lt;=10,"6–10",
IF(tbl_abs[[#This Row],[Distance from Residence to Work]]&lt;=20,"11–20",
"21+"))),"")</f>
        <v>21+</v>
      </c>
      <c r="Y354" s="53" t="str">
        <f>IFERROR(
IF(tbl_abs[[#This Row],[Body Mass Index]]&lt;18.5,"Underweight",
IF(tbl_abs[[#This Row],[Body Mass Index]]&lt;25,"Normal",
IF(tbl_abs[[#This Row],[Body Mass Index]]&lt;30,"Overweight",
"Obese"))),"")</f>
        <v>Obese</v>
      </c>
      <c r="Z354" s="53" t="str">
        <f>IFERROR(
IF(tbl_abs[[#This Row],[Absenteeism time in hours]]&lt;=2,"0–2",
IF(tbl_abs[[#This Row],[Absenteeism time in hours]]&lt;=8,"3–8",
IF(tbl_abs[[#This Row],[Absenteeism time in hours]]&lt;=16,"9–16",
"17+"))),"")</f>
        <v>17+</v>
      </c>
    </row>
    <row r="355" spans="1:26" ht="15" customHeight="1" x14ac:dyDescent="0.3">
      <c r="A355">
        <v>24</v>
      </c>
      <c r="B355">
        <v>28</v>
      </c>
      <c r="C355" s="1">
        <v>6</v>
      </c>
      <c r="D355">
        <v>3</v>
      </c>
      <c r="E355">
        <v>3</v>
      </c>
      <c r="F355">
        <v>246</v>
      </c>
      <c r="G355" s="1">
        <v>25</v>
      </c>
      <c r="H355">
        <v>16</v>
      </c>
      <c r="I355" s="1">
        <v>41</v>
      </c>
      <c r="J355" s="2">
        <v>253957</v>
      </c>
      <c r="K355">
        <v>95</v>
      </c>
      <c r="L355">
        <v>0</v>
      </c>
      <c r="M355">
        <v>1</v>
      </c>
      <c r="N355">
        <v>0</v>
      </c>
      <c r="O355">
        <v>1</v>
      </c>
      <c r="P355">
        <v>0</v>
      </c>
      <c r="Q355">
        <v>0</v>
      </c>
      <c r="R355">
        <v>67</v>
      </c>
      <c r="S355">
        <v>170</v>
      </c>
      <c r="T355">
        <v>23</v>
      </c>
      <c r="U355">
        <v>3</v>
      </c>
      <c r="V355" s="53" t="str">
        <f>IFERROR(
IF(tbl_abs[[#This Row],[Month of absence]]=0,"Unknown",
CHOOSE(tbl_abs[[#This Row],[Month of absence]],
"Jan","Feb","Mar","Apr","May","Jun","Jul","Aug","Sep","Oct","Nov","Dec")),"")</f>
        <v>Jun</v>
      </c>
      <c r="W355" s="53" t="str">
        <f>IFERROR(
IF(tbl_abs[[#This Row],[Age]]&lt;30,"&lt;30",
IF(tbl_abs[[#This Row],[Age]]&lt;40,"30–39",
IF(tbl_abs[[#This Row],[Age]]&lt;50,"40–49",
IF(tbl_abs[[#This Row],[Age]]&lt;60,"50–59",
"60+")))),"")</f>
        <v>40–49</v>
      </c>
      <c r="X355" s="53" t="str">
        <f>IFERROR(
IF(tbl_abs[[#This Row],[Distance from Residence to Work]]&lt;=5,"0–5",
IF(tbl_abs[[#This Row],[Distance from Residence to Work]]&lt;=10,"6–10",
IF(tbl_abs[[#This Row],[Distance from Residence to Work]]&lt;=20,"11–20",
"21+"))),"")</f>
        <v>21+</v>
      </c>
      <c r="Y355" s="53" t="str">
        <f>IFERROR(
IF(tbl_abs[[#This Row],[Body Mass Index]]&lt;18.5,"Underweight",
IF(tbl_abs[[#This Row],[Body Mass Index]]&lt;25,"Normal",
IF(tbl_abs[[#This Row],[Body Mass Index]]&lt;30,"Overweight",
"Obese"))),"")</f>
        <v>Normal</v>
      </c>
      <c r="Z355" s="53" t="str">
        <f>IFERROR(
IF(tbl_abs[[#This Row],[Absenteeism time in hours]]&lt;=2,"0–2",
IF(tbl_abs[[#This Row],[Absenteeism time in hours]]&lt;=8,"3–8",
IF(tbl_abs[[#This Row],[Absenteeism time in hours]]&lt;=16,"9–16",
"17+"))),"")</f>
        <v>3–8</v>
      </c>
    </row>
    <row r="356" spans="1:26" ht="15" customHeight="1" x14ac:dyDescent="0.3">
      <c r="A356">
        <v>3</v>
      </c>
      <c r="B356">
        <v>28</v>
      </c>
      <c r="C356" s="1">
        <v>6</v>
      </c>
      <c r="D356">
        <v>2</v>
      </c>
      <c r="E356">
        <v>3</v>
      </c>
      <c r="F356">
        <v>179</v>
      </c>
      <c r="G356" s="1">
        <v>51</v>
      </c>
      <c r="H356">
        <v>18</v>
      </c>
      <c r="I356" s="1">
        <v>38</v>
      </c>
      <c r="J356" s="2">
        <v>253957</v>
      </c>
      <c r="K356">
        <v>95</v>
      </c>
      <c r="L356">
        <v>0</v>
      </c>
      <c r="M356">
        <v>1</v>
      </c>
      <c r="N356">
        <v>0</v>
      </c>
      <c r="O356">
        <v>1</v>
      </c>
      <c r="P356">
        <v>0</v>
      </c>
      <c r="Q356">
        <v>0</v>
      </c>
      <c r="R356">
        <v>89</v>
      </c>
      <c r="S356">
        <v>170</v>
      </c>
      <c r="T356">
        <v>31</v>
      </c>
      <c r="U356">
        <v>4</v>
      </c>
      <c r="V356" s="53" t="str">
        <f>IFERROR(
IF(tbl_abs[[#This Row],[Month of absence]]=0,"Unknown",
CHOOSE(tbl_abs[[#This Row],[Month of absence]],
"Jan","Feb","Mar","Apr","May","Jun","Jul","Aug","Sep","Oct","Nov","Dec")),"")</f>
        <v>Jun</v>
      </c>
      <c r="W356" s="53" t="str">
        <f>IFERROR(
IF(tbl_abs[[#This Row],[Age]]&lt;30,"&lt;30",
IF(tbl_abs[[#This Row],[Age]]&lt;40,"30–39",
IF(tbl_abs[[#This Row],[Age]]&lt;50,"40–49",
IF(tbl_abs[[#This Row],[Age]]&lt;60,"50–59",
"60+")))),"")</f>
        <v>30–39</v>
      </c>
      <c r="X356" s="53" t="str">
        <f>IFERROR(
IF(tbl_abs[[#This Row],[Distance from Residence to Work]]&lt;=5,"0–5",
IF(tbl_abs[[#This Row],[Distance from Residence to Work]]&lt;=10,"6–10",
IF(tbl_abs[[#This Row],[Distance from Residence to Work]]&lt;=20,"11–20",
"21+"))),"")</f>
        <v>21+</v>
      </c>
      <c r="Y356" s="53" t="str">
        <f>IFERROR(
IF(tbl_abs[[#This Row],[Body Mass Index]]&lt;18.5,"Underweight",
IF(tbl_abs[[#This Row],[Body Mass Index]]&lt;25,"Normal",
IF(tbl_abs[[#This Row],[Body Mass Index]]&lt;30,"Overweight",
"Obese"))),"")</f>
        <v>Obese</v>
      </c>
      <c r="Z356" s="53" t="str">
        <f>IFERROR(
IF(tbl_abs[[#This Row],[Absenteeism time in hours]]&lt;=2,"0–2",
IF(tbl_abs[[#This Row],[Absenteeism time in hours]]&lt;=8,"3–8",
IF(tbl_abs[[#This Row],[Absenteeism time in hours]]&lt;=16,"9–16",
"17+"))),"")</f>
        <v>3–8</v>
      </c>
    </row>
    <row r="357" spans="1:26" ht="15" customHeight="1" x14ac:dyDescent="0.3">
      <c r="A357">
        <v>5</v>
      </c>
      <c r="B357">
        <v>26</v>
      </c>
      <c r="C357" s="1">
        <v>6</v>
      </c>
      <c r="D357">
        <v>3</v>
      </c>
      <c r="E357">
        <v>3</v>
      </c>
      <c r="F357">
        <v>235</v>
      </c>
      <c r="G357" s="1">
        <v>20</v>
      </c>
      <c r="H357">
        <v>13</v>
      </c>
      <c r="I357" s="1">
        <v>43</v>
      </c>
      <c r="J357" s="2">
        <v>253957</v>
      </c>
      <c r="K357">
        <v>95</v>
      </c>
      <c r="L357">
        <v>0</v>
      </c>
      <c r="M357">
        <v>1</v>
      </c>
      <c r="N357">
        <v>1</v>
      </c>
      <c r="O357">
        <v>1</v>
      </c>
      <c r="P357">
        <v>0</v>
      </c>
      <c r="Q357">
        <v>0</v>
      </c>
      <c r="R357">
        <v>106</v>
      </c>
      <c r="S357">
        <v>167</v>
      </c>
      <c r="T357">
        <v>38</v>
      </c>
      <c r="U357">
        <v>8</v>
      </c>
      <c r="V357" s="53" t="str">
        <f>IFERROR(
IF(tbl_abs[[#This Row],[Month of absence]]=0,"Unknown",
CHOOSE(tbl_abs[[#This Row],[Month of absence]],
"Jan","Feb","Mar","Apr","May","Jun","Jul","Aug","Sep","Oct","Nov","Dec")),"")</f>
        <v>Jun</v>
      </c>
      <c r="W357" s="53" t="str">
        <f>IFERROR(
IF(tbl_abs[[#This Row],[Age]]&lt;30,"&lt;30",
IF(tbl_abs[[#This Row],[Age]]&lt;40,"30–39",
IF(tbl_abs[[#This Row],[Age]]&lt;50,"40–49",
IF(tbl_abs[[#This Row],[Age]]&lt;60,"50–59",
"60+")))),"")</f>
        <v>40–49</v>
      </c>
      <c r="X357" s="53" t="str">
        <f>IFERROR(
IF(tbl_abs[[#This Row],[Distance from Residence to Work]]&lt;=5,"0–5",
IF(tbl_abs[[#This Row],[Distance from Residence to Work]]&lt;=10,"6–10",
IF(tbl_abs[[#This Row],[Distance from Residence to Work]]&lt;=20,"11–20",
"21+"))),"")</f>
        <v>11–20</v>
      </c>
      <c r="Y357" s="53" t="str">
        <f>IFERROR(
IF(tbl_abs[[#This Row],[Body Mass Index]]&lt;18.5,"Underweight",
IF(tbl_abs[[#This Row],[Body Mass Index]]&lt;25,"Normal",
IF(tbl_abs[[#This Row],[Body Mass Index]]&lt;30,"Overweight",
"Obese"))),"")</f>
        <v>Obese</v>
      </c>
      <c r="Z357" s="53" t="str">
        <f>IFERROR(
IF(tbl_abs[[#This Row],[Absenteeism time in hours]]&lt;=2,"0–2",
IF(tbl_abs[[#This Row],[Absenteeism time in hours]]&lt;=8,"3–8",
IF(tbl_abs[[#This Row],[Absenteeism time in hours]]&lt;=16,"9–16",
"17+"))),"")</f>
        <v>3–8</v>
      </c>
    </row>
    <row r="358" spans="1:26" ht="15" customHeight="1" x14ac:dyDescent="0.3">
      <c r="A358">
        <v>3</v>
      </c>
      <c r="B358">
        <v>28</v>
      </c>
      <c r="C358" s="1">
        <v>6</v>
      </c>
      <c r="D358">
        <v>2</v>
      </c>
      <c r="E358">
        <v>1</v>
      </c>
      <c r="F358">
        <v>179</v>
      </c>
      <c r="G358" s="1">
        <v>51</v>
      </c>
      <c r="H358">
        <v>18</v>
      </c>
      <c r="I358" s="1">
        <v>38</v>
      </c>
      <c r="J358" s="2">
        <v>253957</v>
      </c>
      <c r="K358">
        <v>95</v>
      </c>
      <c r="L358">
        <v>0</v>
      </c>
      <c r="M358">
        <v>1</v>
      </c>
      <c r="N358">
        <v>0</v>
      </c>
      <c r="O358">
        <v>1</v>
      </c>
      <c r="P358">
        <v>0</v>
      </c>
      <c r="Q358">
        <v>0</v>
      </c>
      <c r="R358">
        <v>89</v>
      </c>
      <c r="S358">
        <v>170</v>
      </c>
      <c r="T358">
        <v>31</v>
      </c>
      <c r="U358">
        <v>2</v>
      </c>
      <c r="V358" s="53" t="str">
        <f>IFERROR(
IF(tbl_abs[[#This Row],[Month of absence]]=0,"Unknown",
CHOOSE(tbl_abs[[#This Row],[Month of absence]],
"Jan","Feb","Mar","Apr","May","Jun","Jul","Aug","Sep","Oct","Nov","Dec")),"")</f>
        <v>Jun</v>
      </c>
      <c r="W358" s="53" t="str">
        <f>IFERROR(
IF(tbl_abs[[#This Row],[Age]]&lt;30,"&lt;30",
IF(tbl_abs[[#This Row],[Age]]&lt;40,"30–39",
IF(tbl_abs[[#This Row],[Age]]&lt;50,"40–49",
IF(tbl_abs[[#This Row],[Age]]&lt;60,"50–59",
"60+")))),"")</f>
        <v>30–39</v>
      </c>
      <c r="X358" s="53" t="str">
        <f>IFERROR(
IF(tbl_abs[[#This Row],[Distance from Residence to Work]]&lt;=5,"0–5",
IF(tbl_abs[[#This Row],[Distance from Residence to Work]]&lt;=10,"6–10",
IF(tbl_abs[[#This Row],[Distance from Residence to Work]]&lt;=20,"11–20",
"21+"))),"")</f>
        <v>21+</v>
      </c>
      <c r="Y358" s="53" t="str">
        <f>IFERROR(
IF(tbl_abs[[#This Row],[Body Mass Index]]&lt;18.5,"Underweight",
IF(tbl_abs[[#This Row],[Body Mass Index]]&lt;25,"Normal",
IF(tbl_abs[[#This Row],[Body Mass Index]]&lt;30,"Overweight",
"Obese"))),"")</f>
        <v>Obese</v>
      </c>
      <c r="Z358" s="53" t="str">
        <f>IFERROR(
IF(tbl_abs[[#This Row],[Absenteeism time in hours]]&lt;=2,"0–2",
IF(tbl_abs[[#This Row],[Absenteeism time in hours]]&lt;=8,"3–8",
IF(tbl_abs[[#This Row],[Absenteeism time in hours]]&lt;=16,"9–16",
"17+"))),"")</f>
        <v>0–2</v>
      </c>
    </row>
    <row r="359" spans="1:26" ht="15" customHeight="1" x14ac:dyDescent="0.3">
      <c r="A359">
        <v>28</v>
      </c>
      <c r="B359">
        <v>23</v>
      </c>
      <c r="C359" s="1">
        <v>6</v>
      </c>
      <c r="D359">
        <v>4</v>
      </c>
      <c r="E359">
        <v>1</v>
      </c>
      <c r="F359">
        <v>225</v>
      </c>
      <c r="G359" s="1">
        <v>26</v>
      </c>
      <c r="H359">
        <v>9</v>
      </c>
      <c r="I359" s="1">
        <v>28</v>
      </c>
      <c r="J359" s="2">
        <v>253957</v>
      </c>
      <c r="K359">
        <v>95</v>
      </c>
      <c r="L359">
        <v>0</v>
      </c>
      <c r="M359">
        <v>1</v>
      </c>
      <c r="N359">
        <v>1</v>
      </c>
      <c r="O359">
        <v>0</v>
      </c>
      <c r="P359">
        <v>0</v>
      </c>
      <c r="Q359">
        <v>2</v>
      </c>
      <c r="R359">
        <v>69</v>
      </c>
      <c r="S359">
        <v>169</v>
      </c>
      <c r="T359">
        <v>24</v>
      </c>
      <c r="U359">
        <v>2</v>
      </c>
      <c r="V359" s="53" t="str">
        <f>IFERROR(
IF(tbl_abs[[#This Row],[Month of absence]]=0,"Unknown",
CHOOSE(tbl_abs[[#This Row],[Month of absence]],
"Jan","Feb","Mar","Apr","May","Jun","Jul","Aug","Sep","Oct","Nov","Dec")),"")</f>
        <v>Jun</v>
      </c>
      <c r="W359" s="53" t="str">
        <f>IFERROR(
IF(tbl_abs[[#This Row],[Age]]&lt;30,"&lt;30",
IF(tbl_abs[[#This Row],[Age]]&lt;40,"30–39",
IF(tbl_abs[[#This Row],[Age]]&lt;50,"40–49",
IF(tbl_abs[[#This Row],[Age]]&lt;60,"50–59",
"60+")))),"")</f>
        <v>&lt;30</v>
      </c>
      <c r="X359" s="53" t="str">
        <f>IFERROR(
IF(tbl_abs[[#This Row],[Distance from Residence to Work]]&lt;=5,"0–5",
IF(tbl_abs[[#This Row],[Distance from Residence to Work]]&lt;=10,"6–10",
IF(tbl_abs[[#This Row],[Distance from Residence to Work]]&lt;=20,"11–20",
"21+"))),"")</f>
        <v>21+</v>
      </c>
      <c r="Y359" s="53" t="str">
        <f>IFERROR(
IF(tbl_abs[[#This Row],[Body Mass Index]]&lt;18.5,"Underweight",
IF(tbl_abs[[#This Row],[Body Mass Index]]&lt;25,"Normal",
IF(tbl_abs[[#This Row],[Body Mass Index]]&lt;30,"Overweight",
"Obese"))),"")</f>
        <v>Normal</v>
      </c>
      <c r="Z359" s="53" t="str">
        <f>IFERROR(
IF(tbl_abs[[#This Row],[Absenteeism time in hours]]&lt;=2,"0–2",
IF(tbl_abs[[#This Row],[Absenteeism time in hours]]&lt;=8,"3–8",
IF(tbl_abs[[#This Row],[Absenteeism time in hours]]&lt;=16,"9–16",
"17+"))),"")</f>
        <v>0–2</v>
      </c>
    </row>
    <row r="360" spans="1:26" ht="15" customHeight="1" x14ac:dyDescent="0.3">
      <c r="A360">
        <v>36</v>
      </c>
      <c r="B360">
        <v>23</v>
      </c>
      <c r="C360" s="1">
        <v>6</v>
      </c>
      <c r="D360">
        <v>4</v>
      </c>
      <c r="E360">
        <v>1</v>
      </c>
      <c r="F360">
        <v>118</v>
      </c>
      <c r="G360" s="1">
        <v>13</v>
      </c>
      <c r="H360">
        <v>18</v>
      </c>
      <c r="I360" s="1">
        <v>50</v>
      </c>
      <c r="J360" s="2">
        <v>253957</v>
      </c>
      <c r="K360">
        <v>95</v>
      </c>
      <c r="L360">
        <v>0</v>
      </c>
      <c r="M360">
        <v>1</v>
      </c>
      <c r="N360">
        <v>1</v>
      </c>
      <c r="O360">
        <v>1</v>
      </c>
      <c r="P360">
        <v>0</v>
      </c>
      <c r="Q360">
        <v>0</v>
      </c>
      <c r="R360">
        <v>98</v>
      </c>
      <c r="S360">
        <v>178</v>
      </c>
      <c r="T360">
        <v>31</v>
      </c>
      <c r="U360">
        <v>2</v>
      </c>
      <c r="V360" s="53" t="str">
        <f>IFERROR(
IF(tbl_abs[[#This Row],[Month of absence]]=0,"Unknown",
CHOOSE(tbl_abs[[#This Row],[Month of absence]],
"Jan","Feb","Mar","Apr","May","Jun","Jul","Aug","Sep","Oct","Nov","Dec")),"")</f>
        <v>Jun</v>
      </c>
      <c r="W360" s="53" t="str">
        <f>IFERROR(
IF(tbl_abs[[#This Row],[Age]]&lt;30,"&lt;30",
IF(tbl_abs[[#This Row],[Age]]&lt;40,"30–39",
IF(tbl_abs[[#This Row],[Age]]&lt;50,"40–49",
IF(tbl_abs[[#This Row],[Age]]&lt;60,"50–59",
"60+")))),"")</f>
        <v>50–59</v>
      </c>
      <c r="X360" s="53" t="str">
        <f>IFERROR(
IF(tbl_abs[[#This Row],[Distance from Residence to Work]]&lt;=5,"0–5",
IF(tbl_abs[[#This Row],[Distance from Residence to Work]]&lt;=10,"6–10",
IF(tbl_abs[[#This Row],[Distance from Residence to Work]]&lt;=20,"11–20",
"21+"))),"")</f>
        <v>11–20</v>
      </c>
      <c r="Y360" s="53" t="str">
        <f>IFERROR(
IF(tbl_abs[[#This Row],[Body Mass Index]]&lt;18.5,"Underweight",
IF(tbl_abs[[#This Row],[Body Mass Index]]&lt;25,"Normal",
IF(tbl_abs[[#This Row],[Body Mass Index]]&lt;30,"Overweight",
"Obese"))),"")</f>
        <v>Obese</v>
      </c>
      <c r="Z360" s="53" t="str">
        <f>IFERROR(
IF(tbl_abs[[#This Row],[Absenteeism time in hours]]&lt;=2,"0–2",
IF(tbl_abs[[#This Row],[Absenteeism time in hours]]&lt;=8,"3–8",
IF(tbl_abs[[#This Row],[Absenteeism time in hours]]&lt;=16,"9–16",
"17+"))),"")</f>
        <v>0–2</v>
      </c>
    </row>
    <row r="361" spans="1:26" ht="15" customHeight="1" x14ac:dyDescent="0.3">
      <c r="A361">
        <v>3</v>
      </c>
      <c r="B361">
        <v>5</v>
      </c>
      <c r="C361" s="1">
        <v>6</v>
      </c>
      <c r="D361">
        <v>4</v>
      </c>
      <c r="E361">
        <v>1</v>
      </c>
      <c r="F361">
        <v>179</v>
      </c>
      <c r="G361" s="1">
        <v>51</v>
      </c>
      <c r="H361">
        <v>18</v>
      </c>
      <c r="I361" s="1">
        <v>38</v>
      </c>
      <c r="J361" s="2">
        <v>253957</v>
      </c>
      <c r="K361">
        <v>95</v>
      </c>
      <c r="L361">
        <v>0</v>
      </c>
      <c r="M361">
        <v>1</v>
      </c>
      <c r="N361">
        <v>0</v>
      </c>
      <c r="O361">
        <v>1</v>
      </c>
      <c r="P361">
        <v>0</v>
      </c>
      <c r="Q361">
        <v>0</v>
      </c>
      <c r="R361">
        <v>89</v>
      </c>
      <c r="S361">
        <v>170</v>
      </c>
      <c r="T361">
        <v>31</v>
      </c>
      <c r="U361">
        <v>8</v>
      </c>
      <c r="V361" s="53" t="str">
        <f>IFERROR(
IF(tbl_abs[[#This Row],[Month of absence]]=0,"Unknown",
CHOOSE(tbl_abs[[#This Row],[Month of absence]],
"Jan","Feb","Mar","Apr","May","Jun","Jul","Aug","Sep","Oct","Nov","Dec")),"")</f>
        <v>Jun</v>
      </c>
      <c r="W361" s="53" t="str">
        <f>IFERROR(
IF(tbl_abs[[#This Row],[Age]]&lt;30,"&lt;30",
IF(tbl_abs[[#This Row],[Age]]&lt;40,"30–39",
IF(tbl_abs[[#This Row],[Age]]&lt;50,"40–49",
IF(tbl_abs[[#This Row],[Age]]&lt;60,"50–59",
"60+")))),"")</f>
        <v>30–39</v>
      </c>
      <c r="X361" s="53" t="str">
        <f>IFERROR(
IF(tbl_abs[[#This Row],[Distance from Residence to Work]]&lt;=5,"0–5",
IF(tbl_abs[[#This Row],[Distance from Residence to Work]]&lt;=10,"6–10",
IF(tbl_abs[[#This Row],[Distance from Residence to Work]]&lt;=20,"11–20",
"21+"))),"")</f>
        <v>21+</v>
      </c>
      <c r="Y361" s="53" t="str">
        <f>IFERROR(
IF(tbl_abs[[#This Row],[Body Mass Index]]&lt;18.5,"Underweight",
IF(tbl_abs[[#This Row],[Body Mass Index]]&lt;25,"Normal",
IF(tbl_abs[[#This Row],[Body Mass Index]]&lt;30,"Overweight",
"Obese"))),"")</f>
        <v>Obese</v>
      </c>
      <c r="Z361" s="53" t="str">
        <f>IFERROR(
IF(tbl_abs[[#This Row],[Absenteeism time in hours]]&lt;=2,"0–2",
IF(tbl_abs[[#This Row],[Absenteeism time in hours]]&lt;=8,"3–8",
IF(tbl_abs[[#This Row],[Absenteeism time in hours]]&lt;=16,"9–16",
"17+"))),"")</f>
        <v>3–8</v>
      </c>
    </row>
    <row r="362" spans="1:26" ht="15" customHeight="1" x14ac:dyDescent="0.3">
      <c r="A362">
        <v>22</v>
      </c>
      <c r="B362">
        <v>21</v>
      </c>
      <c r="C362" s="1">
        <v>6</v>
      </c>
      <c r="D362">
        <v>4</v>
      </c>
      <c r="E362">
        <v>1</v>
      </c>
      <c r="F362">
        <v>179</v>
      </c>
      <c r="G362" s="1">
        <v>26</v>
      </c>
      <c r="H362">
        <v>9</v>
      </c>
      <c r="I362" s="1">
        <v>30</v>
      </c>
      <c r="J362" s="2">
        <v>253957</v>
      </c>
      <c r="K362">
        <v>95</v>
      </c>
      <c r="L362">
        <v>0</v>
      </c>
      <c r="M362">
        <v>3</v>
      </c>
      <c r="N362">
        <v>0</v>
      </c>
      <c r="O362">
        <v>0</v>
      </c>
      <c r="P362">
        <v>0</v>
      </c>
      <c r="Q362">
        <v>0</v>
      </c>
      <c r="R362">
        <v>56</v>
      </c>
      <c r="S362">
        <v>171</v>
      </c>
      <c r="T362">
        <v>19</v>
      </c>
      <c r="U362">
        <v>2</v>
      </c>
      <c r="V362" s="53" t="str">
        <f>IFERROR(
IF(tbl_abs[[#This Row],[Month of absence]]=0,"Unknown",
CHOOSE(tbl_abs[[#This Row],[Month of absence]],
"Jan","Feb","Mar","Apr","May","Jun","Jul","Aug","Sep","Oct","Nov","Dec")),"")</f>
        <v>Jun</v>
      </c>
      <c r="W362" s="53" t="str">
        <f>IFERROR(
IF(tbl_abs[[#This Row],[Age]]&lt;30,"&lt;30",
IF(tbl_abs[[#This Row],[Age]]&lt;40,"30–39",
IF(tbl_abs[[#This Row],[Age]]&lt;50,"40–49",
IF(tbl_abs[[#This Row],[Age]]&lt;60,"50–59",
"60+")))),"")</f>
        <v>30–39</v>
      </c>
      <c r="X362" s="53" t="str">
        <f>IFERROR(
IF(tbl_abs[[#This Row],[Distance from Residence to Work]]&lt;=5,"0–5",
IF(tbl_abs[[#This Row],[Distance from Residence to Work]]&lt;=10,"6–10",
IF(tbl_abs[[#This Row],[Distance from Residence to Work]]&lt;=20,"11–20",
"21+"))),"")</f>
        <v>21+</v>
      </c>
      <c r="Y362" s="53" t="str">
        <f>IFERROR(
IF(tbl_abs[[#This Row],[Body Mass Index]]&lt;18.5,"Underweight",
IF(tbl_abs[[#This Row],[Body Mass Index]]&lt;25,"Normal",
IF(tbl_abs[[#This Row],[Body Mass Index]]&lt;30,"Overweight",
"Obese"))),"")</f>
        <v>Normal</v>
      </c>
      <c r="Z362" s="53" t="str">
        <f>IFERROR(
IF(tbl_abs[[#This Row],[Absenteeism time in hours]]&lt;=2,"0–2",
IF(tbl_abs[[#This Row],[Absenteeism time in hours]]&lt;=8,"3–8",
IF(tbl_abs[[#This Row],[Absenteeism time in hours]]&lt;=16,"9–16",
"17+"))),"")</f>
        <v>0–2</v>
      </c>
    </row>
    <row r="363" spans="1:26" ht="15" customHeight="1" x14ac:dyDescent="0.3">
      <c r="A363">
        <v>24</v>
      </c>
      <c r="B363">
        <v>28</v>
      </c>
      <c r="C363" s="1">
        <v>6</v>
      </c>
      <c r="D363">
        <v>6</v>
      </c>
      <c r="E363">
        <v>1</v>
      </c>
      <c r="F363">
        <v>246</v>
      </c>
      <c r="G363" s="1">
        <v>25</v>
      </c>
      <c r="H363">
        <v>16</v>
      </c>
      <c r="I363" s="1">
        <v>41</v>
      </c>
      <c r="J363" s="2">
        <v>253957</v>
      </c>
      <c r="K363">
        <v>95</v>
      </c>
      <c r="L363">
        <v>0</v>
      </c>
      <c r="M363">
        <v>1</v>
      </c>
      <c r="N363">
        <v>0</v>
      </c>
      <c r="O363">
        <v>1</v>
      </c>
      <c r="P363">
        <v>0</v>
      </c>
      <c r="Q363">
        <v>0</v>
      </c>
      <c r="R363">
        <v>67</v>
      </c>
      <c r="S363">
        <v>170</v>
      </c>
      <c r="T363">
        <v>23</v>
      </c>
      <c r="U363">
        <v>2</v>
      </c>
      <c r="V363" s="53" t="str">
        <f>IFERROR(
IF(tbl_abs[[#This Row],[Month of absence]]=0,"Unknown",
CHOOSE(tbl_abs[[#This Row],[Month of absence]],
"Jan","Feb","Mar","Apr","May","Jun","Jul","Aug","Sep","Oct","Nov","Dec")),"")</f>
        <v>Jun</v>
      </c>
      <c r="W363" s="53" t="str">
        <f>IFERROR(
IF(tbl_abs[[#This Row],[Age]]&lt;30,"&lt;30",
IF(tbl_abs[[#This Row],[Age]]&lt;40,"30–39",
IF(tbl_abs[[#This Row],[Age]]&lt;50,"40–49",
IF(tbl_abs[[#This Row],[Age]]&lt;60,"50–59",
"60+")))),"")</f>
        <v>40–49</v>
      </c>
      <c r="X363" s="53" t="str">
        <f>IFERROR(
IF(tbl_abs[[#This Row],[Distance from Residence to Work]]&lt;=5,"0–5",
IF(tbl_abs[[#This Row],[Distance from Residence to Work]]&lt;=10,"6–10",
IF(tbl_abs[[#This Row],[Distance from Residence to Work]]&lt;=20,"11–20",
"21+"))),"")</f>
        <v>21+</v>
      </c>
      <c r="Y363" s="53" t="str">
        <f>IFERROR(
IF(tbl_abs[[#This Row],[Body Mass Index]]&lt;18.5,"Underweight",
IF(tbl_abs[[#This Row],[Body Mass Index]]&lt;25,"Normal",
IF(tbl_abs[[#This Row],[Body Mass Index]]&lt;30,"Overweight",
"Obese"))),"")</f>
        <v>Normal</v>
      </c>
      <c r="Z363" s="53" t="str">
        <f>IFERROR(
IF(tbl_abs[[#This Row],[Absenteeism time in hours]]&lt;=2,"0–2",
IF(tbl_abs[[#This Row],[Absenteeism time in hours]]&lt;=8,"3–8",
IF(tbl_abs[[#This Row],[Absenteeism time in hours]]&lt;=16,"9–16",
"17+"))),"")</f>
        <v>0–2</v>
      </c>
    </row>
    <row r="364" spans="1:26" ht="15" customHeight="1" x14ac:dyDescent="0.3">
      <c r="A364">
        <v>18</v>
      </c>
      <c r="B364">
        <v>11</v>
      </c>
      <c r="C364" s="1">
        <v>6</v>
      </c>
      <c r="D364">
        <v>3</v>
      </c>
      <c r="E364">
        <v>1</v>
      </c>
      <c r="F364">
        <v>330</v>
      </c>
      <c r="G364" s="1">
        <v>16</v>
      </c>
      <c r="H364">
        <v>4</v>
      </c>
      <c r="I364" s="1">
        <v>28</v>
      </c>
      <c r="J364" s="2">
        <v>253957</v>
      </c>
      <c r="K364">
        <v>95</v>
      </c>
      <c r="L364">
        <v>0</v>
      </c>
      <c r="M364">
        <v>2</v>
      </c>
      <c r="N364">
        <v>0</v>
      </c>
      <c r="O364">
        <v>0</v>
      </c>
      <c r="P364">
        <v>0</v>
      </c>
      <c r="Q364">
        <v>0</v>
      </c>
      <c r="R364">
        <v>84</v>
      </c>
      <c r="S364">
        <v>182</v>
      </c>
      <c r="T364">
        <v>25</v>
      </c>
      <c r="U364">
        <v>1</v>
      </c>
      <c r="V364" s="53" t="str">
        <f>IFERROR(
IF(tbl_abs[[#This Row],[Month of absence]]=0,"Unknown",
CHOOSE(tbl_abs[[#This Row],[Month of absence]],
"Jan","Feb","Mar","Apr","May","Jun","Jul","Aug","Sep","Oct","Nov","Dec")),"")</f>
        <v>Jun</v>
      </c>
      <c r="W364" s="53" t="str">
        <f>IFERROR(
IF(tbl_abs[[#This Row],[Age]]&lt;30,"&lt;30",
IF(tbl_abs[[#This Row],[Age]]&lt;40,"30–39",
IF(tbl_abs[[#This Row],[Age]]&lt;50,"40–49",
IF(tbl_abs[[#This Row],[Age]]&lt;60,"50–59",
"60+")))),"")</f>
        <v>&lt;30</v>
      </c>
      <c r="X364" s="53" t="str">
        <f>IFERROR(
IF(tbl_abs[[#This Row],[Distance from Residence to Work]]&lt;=5,"0–5",
IF(tbl_abs[[#This Row],[Distance from Residence to Work]]&lt;=10,"6–10",
IF(tbl_abs[[#This Row],[Distance from Residence to Work]]&lt;=20,"11–20",
"21+"))),"")</f>
        <v>11–20</v>
      </c>
      <c r="Y364" s="53" t="str">
        <f>IFERROR(
IF(tbl_abs[[#This Row],[Body Mass Index]]&lt;18.5,"Underweight",
IF(tbl_abs[[#This Row],[Body Mass Index]]&lt;25,"Normal",
IF(tbl_abs[[#This Row],[Body Mass Index]]&lt;30,"Overweight",
"Obese"))),"")</f>
        <v>Overweight</v>
      </c>
      <c r="Z364" s="53" t="str">
        <f>IFERROR(
IF(tbl_abs[[#This Row],[Absenteeism time in hours]]&lt;=2,"0–2",
IF(tbl_abs[[#This Row],[Absenteeism time in hours]]&lt;=8,"3–8",
IF(tbl_abs[[#This Row],[Absenteeism time in hours]]&lt;=16,"9–16",
"17+"))),"")</f>
        <v>0–2</v>
      </c>
    </row>
    <row r="365" spans="1:26" ht="15" customHeight="1" x14ac:dyDescent="0.3">
      <c r="A365">
        <v>1</v>
      </c>
      <c r="B365">
        <v>13</v>
      </c>
      <c r="C365" s="1">
        <v>6</v>
      </c>
      <c r="D365">
        <v>3</v>
      </c>
      <c r="E365">
        <v>1</v>
      </c>
      <c r="F365">
        <v>235</v>
      </c>
      <c r="G365" s="1">
        <v>11</v>
      </c>
      <c r="H365">
        <v>14</v>
      </c>
      <c r="I365" s="1">
        <v>37</v>
      </c>
      <c r="J365" s="2">
        <v>253957</v>
      </c>
      <c r="K365">
        <v>95</v>
      </c>
      <c r="L365">
        <v>0</v>
      </c>
      <c r="M365">
        <v>3</v>
      </c>
      <c r="N365">
        <v>1</v>
      </c>
      <c r="O365">
        <v>0</v>
      </c>
      <c r="P365">
        <v>0</v>
      </c>
      <c r="Q365">
        <v>1</v>
      </c>
      <c r="R365">
        <v>88</v>
      </c>
      <c r="S365">
        <v>172</v>
      </c>
      <c r="T365">
        <v>29</v>
      </c>
      <c r="U365">
        <v>8</v>
      </c>
      <c r="V365" s="53" t="str">
        <f>IFERROR(
IF(tbl_abs[[#This Row],[Month of absence]]=0,"Unknown",
CHOOSE(tbl_abs[[#This Row],[Month of absence]],
"Jan","Feb","Mar","Apr","May","Jun","Jul","Aug","Sep","Oct","Nov","Dec")),"")</f>
        <v>Jun</v>
      </c>
      <c r="W365" s="53" t="str">
        <f>IFERROR(
IF(tbl_abs[[#This Row],[Age]]&lt;30,"&lt;30",
IF(tbl_abs[[#This Row],[Age]]&lt;40,"30–39",
IF(tbl_abs[[#This Row],[Age]]&lt;50,"40–49",
IF(tbl_abs[[#This Row],[Age]]&lt;60,"50–59",
"60+")))),"")</f>
        <v>30–39</v>
      </c>
      <c r="X365" s="53" t="str">
        <f>IFERROR(
IF(tbl_abs[[#This Row],[Distance from Residence to Work]]&lt;=5,"0–5",
IF(tbl_abs[[#This Row],[Distance from Residence to Work]]&lt;=10,"6–10",
IF(tbl_abs[[#This Row],[Distance from Residence to Work]]&lt;=20,"11–20",
"21+"))),"")</f>
        <v>11–20</v>
      </c>
      <c r="Y365" s="53" t="str">
        <f>IFERROR(
IF(tbl_abs[[#This Row],[Body Mass Index]]&lt;18.5,"Underweight",
IF(tbl_abs[[#This Row],[Body Mass Index]]&lt;25,"Normal",
IF(tbl_abs[[#This Row],[Body Mass Index]]&lt;30,"Overweight",
"Obese"))),"")</f>
        <v>Overweight</v>
      </c>
      <c r="Z365" s="53" t="str">
        <f>IFERROR(
IF(tbl_abs[[#This Row],[Absenteeism time in hours]]&lt;=2,"0–2",
IF(tbl_abs[[#This Row],[Absenteeism time in hours]]&lt;=8,"3–8",
IF(tbl_abs[[#This Row],[Absenteeism time in hours]]&lt;=16,"9–16",
"17+"))),"")</f>
        <v>3–8</v>
      </c>
    </row>
    <row r="366" spans="1:26" ht="15" customHeight="1" x14ac:dyDescent="0.3">
      <c r="A366">
        <v>16</v>
      </c>
      <c r="B366">
        <v>7</v>
      </c>
      <c r="C366" s="1">
        <v>6</v>
      </c>
      <c r="D366">
        <v>4</v>
      </c>
      <c r="E366">
        <v>3</v>
      </c>
      <c r="F366">
        <v>118</v>
      </c>
      <c r="G366" s="1">
        <v>15</v>
      </c>
      <c r="H366">
        <v>24</v>
      </c>
      <c r="I366" s="1">
        <v>46</v>
      </c>
      <c r="J366" s="2">
        <v>275089</v>
      </c>
      <c r="K366">
        <v>96</v>
      </c>
      <c r="L366">
        <v>0</v>
      </c>
      <c r="M366">
        <v>1</v>
      </c>
      <c r="N366">
        <v>2</v>
      </c>
      <c r="O366">
        <v>1</v>
      </c>
      <c r="P366">
        <v>1</v>
      </c>
      <c r="Q366">
        <v>0</v>
      </c>
      <c r="R366">
        <v>75</v>
      </c>
      <c r="S366">
        <v>175</v>
      </c>
      <c r="T366">
        <v>25</v>
      </c>
      <c r="U366">
        <v>8</v>
      </c>
      <c r="V366" s="53" t="str">
        <f>IFERROR(
IF(tbl_abs[[#This Row],[Month of absence]]=0,"Unknown",
CHOOSE(tbl_abs[[#This Row],[Month of absence]],
"Jan","Feb","Mar","Apr","May","Jun","Jul","Aug","Sep","Oct","Nov","Dec")),"")</f>
        <v>Jun</v>
      </c>
      <c r="W366" s="53" t="str">
        <f>IFERROR(
IF(tbl_abs[[#This Row],[Age]]&lt;30,"&lt;30",
IF(tbl_abs[[#This Row],[Age]]&lt;40,"30–39",
IF(tbl_abs[[#This Row],[Age]]&lt;50,"40–49",
IF(tbl_abs[[#This Row],[Age]]&lt;60,"50–59",
"60+")))),"")</f>
        <v>40–49</v>
      </c>
      <c r="X366" s="53" t="str">
        <f>IFERROR(
IF(tbl_abs[[#This Row],[Distance from Residence to Work]]&lt;=5,"0–5",
IF(tbl_abs[[#This Row],[Distance from Residence to Work]]&lt;=10,"6–10",
IF(tbl_abs[[#This Row],[Distance from Residence to Work]]&lt;=20,"11–20",
"21+"))),"")</f>
        <v>11–20</v>
      </c>
      <c r="Y366" s="53" t="str">
        <f>IFERROR(
IF(tbl_abs[[#This Row],[Body Mass Index]]&lt;18.5,"Underweight",
IF(tbl_abs[[#This Row],[Body Mass Index]]&lt;25,"Normal",
IF(tbl_abs[[#This Row],[Body Mass Index]]&lt;30,"Overweight",
"Obese"))),"")</f>
        <v>Overweight</v>
      </c>
      <c r="Z366" s="53" t="str">
        <f>IFERROR(
IF(tbl_abs[[#This Row],[Absenteeism time in hours]]&lt;=2,"0–2",
IF(tbl_abs[[#This Row],[Absenteeism time in hours]]&lt;=8,"3–8",
IF(tbl_abs[[#This Row],[Absenteeism time in hours]]&lt;=16,"9–16",
"17+"))),"")</f>
        <v>3–8</v>
      </c>
    </row>
    <row r="367" spans="1:26" ht="15" customHeight="1" x14ac:dyDescent="0.3">
      <c r="A367">
        <v>22</v>
      </c>
      <c r="B367">
        <v>27</v>
      </c>
      <c r="C367" s="1">
        <v>6</v>
      </c>
      <c r="D367">
        <v>4</v>
      </c>
      <c r="E367">
        <v>3</v>
      </c>
      <c r="F367">
        <v>179</v>
      </c>
      <c r="G367" s="1">
        <v>26</v>
      </c>
      <c r="H367">
        <v>9</v>
      </c>
      <c r="I367" s="1">
        <v>30</v>
      </c>
      <c r="J367" s="2">
        <v>275089</v>
      </c>
      <c r="K367">
        <v>96</v>
      </c>
      <c r="L367">
        <v>0</v>
      </c>
      <c r="M367">
        <v>3</v>
      </c>
      <c r="N367">
        <v>0</v>
      </c>
      <c r="O367">
        <v>0</v>
      </c>
      <c r="P367">
        <v>0</v>
      </c>
      <c r="Q367">
        <v>0</v>
      </c>
      <c r="R367">
        <v>56</v>
      </c>
      <c r="S367">
        <v>171</v>
      </c>
      <c r="T367">
        <v>19</v>
      </c>
      <c r="U367">
        <v>3</v>
      </c>
      <c r="V367" s="53" t="str">
        <f>IFERROR(
IF(tbl_abs[[#This Row],[Month of absence]]=0,"Unknown",
CHOOSE(tbl_abs[[#This Row],[Month of absence]],
"Jan","Feb","Mar","Apr","May","Jun","Jul","Aug","Sep","Oct","Nov","Dec")),"")</f>
        <v>Jun</v>
      </c>
      <c r="W367" s="53" t="str">
        <f>IFERROR(
IF(tbl_abs[[#This Row],[Age]]&lt;30,"&lt;30",
IF(tbl_abs[[#This Row],[Age]]&lt;40,"30–39",
IF(tbl_abs[[#This Row],[Age]]&lt;50,"40–49",
IF(tbl_abs[[#This Row],[Age]]&lt;60,"50–59",
"60+")))),"")</f>
        <v>30–39</v>
      </c>
      <c r="X367" s="53" t="str">
        <f>IFERROR(
IF(tbl_abs[[#This Row],[Distance from Residence to Work]]&lt;=5,"0–5",
IF(tbl_abs[[#This Row],[Distance from Residence to Work]]&lt;=10,"6–10",
IF(tbl_abs[[#This Row],[Distance from Residence to Work]]&lt;=20,"11–20",
"21+"))),"")</f>
        <v>21+</v>
      </c>
      <c r="Y367" s="53" t="str">
        <f>IFERROR(
IF(tbl_abs[[#This Row],[Body Mass Index]]&lt;18.5,"Underweight",
IF(tbl_abs[[#This Row],[Body Mass Index]]&lt;25,"Normal",
IF(tbl_abs[[#This Row],[Body Mass Index]]&lt;30,"Overweight",
"Obese"))),"")</f>
        <v>Normal</v>
      </c>
      <c r="Z367" s="53" t="str">
        <f>IFERROR(
IF(tbl_abs[[#This Row],[Absenteeism time in hours]]&lt;=2,"0–2",
IF(tbl_abs[[#This Row],[Absenteeism time in hours]]&lt;=8,"3–8",
IF(tbl_abs[[#This Row],[Absenteeism time in hours]]&lt;=16,"9–16",
"17+"))),"")</f>
        <v>3–8</v>
      </c>
    </row>
    <row r="368" spans="1:26" ht="15" customHeight="1" x14ac:dyDescent="0.3">
      <c r="A368">
        <v>34</v>
      </c>
      <c r="B368">
        <v>26</v>
      </c>
      <c r="C368" s="1">
        <v>6</v>
      </c>
      <c r="D368">
        <v>6</v>
      </c>
      <c r="E368">
        <v>3</v>
      </c>
      <c r="F368">
        <v>118</v>
      </c>
      <c r="G368" s="1">
        <v>10</v>
      </c>
      <c r="H368">
        <v>10</v>
      </c>
      <c r="I368" s="1">
        <v>37</v>
      </c>
      <c r="J368" s="2">
        <v>275089</v>
      </c>
      <c r="K368">
        <v>96</v>
      </c>
      <c r="L368">
        <v>0</v>
      </c>
      <c r="M368">
        <v>1</v>
      </c>
      <c r="N368">
        <v>0</v>
      </c>
      <c r="O368">
        <v>0</v>
      </c>
      <c r="P368">
        <v>0</v>
      </c>
      <c r="Q368">
        <v>0</v>
      </c>
      <c r="R368">
        <v>83</v>
      </c>
      <c r="S368">
        <v>172</v>
      </c>
      <c r="T368">
        <v>28</v>
      </c>
      <c r="U368">
        <v>8</v>
      </c>
      <c r="V368" s="53" t="str">
        <f>IFERROR(
IF(tbl_abs[[#This Row],[Month of absence]]=0,"Unknown",
CHOOSE(tbl_abs[[#This Row],[Month of absence]],
"Jan","Feb","Mar","Apr","May","Jun","Jul","Aug","Sep","Oct","Nov","Dec")),"")</f>
        <v>Jun</v>
      </c>
      <c r="W368" s="53" t="str">
        <f>IFERROR(
IF(tbl_abs[[#This Row],[Age]]&lt;30,"&lt;30",
IF(tbl_abs[[#This Row],[Age]]&lt;40,"30–39",
IF(tbl_abs[[#This Row],[Age]]&lt;50,"40–49",
IF(tbl_abs[[#This Row],[Age]]&lt;60,"50–59",
"60+")))),"")</f>
        <v>30–39</v>
      </c>
      <c r="X368" s="53" t="str">
        <f>IFERROR(
IF(tbl_abs[[#This Row],[Distance from Residence to Work]]&lt;=5,"0–5",
IF(tbl_abs[[#This Row],[Distance from Residence to Work]]&lt;=10,"6–10",
IF(tbl_abs[[#This Row],[Distance from Residence to Work]]&lt;=20,"11–20",
"21+"))),"")</f>
        <v>6–10</v>
      </c>
      <c r="Y368" s="53" t="str">
        <f>IFERROR(
IF(tbl_abs[[#This Row],[Body Mass Index]]&lt;18.5,"Underweight",
IF(tbl_abs[[#This Row],[Body Mass Index]]&lt;25,"Normal",
IF(tbl_abs[[#This Row],[Body Mass Index]]&lt;30,"Overweight",
"Obese"))),"")</f>
        <v>Overweight</v>
      </c>
      <c r="Z368" s="53" t="str">
        <f>IFERROR(
IF(tbl_abs[[#This Row],[Absenteeism time in hours]]&lt;=2,"0–2",
IF(tbl_abs[[#This Row],[Absenteeism time in hours]]&lt;=8,"3–8",
IF(tbl_abs[[#This Row],[Absenteeism time in hours]]&lt;=16,"9–16",
"17+"))),"")</f>
        <v>3–8</v>
      </c>
    </row>
    <row r="369" spans="1:26" ht="15" customHeight="1" x14ac:dyDescent="0.3">
      <c r="A369">
        <v>34</v>
      </c>
      <c r="B369">
        <v>10</v>
      </c>
      <c r="C369" s="1">
        <v>6</v>
      </c>
      <c r="D369">
        <v>4</v>
      </c>
      <c r="E369">
        <v>3</v>
      </c>
      <c r="F369">
        <v>118</v>
      </c>
      <c r="G369" s="1">
        <v>10</v>
      </c>
      <c r="H369">
        <v>10</v>
      </c>
      <c r="I369" s="1">
        <v>37</v>
      </c>
      <c r="J369" s="2">
        <v>275089</v>
      </c>
      <c r="K369">
        <v>96</v>
      </c>
      <c r="L369">
        <v>0</v>
      </c>
      <c r="M369">
        <v>1</v>
      </c>
      <c r="N369">
        <v>0</v>
      </c>
      <c r="O369">
        <v>0</v>
      </c>
      <c r="P369">
        <v>0</v>
      </c>
      <c r="Q369">
        <v>0</v>
      </c>
      <c r="R369">
        <v>83</v>
      </c>
      <c r="S369">
        <v>172</v>
      </c>
      <c r="T369">
        <v>28</v>
      </c>
      <c r="U369">
        <v>8</v>
      </c>
      <c r="V369" s="53" t="str">
        <f>IFERROR(
IF(tbl_abs[[#This Row],[Month of absence]]=0,"Unknown",
CHOOSE(tbl_abs[[#This Row],[Month of absence]],
"Jan","Feb","Mar","Apr","May","Jun","Jul","Aug","Sep","Oct","Nov","Dec")),"")</f>
        <v>Jun</v>
      </c>
      <c r="W369" s="53" t="str">
        <f>IFERROR(
IF(tbl_abs[[#This Row],[Age]]&lt;30,"&lt;30",
IF(tbl_abs[[#This Row],[Age]]&lt;40,"30–39",
IF(tbl_abs[[#This Row],[Age]]&lt;50,"40–49",
IF(tbl_abs[[#This Row],[Age]]&lt;60,"50–59",
"60+")))),"")</f>
        <v>30–39</v>
      </c>
      <c r="X369" s="53" t="str">
        <f>IFERROR(
IF(tbl_abs[[#This Row],[Distance from Residence to Work]]&lt;=5,"0–5",
IF(tbl_abs[[#This Row],[Distance from Residence to Work]]&lt;=10,"6–10",
IF(tbl_abs[[#This Row],[Distance from Residence to Work]]&lt;=20,"11–20",
"21+"))),"")</f>
        <v>6–10</v>
      </c>
      <c r="Y369" s="53" t="str">
        <f>IFERROR(
IF(tbl_abs[[#This Row],[Body Mass Index]]&lt;18.5,"Underweight",
IF(tbl_abs[[#This Row],[Body Mass Index]]&lt;25,"Normal",
IF(tbl_abs[[#This Row],[Body Mass Index]]&lt;30,"Overweight",
"Obese"))),"")</f>
        <v>Overweight</v>
      </c>
      <c r="Z369" s="53" t="str">
        <f>IFERROR(
IF(tbl_abs[[#This Row],[Absenteeism time in hours]]&lt;=2,"0–2",
IF(tbl_abs[[#This Row],[Absenteeism time in hours]]&lt;=8,"3–8",
IF(tbl_abs[[#This Row],[Absenteeism time in hours]]&lt;=16,"9–16",
"17+"))),"")</f>
        <v>3–8</v>
      </c>
    </row>
    <row r="370" spans="1:26" ht="15" customHeight="1" x14ac:dyDescent="0.3">
      <c r="A370">
        <v>23</v>
      </c>
      <c r="B370">
        <v>22</v>
      </c>
      <c r="C370" s="1">
        <v>6</v>
      </c>
      <c r="D370">
        <v>5</v>
      </c>
      <c r="E370">
        <v>3</v>
      </c>
      <c r="F370">
        <v>378</v>
      </c>
      <c r="G370" s="1">
        <v>49</v>
      </c>
      <c r="H370">
        <v>11</v>
      </c>
      <c r="I370" s="1">
        <v>36</v>
      </c>
      <c r="J370" s="2">
        <v>275089</v>
      </c>
      <c r="K370">
        <v>96</v>
      </c>
      <c r="L370">
        <v>0</v>
      </c>
      <c r="M370">
        <v>1</v>
      </c>
      <c r="N370">
        <v>2</v>
      </c>
      <c r="O370">
        <v>0</v>
      </c>
      <c r="P370">
        <v>1</v>
      </c>
      <c r="Q370">
        <v>4</v>
      </c>
      <c r="R370">
        <v>65</v>
      </c>
      <c r="S370">
        <v>174</v>
      </c>
      <c r="T370">
        <v>21</v>
      </c>
      <c r="U370">
        <v>8</v>
      </c>
      <c r="V370" s="53" t="str">
        <f>IFERROR(
IF(tbl_abs[[#This Row],[Month of absence]]=0,"Unknown",
CHOOSE(tbl_abs[[#This Row],[Month of absence]],
"Jan","Feb","Mar","Apr","May","Jun","Jul","Aug","Sep","Oct","Nov","Dec")),"")</f>
        <v>Jun</v>
      </c>
      <c r="W370" s="53" t="str">
        <f>IFERROR(
IF(tbl_abs[[#This Row],[Age]]&lt;30,"&lt;30",
IF(tbl_abs[[#This Row],[Age]]&lt;40,"30–39",
IF(tbl_abs[[#This Row],[Age]]&lt;50,"40–49",
IF(tbl_abs[[#This Row],[Age]]&lt;60,"50–59",
"60+")))),"")</f>
        <v>30–39</v>
      </c>
      <c r="X370" s="53" t="str">
        <f>IFERROR(
IF(tbl_abs[[#This Row],[Distance from Residence to Work]]&lt;=5,"0–5",
IF(tbl_abs[[#This Row],[Distance from Residence to Work]]&lt;=10,"6–10",
IF(tbl_abs[[#This Row],[Distance from Residence to Work]]&lt;=20,"11–20",
"21+"))),"")</f>
        <v>21+</v>
      </c>
      <c r="Y370" s="53" t="str">
        <f>IFERROR(
IF(tbl_abs[[#This Row],[Body Mass Index]]&lt;18.5,"Underweight",
IF(tbl_abs[[#This Row],[Body Mass Index]]&lt;25,"Normal",
IF(tbl_abs[[#This Row],[Body Mass Index]]&lt;30,"Overweight",
"Obese"))),"")</f>
        <v>Normal</v>
      </c>
      <c r="Z370" s="53" t="str">
        <f>IFERROR(
IF(tbl_abs[[#This Row],[Absenteeism time in hours]]&lt;=2,"0–2",
IF(tbl_abs[[#This Row],[Absenteeism time in hours]]&lt;=8,"3–8",
IF(tbl_abs[[#This Row],[Absenteeism time in hours]]&lt;=16,"9–16",
"17+"))),"")</f>
        <v>3–8</v>
      </c>
    </row>
    <row r="371" spans="1:26" ht="15" customHeight="1" x14ac:dyDescent="0.3">
      <c r="A371">
        <v>36</v>
      </c>
      <c r="B371">
        <v>19</v>
      </c>
      <c r="C371" s="1">
        <v>6</v>
      </c>
      <c r="D371">
        <v>5</v>
      </c>
      <c r="E371">
        <v>3</v>
      </c>
      <c r="F371">
        <v>118</v>
      </c>
      <c r="G371" s="1">
        <v>13</v>
      </c>
      <c r="H371">
        <v>18</v>
      </c>
      <c r="I371" s="1">
        <v>50</v>
      </c>
      <c r="J371" s="2">
        <v>275089</v>
      </c>
      <c r="K371">
        <v>96</v>
      </c>
      <c r="L371">
        <v>0</v>
      </c>
      <c r="M371">
        <v>1</v>
      </c>
      <c r="N371">
        <v>1</v>
      </c>
      <c r="O371">
        <v>1</v>
      </c>
      <c r="P371">
        <v>0</v>
      </c>
      <c r="Q371">
        <v>0</v>
      </c>
      <c r="R371">
        <v>98</v>
      </c>
      <c r="S371">
        <v>178</v>
      </c>
      <c r="T371">
        <v>31</v>
      </c>
      <c r="U371">
        <v>24</v>
      </c>
      <c r="V371" s="53" t="str">
        <f>IFERROR(
IF(tbl_abs[[#This Row],[Month of absence]]=0,"Unknown",
CHOOSE(tbl_abs[[#This Row],[Month of absence]],
"Jan","Feb","Mar","Apr","May","Jun","Jul","Aug","Sep","Oct","Nov","Dec")),"")</f>
        <v>Jun</v>
      </c>
      <c r="W371" s="53" t="str">
        <f>IFERROR(
IF(tbl_abs[[#This Row],[Age]]&lt;30,"&lt;30",
IF(tbl_abs[[#This Row],[Age]]&lt;40,"30–39",
IF(tbl_abs[[#This Row],[Age]]&lt;50,"40–49",
IF(tbl_abs[[#This Row],[Age]]&lt;60,"50–59",
"60+")))),"")</f>
        <v>50–59</v>
      </c>
      <c r="X371" s="53" t="str">
        <f>IFERROR(
IF(tbl_abs[[#This Row],[Distance from Residence to Work]]&lt;=5,"0–5",
IF(tbl_abs[[#This Row],[Distance from Residence to Work]]&lt;=10,"6–10",
IF(tbl_abs[[#This Row],[Distance from Residence to Work]]&lt;=20,"11–20",
"21+"))),"")</f>
        <v>11–20</v>
      </c>
      <c r="Y371" s="53" t="str">
        <f>IFERROR(
IF(tbl_abs[[#This Row],[Body Mass Index]]&lt;18.5,"Underweight",
IF(tbl_abs[[#This Row],[Body Mass Index]]&lt;25,"Normal",
IF(tbl_abs[[#This Row],[Body Mass Index]]&lt;30,"Overweight",
"Obese"))),"")</f>
        <v>Obese</v>
      </c>
      <c r="Z371" s="53" t="str">
        <f>IFERROR(
IF(tbl_abs[[#This Row],[Absenteeism time in hours]]&lt;=2,"0–2",
IF(tbl_abs[[#This Row],[Absenteeism time in hours]]&lt;=8,"3–8",
IF(tbl_abs[[#This Row],[Absenteeism time in hours]]&lt;=16,"9–16",
"17+"))),"")</f>
        <v>17+</v>
      </c>
    </row>
    <row r="372" spans="1:26" ht="15" customHeight="1" x14ac:dyDescent="0.3">
      <c r="A372">
        <v>12</v>
      </c>
      <c r="B372">
        <v>19</v>
      </c>
      <c r="C372" s="1">
        <v>6</v>
      </c>
      <c r="D372">
        <v>6</v>
      </c>
      <c r="E372">
        <v>3</v>
      </c>
      <c r="F372">
        <v>233</v>
      </c>
      <c r="G372" s="1">
        <v>51</v>
      </c>
      <c r="H372">
        <v>1</v>
      </c>
      <c r="I372" s="1">
        <v>31</v>
      </c>
      <c r="J372" s="2">
        <v>275089</v>
      </c>
      <c r="K372">
        <v>96</v>
      </c>
      <c r="L372">
        <v>0</v>
      </c>
      <c r="M372">
        <v>2</v>
      </c>
      <c r="N372">
        <v>1</v>
      </c>
      <c r="O372">
        <v>1</v>
      </c>
      <c r="P372">
        <v>0</v>
      </c>
      <c r="Q372">
        <v>8</v>
      </c>
      <c r="R372">
        <v>68</v>
      </c>
      <c r="S372">
        <v>178</v>
      </c>
      <c r="T372">
        <v>21</v>
      </c>
      <c r="U372">
        <v>8</v>
      </c>
      <c r="V372" s="53" t="str">
        <f>IFERROR(
IF(tbl_abs[[#This Row],[Month of absence]]=0,"Unknown",
CHOOSE(tbl_abs[[#This Row],[Month of absence]],
"Jan","Feb","Mar","Apr","May","Jun","Jul","Aug","Sep","Oct","Nov","Dec")),"")</f>
        <v>Jun</v>
      </c>
      <c r="W372" s="53" t="str">
        <f>IFERROR(
IF(tbl_abs[[#This Row],[Age]]&lt;30,"&lt;30",
IF(tbl_abs[[#This Row],[Age]]&lt;40,"30–39",
IF(tbl_abs[[#This Row],[Age]]&lt;50,"40–49",
IF(tbl_abs[[#This Row],[Age]]&lt;60,"50–59",
"60+")))),"")</f>
        <v>30–39</v>
      </c>
      <c r="X372" s="53" t="str">
        <f>IFERROR(
IF(tbl_abs[[#This Row],[Distance from Residence to Work]]&lt;=5,"0–5",
IF(tbl_abs[[#This Row],[Distance from Residence to Work]]&lt;=10,"6–10",
IF(tbl_abs[[#This Row],[Distance from Residence to Work]]&lt;=20,"11–20",
"21+"))),"")</f>
        <v>21+</v>
      </c>
      <c r="Y372" s="53" t="str">
        <f>IFERROR(
IF(tbl_abs[[#This Row],[Body Mass Index]]&lt;18.5,"Underweight",
IF(tbl_abs[[#This Row],[Body Mass Index]]&lt;25,"Normal",
IF(tbl_abs[[#This Row],[Body Mass Index]]&lt;30,"Overweight",
"Obese"))),"")</f>
        <v>Normal</v>
      </c>
      <c r="Z372" s="53" t="str">
        <f>IFERROR(
IF(tbl_abs[[#This Row],[Absenteeism time in hours]]&lt;=2,"0–2",
IF(tbl_abs[[#This Row],[Absenteeism time in hours]]&lt;=8,"3–8",
IF(tbl_abs[[#This Row],[Absenteeism time in hours]]&lt;=16,"9–16",
"17+"))),"")</f>
        <v>3–8</v>
      </c>
    </row>
    <row r="373" spans="1:26" ht="15" customHeight="1" x14ac:dyDescent="0.3">
      <c r="A373">
        <v>22</v>
      </c>
      <c r="B373">
        <v>27</v>
      </c>
      <c r="C373" s="1">
        <v>6</v>
      </c>
      <c r="D373">
        <v>6</v>
      </c>
      <c r="E373">
        <v>3</v>
      </c>
      <c r="F373">
        <v>179</v>
      </c>
      <c r="G373" s="1">
        <v>26</v>
      </c>
      <c r="H373">
        <v>9</v>
      </c>
      <c r="I373" s="1">
        <v>30</v>
      </c>
      <c r="J373" s="2">
        <v>275089</v>
      </c>
      <c r="K373">
        <v>96</v>
      </c>
      <c r="L373">
        <v>0</v>
      </c>
      <c r="M373">
        <v>3</v>
      </c>
      <c r="N373">
        <v>0</v>
      </c>
      <c r="O373">
        <v>0</v>
      </c>
      <c r="P373">
        <v>0</v>
      </c>
      <c r="Q373">
        <v>0</v>
      </c>
      <c r="R373">
        <v>56</v>
      </c>
      <c r="S373">
        <v>171</v>
      </c>
      <c r="T373">
        <v>19</v>
      </c>
      <c r="U373">
        <v>2</v>
      </c>
      <c r="V373" s="53" t="str">
        <f>IFERROR(
IF(tbl_abs[[#This Row],[Month of absence]]=0,"Unknown",
CHOOSE(tbl_abs[[#This Row],[Month of absence]],
"Jan","Feb","Mar","Apr","May","Jun","Jul","Aug","Sep","Oct","Nov","Dec")),"")</f>
        <v>Jun</v>
      </c>
      <c r="W373" s="53" t="str">
        <f>IFERROR(
IF(tbl_abs[[#This Row],[Age]]&lt;30,"&lt;30",
IF(tbl_abs[[#This Row],[Age]]&lt;40,"30–39",
IF(tbl_abs[[#This Row],[Age]]&lt;50,"40–49",
IF(tbl_abs[[#This Row],[Age]]&lt;60,"50–59",
"60+")))),"")</f>
        <v>30–39</v>
      </c>
      <c r="X373" s="53" t="str">
        <f>IFERROR(
IF(tbl_abs[[#This Row],[Distance from Residence to Work]]&lt;=5,"0–5",
IF(tbl_abs[[#This Row],[Distance from Residence to Work]]&lt;=10,"6–10",
IF(tbl_abs[[#This Row],[Distance from Residence to Work]]&lt;=20,"11–20",
"21+"))),"")</f>
        <v>21+</v>
      </c>
      <c r="Y373" s="53" t="str">
        <f>IFERROR(
IF(tbl_abs[[#This Row],[Body Mass Index]]&lt;18.5,"Underweight",
IF(tbl_abs[[#This Row],[Body Mass Index]]&lt;25,"Normal",
IF(tbl_abs[[#This Row],[Body Mass Index]]&lt;30,"Overweight",
"Obese"))),"")</f>
        <v>Normal</v>
      </c>
      <c r="Z373" s="53" t="str">
        <f>IFERROR(
IF(tbl_abs[[#This Row],[Absenteeism time in hours]]&lt;=2,"0–2",
IF(tbl_abs[[#This Row],[Absenteeism time in hours]]&lt;=8,"3–8",
IF(tbl_abs[[#This Row],[Absenteeism time in hours]]&lt;=16,"9–16",
"17+"))),"")</f>
        <v>0–2</v>
      </c>
    </row>
    <row r="374" spans="1:26" ht="15" customHeight="1" x14ac:dyDescent="0.3">
      <c r="A374">
        <v>2</v>
      </c>
      <c r="B374">
        <v>0</v>
      </c>
      <c r="C374" s="1">
        <v>6</v>
      </c>
      <c r="D374">
        <v>2</v>
      </c>
      <c r="E374">
        <v>3</v>
      </c>
      <c r="F374">
        <v>235</v>
      </c>
      <c r="G374" s="1">
        <v>29</v>
      </c>
      <c r="H374">
        <v>12</v>
      </c>
      <c r="I374" s="1">
        <v>48</v>
      </c>
      <c r="J374" s="2">
        <v>275089</v>
      </c>
      <c r="K374">
        <v>96</v>
      </c>
      <c r="L374">
        <v>1</v>
      </c>
      <c r="M374">
        <v>1</v>
      </c>
      <c r="N374">
        <v>1</v>
      </c>
      <c r="O374">
        <v>0</v>
      </c>
      <c r="P374">
        <v>1</v>
      </c>
      <c r="Q374">
        <v>5</v>
      </c>
      <c r="R374">
        <v>88</v>
      </c>
      <c r="S374">
        <v>163</v>
      </c>
      <c r="T374">
        <v>33</v>
      </c>
      <c r="U374">
        <v>0</v>
      </c>
      <c r="V374" s="53" t="str">
        <f>IFERROR(
IF(tbl_abs[[#This Row],[Month of absence]]=0,"Unknown",
CHOOSE(tbl_abs[[#This Row],[Month of absence]],
"Jan","Feb","Mar","Apr","May","Jun","Jul","Aug","Sep","Oct","Nov","Dec")),"")</f>
        <v>Jun</v>
      </c>
      <c r="W374" s="53" t="str">
        <f>IFERROR(
IF(tbl_abs[[#This Row],[Age]]&lt;30,"&lt;30",
IF(tbl_abs[[#This Row],[Age]]&lt;40,"30–39",
IF(tbl_abs[[#This Row],[Age]]&lt;50,"40–49",
IF(tbl_abs[[#This Row],[Age]]&lt;60,"50–59",
"60+")))),"")</f>
        <v>40–49</v>
      </c>
      <c r="X374" s="53" t="str">
        <f>IFERROR(
IF(tbl_abs[[#This Row],[Distance from Residence to Work]]&lt;=5,"0–5",
IF(tbl_abs[[#This Row],[Distance from Residence to Work]]&lt;=10,"6–10",
IF(tbl_abs[[#This Row],[Distance from Residence to Work]]&lt;=20,"11–20",
"21+"))),"")</f>
        <v>21+</v>
      </c>
      <c r="Y374" s="53" t="str">
        <f>IFERROR(
IF(tbl_abs[[#This Row],[Body Mass Index]]&lt;18.5,"Underweight",
IF(tbl_abs[[#This Row],[Body Mass Index]]&lt;25,"Normal",
IF(tbl_abs[[#This Row],[Body Mass Index]]&lt;30,"Overweight",
"Obese"))),"")</f>
        <v>Obese</v>
      </c>
      <c r="Z374" s="53" t="str">
        <f>IFERROR(
IF(tbl_abs[[#This Row],[Absenteeism time in hours]]&lt;=2,"0–2",
IF(tbl_abs[[#This Row],[Absenteeism time in hours]]&lt;=8,"3–8",
IF(tbl_abs[[#This Row],[Absenteeism time in hours]]&lt;=16,"9–16",
"17+"))),"")</f>
        <v>0–2</v>
      </c>
    </row>
    <row r="375" spans="1:26" ht="15" customHeight="1" x14ac:dyDescent="0.3">
      <c r="A375">
        <v>21</v>
      </c>
      <c r="B375">
        <v>0</v>
      </c>
      <c r="C375" s="1">
        <v>6</v>
      </c>
      <c r="D375">
        <v>2</v>
      </c>
      <c r="E375">
        <v>3</v>
      </c>
      <c r="F375">
        <v>268</v>
      </c>
      <c r="G375" s="1">
        <v>11</v>
      </c>
      <c r="H375">
        <v>8</v>
      </c>
      <c r="I375" s="1">
        <v>33</v>
      </c>
      <c r="J375" s="2">
        <v>275089</v>
      </c>
      <c r="K375">
        <v>96</v>
      </c>
      <c r="L375">
        <v>1</v>
      </c>
      <c r="M375">
        <v>2</v>
      </c>
      <c r="N375">
        <v>0</v>
      </c>
      <c r="O375">
        <v>0</v>
      </c>
      <c r="P375">
        <v>0</v>
      </c>
      <c r="Q375">
        <v>0</v>
      </c>
      <c r="R375">
        <v>79</v>
      </c>
      <c r="S375">
        <v>178</v>
      </c>
      <c r="T375">
        <v>25</v>
      </c>
      <c r="U375">
        <v>0</v>
      </c>
      <c r="V375" s="53" t="str">
        <f>IFERROR(
IF(tbl_abs[[#This Row],[Month of absence]]=0,"Unknown",
CHOOSE(tbl_abs[[#This Row],[Month of absence]],
"Jan","Feb","Mar","Apr","May","Jun","Jul","Aug","Sep","Oct","Nov","Dec")),"")</f>
        <v>Jun</v>
      </c>
      <c r="W375" s="53" t="str">
        <f>IFERROR(
IF(tbl_abs[[#This Row],[Age]]&lt;30,"&lt;30",
IF(tbl_abs[[#This Row],[Age]]&lt;40,"30–39",
IF(tbl_abs[[#This Row],[Age]]&lt;50,"40–49",
IF(tbl_abs[[#This Row],[Age]]&lt;60,"50–59",
"60+")))),"")</f>
        <v>30–39</v>
      </c>
      <c r="X375" s="53" t="str">
        <f>IFERROR(
IF(tbl_abs[[#This Row],[Distance from Residence to Work]]&lt;=5,"0–5",
IF(tbl_abs[[#This Row],[Distance from Residence to Work]]&lt;=10,"6–10",
IF(tbl_abs[[#This Row],[Distance from Residence to Work]]&lt;=20,"11–20",
"21+"))),"")</f>
        <v>11–20</v>
      </c>
      <c r="Y375" s="53" t="str">
        <f>IFERROR(
IF(tbl_abs[[#This Row],[Body Mass Index]]&lt;18.5,"Underweight",
IF(tbl_abs[[#This Row],[Body Mass Index]]&lt;25,"Normal",
IF(tbl_abs[[#This Row],[Body Mass Index]]&lt;30,"Overweight",
"Obese"))),"")</f>
        <v>Overweight</v>
      </c>
      <c r="Z375" s="53" t="str">
        <f>IFERROR(
IF(tbl_abs[[#This Row],[Absenteeism time in hours]]&lt;=2,"0–2",
IF(tbl_abs[[#This Row],[Absenteeism time in hours]]&lt;=8,"3–8",
IF(tbl_abs[[#This Row],[Absenteeism time in hours]]&lt;=16,"9–16",
"17+"))),"")</f>
        <v>0–2</v>
      </c>
    </row>
    <row r="376" spans="1:26" ht="15" customHeight="1" x14ac:dyDescent="0.3">
      <c r="A376">
        <v>36</v>
      </c>
      <c r="B376">
        <v>19</v>
      </c>
      <c r="C376" s="1">
        <v>6</v>
      </c>
      <c r="D376">
        <v>5</v>
      </c>
      <c r="E376">
        <v>3</v>
      </c>
      <c r="F376">
        <v>118</v>
      </c>
      <c r="G376" s="1">
        <v>13</v>
      </c>
      <c r="H376">
        <v>18</v>
      </c>
      <c r="I376" s="1">
        <v>50</v>
      </c>
      <c r="J376" s="2">
        <v>275089</v>
      </c>
      <c r="K376">
        <v>96</v>
      </c>
      <c r="L376">
        <v>0</v>
      </c>
      <c r="M376">
        <v>1</v>
      </c>
      <c r="N376">
        <v>1</v>
      </c>
      <c r="O376">
        <v>1</v>
      </c>
      <c r="P376">
        <v>0</v>
      </c>
      <c r="Q376">
        <v>0</v>
      </c>
      <c r="R376">
        <v>98</v>
      </c>
      <c r="S376">
        <v>178</v>
      </c>
      <c r="T376">
        <v>31</v>
      </c>
      <c r="U376">
        <v>3</v>
      </c>
      <c r="V376" s="53" t="str">
        <f>IFERROR(
IF(tbl_abs[[#This Row],[Month of absence]]=0,"Unknown",
CHOOSE(tbl_abs[[#This Row],[Month of absence]],
"Jan","Feb","Mar","Apr","May","Jun","Jul","Aug","Sep","Oct","Nov","Dec")),"")</f>
        <v>Jun</v>
      </c>
      <c r="W376" s="53" t="str">
        <f>IFERROR(
IF(tbl_abs[[#This Row],[Age]]&lt;30,"&lt;30",
IF(tbl_abs[[#This Row],[Age]]&lt;40,"30–39",
IF(tbl_abs[[#This Row],[Age]]&lt;50,"40–49",
IF(tbl_abs[[#This Row],[Age]]&lt;60,"50–59",
"60+")))),"")</f>
        <v>50–59</v>
      </c>
      <c r="X376" s="53" t="str">
        <f>IFERROR(
IF(tbl_abs[[#This Row],[Distance from Residence to Work]]&lt;=5,"0–5",
IF(tbl_abs[[#This Row],[Distance from Residence to Work]]&lt;=10,"6–10",
IF(tbl_abs[[#This Row],[Distance from Residence to Work]]&lt;=20,"11–20",
"21+"))),"")</f>
        <v>11–20</v>
      </c>
      <c r="Y376" s="53" t="str">
        <f>IFERROR(
IF(tbl_abs[[#This Row],[Body Mass Index]]&lt;18.5,"Underweight",
IF(tbl_abs[[#This Row],[Body Mass Index]]&lt;25,"Normal",
IF(tbl_abs[[#This Row],[Body Mass Index]]&lt;30,"Overweight",
"Obese"))),"")</f>
        <v>Obese</v>
      </c>
      <c r="Z376" s="53" t="str">
        <f>IFERROR(
IF(tbl_abs[[#This Row],[Absenteeism time in hours]]&lt;=2,"0–2",
IF(tbl_abs[[#This Row],[Absenteeism time in hours]]&lt;=8,"3–8",
IF(tbl_abs[[#This Row],[Absenteeism time in hours]]&lt;=16,"9–16",
"17+"))),"")</f>
        <v>3–8</v>
      </c>
    </row>
    <row r="377" spans="1:26" ht="15" customHeight="1" x14ac:dyDescent="0.3">
      <c r="A377">
        <v>22</v>
      </c>
      <c r="B377">
        <v>13</v>
      </c>
      <c r="C377" s="1">
        <v>6</v>
      </c>
      <c r="D377">
        <v>5</v>
      </c>
      <c r="E377">
        <v>3</v>
      </c>
      <c r="F377">
        <v>179</v>
      </c>
      <c r="G377" s="1">
        <v>26</v>
      </c>
      <c r="H377">
        <v>9</v>
      </c>
      <c r="I377" s="1">
        <v>30</v>
      </c>
      <c r="J377" s="2">
        <v>275089</v>
      </c>
      <c r="K377">
        <v>96</v>
      </c>
      <c r="L377">
        <v>0</v>
      </c>
      <c r="M377">
        <v>3</v>
      </c>
      <c r="N377">
        <v>0</v>
      </c>
      <c r="O377">
        <v>0</v>
      </c>
      <c r="P377">
        <v>0</v>
      </c>
      <c r="Q377">
        <v>0</v>
      </c>
      <c r="R377">
        <v>56</v>
      </c>
      <c r="S377">
        <v>171</v>
      </c>
      <c r="T377">
        <v>19</v>
      </c>
      <c r="U377">
        <v>2</v>
      </c>
      <c r="V377" s="53" t="str">
        <f>IFERROR(
IF(tbl_abs[[#This Row],[Month of absence]]=0,"Unknown",
CHOOSE(tbl_abs[[#This Row],[Month of absence]],
"Jan","Feb","Mar","Apr","May","Jun","Jul","Aug","Sep","Oct","Nov","Dec")),"")</f>
        <v>Jun</v>
      </c>
      <c r="W377" s="53" t="str">
        <f>IFERROR(
IF(tbl_abs[[#This Row],[Age]]&lt;30,"&lt;30",
IF(tbl_abs[[#This Row],[Age]]&lt;40,"30–39",
IF(tbl_abs[[#This Row],[Age]]&lt;50,"40–49",
IF(tbl_abs[[#This Row],[Age]]&lt;60,"50–59",
"60+")))),"")</f>
        <v>30–39</v>
      </c>
      <c r="X377" s="53" t="str">
        <f>IFERROR(
IF(tbl_abs[[#This Row],[Distance from Residence to Work]]&lt;=5,"0–5",
IF(tbl_abs[[#This Row],[Distance from Residence to Work]]&lt;=10,"6–10",
IF(tbl_abs[[#This Row],[Distance from Residence to Work]]&lt;=20,"11–20",
"21+"))),"")</f>
        <v>21+</v>
      </c>
      <c r="Y377" s="53" t="str">
        <f>IFERROR(
IF(tbl_abs[[#This Row],[Body Mass Index]]&lt;18.5,"Underweight",
IF(tbl_abs[[#This Row],[Body Mass Index]]&lt;25,"Normal",
IF(tbl_abs[[#This Row],[Body Mass Index]]&lt;30,"Overweight",
"Obese"))),"")</f>
        <v>Normal</v>
      </c>
      <c r="Z377" s="53" t="str">
        <f>IFERROR(
IF(tbl_abs[[#This Row],[Absenteeism time in hours]]&lt;=2,"0–2",
IF(tbl_abs[[#This Row],[Absenteeism time in hours]]&lt;=8,"3–8",
IF(tbl_abs[[#This Row],[Absenteeism time in hours]]&lt;=16,"9–16",
"17+"))),"")</f>
        <v>0–2</v>
      </c>
    </row>
    <row r="378" spans="1:26" ht="15" customHeight="1" x14ac:dyDescent="0.3">
      <c r="A378">
        <v>15</v>
      </c>
      <c r="B378">
        <v>28</v>
      </c>
      <c r="C378" s="1">
        <v>6</v>
      </c>
      <c r="D378">
        <v>5</v>
      </c>
      <c r="E378">
        <v>3</v>
      </c>
      <c r="F378">
        <v>291</v>
      </c>
      <c r="G378" s="1">
        <v>31</v>
      </c>
      <c r="H378">
        <v>12</v>
      </c>
      <c r="I378" s="1">
        <v>40</v>
      </c>
      <c r="J378" s="2">
        <v>275089</v>
      </c>
      <c r="K378">
        <v>96</v>
      </c>
      <c r="L378">
        <v>0</v>
      </c>
      <c r="M378">
        <v>1</v>
      </c>
      <c r="N378">
        <v>1</v>
      </c>
      <c r="O378">
        <v>1</v>
      </c>
      <c r="P378">
        <v>0</v>
      </c>
      <c r="Q378">
        <v>1</v>
      </c>
      <c r="R378">
        <v>73</v>
      </c>
      <c r="S378">
        <v>171</v>
      </c>
      <c r="T378">
        <v>25</v>
      </c>
      <c r="U378">
        <v>2</v>
      </c>
      <c r="V378" s="53" t="str">
        <f>IFERROR(
IF(tbl_abs[[#This Row],[Month of absence]]=0,"Unknown",
CHOOSE(tbl_abs[[#This Row],[Month of absence]],
"Jan","Feb","Mar","Apr","May","Jun","Jul","Aug","Sep","Oct","Nov","Dec")),"")</f>
        <v>Jun</v>
      </c>
      <c r="W378" s="53" t="str">
        <f>IFERROR(
IF(tbl_abs[[#This Row],[Age]]&lt;30,"&lt;30",
IF(tbl_abs[[#This Row],[Age]]&lt;40,"30–39",
IF(tbl_abs[[#This Row],[Age]]&lt;50,"40–49",
IF(tbl_abs[[#This Row],[Age]]&lt;60,"50–59",
"60+")))),"")</f>
        <v>40–49</v>
      </c>
      <c r="X378" s="53" t="str">
        <f>IFERROR(
IF(tbl_abs[[#This Row],[Distance from Residence to Work]]&lt;=5,"0–5",
IF(tbl_abs[[#This Row],[Distance from Residence to Work]]&lt;=10,"6–10",
IF(tbl_abs[[#This Row],[Distance from Residence to Work]]&lt;=20,"11–20",
"21+"))),"")</f>
        <v>21+</v>
      </c>
      <c r="Y378" s="53" t="str">
        <f>IFERROR(
IF(tbl_abs[[#This Row],[Body Mass Index]]&lt;18.5,"Underweight",
IF(tbl_abs[[#This Row],[Body Mass Index]]&lt;25,"Normal",
IF(tbl_abs[[#This Row],[Body Mass Index]]&lt;30,"Overweight",
"Obese"))),"")</f>
        <v>Overweight</v>
      </c>
      <c r="Z378" s="53" t="str">
        <f>IFERROR(
IF(tbl_abs[[#This Row],[Absenteeism time in hours]]&lt;=2,"0–2",
IF(tbl_abs[[#This Row],[Absenteeism time in hours]]&lt;=8,"3–8",
IF(tbl_abs[[#This Row],[Absenteeism time in hours]]&lt;=16,"9–16",
"17+"))),"")</f>
        <v>0–2</v>
      </c>
    </row>
    <row r="379" spans="1:26" ht="15" customHeight="1" x14ac:dyDescent="0.3">
      <c r="A379">
        <v>22</v>
      </c>
      <c r="B379">
        <v>13</v>
      </c>
      <c r="C379" s="1">
        <v>6</v>
      </c>
      <c r="D379">
        <v>2</v>
      </c>
      <c r="E379">
        <v>1</v>
      </c>
      <c r="F379">
        <v>179</v>
      </c>
      <c r="G379" s="1">
        <v>26</v>
      </c>
      <c r="H379">
        <v>9</v>
      </c>
      <c r="I379" s="1">
        <v>30</v>
      </c>
      <c r="J379" s="2">
        <v>275089</v>
      </c>
      <c r="K379">
        <v>96</v>
      </c>
      <c r="L379">
        <v>0</v>
      </c>
      <c r="M379">
        <v>3</v>
      </c>
      <c r="N379">
        <v>0</v>
      </c>
      <c r="O379">
        <v>0</v>
      </c>
      <c r="P379">
        <v>0</v>
      </c>
      <c r="Q379">
        <v>0</v>
      </c>
      <c r="R379">
        <v>56</v>
      </c>
      <c r="S379">
        <v>171</v>
      </c>
      <c r="T379">
        <v>19</v>
      </c>
      <c r="U379">
        <v>3</v>
      </c>
      <c r="V379" s="53" t="str">
        <f>IFERROR(
IF(tbl_abs[[#This Row],[Month of absence]]=0,"Unknown",
CHOOSE(tbl_abs[[#This Row],[Month of absence]],
"Jan","Feb","Mar","Apr","May","Jun","Jul","Aug","Sep","Oct","Nov","Dec")),"")</f>
        <v>Jun</v>
      </c>
      <c r="W379" s="53" t="str">
        <f>IFERROR(
IF(tbl_abs[[#This Row],[Age]]&lt;30,"&lt;30",
IF(tbl_abs[[#This Row],[Age]]&lt;40,"30–39",
IF(tbl_abs[[#This Row],[Age]]&lt;50,"40–49",
IF(tbl_abs[[#This Row],[Age]]&lt;60,"50–59",
"60+")))),"")</f>
        <v>30–39</v>
      </c>
      <c r="X379" s="53" t="str">
        <f>IFERROR(
IF(tbl_abs[[#This Row],[Distance from Residence to Work]]&lt;=5,"0–5",
IF(tbl_abs[[#This Row],[Distance from Residence to Work]]&lt;=10,"6–10",
IF(tbl_abs[[#This Row],[Distance from Residence to Work]]&lt;=20,"11–20",
"21+"))),"")</f>
        <v>21+</v>
      </c>
      <c r="Y379" s="53" t="str">
        <f>IFERROR(
IF(tbl_abs[[#This Row],[Body Mass Index]]&lt;18.5,"Underweight",
IF(tbl_abs[[#This Row],[Body Mass Index]]&lt;25,"Normal",
IF(tbl_abs[[#This Row],[Body Mass Index]]&lt;30,"Overweight",
"Obese"))),"")</f>
        <v>Normal</v>
      </c>
      <c r="Z379" s="53" t="str">
        <f>IFERROR(
IF(tbl_abs[[#This Row],[Absenteeism time in hours]]&lt;=2,"0–2",
IF(tbl_abs[[#This Row],[Absenteeism time in hours]]&lt;=8,"3–8",
IF(tbl_abs[[#This Row],[Absenteeism time in hours]]&lt;=16,"9–16",
"17+"))),"")</f>
        <v>3–8</v>
      </c>
    </row>
    <row r="380" spans="1:26" ht="15" customHeight="1" x14ac:dyDescent="0.3">
      <c r="A380">
        <v>34</v>
      </c>
      <c r="B380">
        <v>25</v>
      </c>
      <c r="C380" s="1">
        <v>6</v>
      </c>
      <c r="D380">
        <v>2</v>
      </c>
      <c r="E380">
        <v>1</v>
      </c>
      <c r="F380">
        <v>118</v>
      </c>
      <c r="G380" s="1">
        <v>10</v>
      </c>
      <c r="H380">
        <v>10</v>
      </c>
      <c r="I380" s="1">
        <v>37</v>
      </c>
      <c r="J380" s="2">
        <v>275089</v>
      </c>
      <c r="K380">
        <v>96</v>
      </c>
      <c r="L380">
        <v>0</v>
      </c>
      <c r="M380">
        <v>1</v>
      </c>
      <c r="N380">
        <v>0</v>
      </c>
      <c r="O380">
        <v>0</v>
      </c>
      <c r="P380">
        <v>0</v>
      </c>
      <c r="Q380">
        <v>0</v>
      </c>
      <c r="R380">
        <v>83</v>
      </c>
      <c r="S380">
        <v>172</v>
      </c>
      <c r="T380">
        <v>28</v>
      </c>
      <c r="U380">
        <v>3</v>
      </c>
      <c r="V380" s="53" t="str">
        <f>IFERROR(
IF(tbl_abs[[#This Row],[Month of absence]]=0,"Unknown",
CHOOSE(tbl_abs[[#This Row],[Month of absence]],
"Jan","Feb","Mar","Apr","May","Jun","Jul","Aug","Sep","Oct","Nov","Dec")),"")</f>
        <v>Jun</v>
      </c>
      <c r="W380" s="53" t="str">
        <f>IFERROR(
IF(tbl_abs[[#This Row],[Age]]&lt;30,"&lt;30",
IF(tbl_abs[[#This Row],[Age]]&lt;40,"30–39",
IF(tbl_abs[[#This Row],[Age]]&lt;50,"40–49",
IF(tbl_abs[[#This Row],[Age]]&lt;60,"50–59",
"60+")))),"")</f>
        <v>30–39</v>
      </c>
      <c r="X380" s="53" t="str">
        <f>IFERROR(
IF(tbl_abs[[#This Row],[Distance from Residence to Work]]&lt;=5,"0–5",
IF(tbl_abs[[#This Row],[Distance from Residence to Work]]&lt;=10,"6–10",
IF(tbl_abs[[#This Row],[Distance from Residence to Work]]&lt;=20,"11–20",
"21+"))),"")</f>
        <v>6–10</v>
      </c>
      <c r="Y380" s="53" t="str">
        <f>IFERROR(
IF(tbl_abs[[#This Row],[Body Mass Index]]&lt;18.5,"Underweight",
IF(tbl_abs[[#This Row],[Body Mass Index]]&lt;25,"Normal",
IF(tbl_abs[[#This Row],[Body Mass Index]]&lt;30,"Overweight",
"Obese"))),"")</f>
        <v>Overweight</v>
      </c>
      <c r="Z380" s="53" t="str">
        <f>IFERROR(
IF(tbl_abs[[#This Row],[Absenteeism time in hours]]&lt;=2,"0–2",
IF(tbl_abs[[#This Row],[Absenteeism time in hours]]&lt;=8,"3–8",
IF(tbl_abs[[#This Row],[Absenteeism time in hours]]&lt;=16,"9–16",
"17+"))),"")</f>
        <v>3–8</v>
      </c>
    </row>
    <row r="381" spans="1:26" ht="15" customHeight="1" x14ac:dyDescent="0.3">
      <c r="A381">
        <v>12</v>
      </c>
      <c r="B381">
        <v>22</v>
      </c>
      <c r="C381" s="1">
        <v>6</v>
      </c>
      <c r="D381">
        <v>5</v>
      </c>
      <c r="E381">
        <v>1</v>
      </c>
      <c r="F381">
        <v>233</v>
      </c>
      <c r="G381" s="1">
        <v>51</v>
      </c>
      <c r="H381">
        <v>1</v>
      </c>
      <c r="I381" s="1">
        <v>31</v>
      </c>
      <c r="J381" s="2">
        <v>275089</v>
      </c>
      <c r="K381">
        <v>96</v>
      </c>
      <c r="L381">
        <v>0</v>
      </c>
      <c r="M381">
        <v>2</v>
      </c>
      <c r="N381">
        <v>1</v>
      </c>
      <c r="O381">
        <v>1</v>
      </c>
      <c r="P381">
        <v>0</v>
      </c>
      <c r="Q381">
        <v>8</v>
      </c>
      <c r="R381">
        <v>68</v>
      </c>
      <c r="S381">
        <v>178</v>
      </c>
      <c r="T381">
        <v>21</v>
      </c>
      <c r="U381">
        <v>8</v>
      </c>
      <c r="V381" s="53" t="str">
        <f>IFERROR(
IF(tbl_abs[[#This Row],[Month of absence]]=0,"Unknown",
CHOOSE(tbl_abs[[#This Row],[Month of absence]],
"Jan","Feb","Mar","Apr","May","Jun","Jul","Aug","Sep","Oct","Nov","Dec")),"")</f>
        <v>Jun</v>
      </c>
      <c r="W381" s="53" t="str">
        <f>IFERROR(
IF(tbl_abs[[#This Row],[Age]]&lt;30,"&lt;30",
IF(tbl_abs[[#This Row],[Age]]&lt;40,"30–39",
IF(tbl_abs[[#This Row],[Age]]&lt;50,"40–49",
IF(tbl_abs[[#This Row],[Age]]&lt;60,"50–59",
"60+")))),"")</f>
        <v>30–39</v>
      </c>
      <c r="X381" s="53" t="str">
        <f>IFERROR(
IF(tbl_abs[[#This Row],[Distance from Residence to Work]]&lt;=5,"0–5",
IF(tbl_abs[[#This Row],[Distance from Residence to Work]]&lt;=10,"6–10",
IF(tbl_abs[[#This Row],[Distance from Residence to Work]]&lt;=20,"11–20",
"21+"))),"")</f>
        <v>21+</v>
      </c>
      <c r="Y381" s="53" t="str">
        <f>IFERROR(
IF(tbl_abs[[#This Row],[Body Mass Index]]&lt;18.5,"Underweight",
IF(tbl_abs[[#This Row],[Body Mass Index]]&lt;25,"Normal",
IF(tbl_abs[[#This Row],[Body Mass Index]]&lt;30,"Overweight",
"Obese"))),"")</f>
        <v>Normal</v>
      </c>
      <c r="Z381" s="53" t="str">
        <f>IFERROR(
IF(tbl_abs[[#This Row],[Absenteeism time in hours]]&lt;=2,"0–2",
IF(tbl_abs[[#This Row],[Absenteeism time in hours]]&lt;=8,"3–8",
IF(tbl_abs[[#This Row],[Absenteeism time in hours]]&lt;=16,"9–16",
"17+"))),"")</f>
        <v>3–8</v>
      </c>
    </row>
    <row r="382" spans="1:26" ht="15" customHeight="1" x14ac:dyDescent="0.3">
      <c r="A382">
        <v>34</v>
      </c>
      <c r="B382">
        <v>8</v>
      </c>
      <c r="C382" s="1">
        <v>6</v>
      </c>
      <c r="D382">
        <v>6</v>
      </c>
      <c r="E382">
        <v>1</v>
      </c>
      <c r="F382">
        <v>118</v>
      </c>
      <c r="G382" s="1">
        <v>10</v>
      </c>
      <c r="H382">
        <v>10</v>
      </c>
      <c r="I382" s="1">
        <v>37</v>
      </c>
      <c r="J382" s="2">
        <v>275089</v>
      </c>
      <c r="K382">
        <v>96</v>
      </c>
      <c r="L382">
        <v>0</v>
      </c>
      <c r="M382">
        <v>1</v>
      </c>
      <c r="N382">
        <v>0</v>
      </c>
      <c r="O382">
        <v>0</v>
      </c>
      <c r="P382">
        <v>0</v>
      </c>
      <c r="Q382">
        <v>0</v>
      </c>
      <c r="R382">
        <v>83</v>
      </c>
      <c r="S382">
        <v>172</v>
      </c>
      <c r="T382">
        <v>28</v>
      </c>
      <c r="U382">
        <v>2</v>
      </c>
      <c r="V382" s="53" t="str">
        <f>IFERROR(
IF(tbl_abs[[#This Row],[Month of absence]]=0,"Unknown",
CHOOSE(tbl_abs[[#This Row],[Month of absence]],
"Jan","Feb","Mar","Apr","May","Jun","Jul","Aug","Sep","Oct","Nov","Dec")),"")</f>
        <v>Jun</v>
      </c>
      <c r="W382" s="53" t="str">
        <f>IFERROR(
IF(tbl_abs[[#This Row],[Age]]&lt;30,"&lt;30",
IF(tbl_abs[[#This Row],[Age]]&lt;40,"30–39",
IF(tbl_abs[[#This Row],[Age]]&lt;50,"40–49",
IF(tbl_abs[[#This Row],[Age]]&lt;60,"50–59",
"60+")))),"")</f>
        <v>30–39</v>
      </c>
      <c r="X382" s="53" t="str">
        <f>IFERROR(
IF(tbl_abs[[#This Row],[Distance from Residence to Work]]&lt;=5,"0–5",
IF(tbl_abs[[#This Row],[Distance from Residence to Work]]&lt;=10,"6–10",
IF(tbl_abs[[#This Row],[Distance from Residence to Work]]&lt;=20,"11–20",
"21+"))),"")</f>
        <v>6–10</v>
      </c>
      <c r="Y382" s="53" t="str">
        <f>IFERROR(
IF(tbl_abs[[#This Row],[Body Mass Index]]&lt;18.5,"Underweight",
IF(tbl_abs[[#This Row],[Body Mass Index]]&lt;25,"Normal",
IF(tbl_abs[[#This Row],[Body Mass Index]]&lt;30,"Overweight",
"Obese"))),"")</f>
        <v>Overweight</v>
      </c>
      <c r="Z382" s="53" t="str">
        <f>IFERROR(
IF(tbl_abs[[#This Row],[Absenteeism time in hours]]&lt;=2,"0–2",
IF(tbl_abs[[#This Row],[Absenteeism time in hours]]&lt;=8,"3–8",
IF(tbl_abs[[#This Row],[Absenteeism time in hours]]&lt;=16,"9–16",
"17+"))),"")</f>
        <v>0–2</v>
      </c>
    </row>
    <row r="383" spans="1:26" ht="15" customHeight="1" x14ac:dyDescent="0.3">
      <c r="A383">
        <v>34</v>
      </c>
      <c r="B383">
        <v>10</v>
      </c>
      <c r="C383" s="1">
        <v>6</v>
      </c>
      <c r="D383">
        <v>4</v>
      </c>
      <c r="E383">
        <v>1</v>
      </c>
      <c r="F383">
        <v>118</v>
      </c>
      <c r="G383" s="1">
        <v>10</v>
      </c>
      <c r="H383">
        <v>10</v>
      </c>
      <c r="I383" s="1">
        <v>37</v>
      </c>
      <c r="J383" s="2">
        <v>275089</v>
      </c>
      <c r="K383">
        <v>96</v>
      </c>
      <c r="L383">
        <v>0</v>
      </c>
      <c r="M383">
        <v>1</v>
      </c>
      <c r="N383">
        <v>0</v>
      </c>
      <c r="O383">
        <v>0</v>
      </c>
      <c r="P383">
        <v>0</v>
      </c>
      <c r="Q383">
        <v>0</v>
      </c>
      <c r="R383">
        <v>83</v>
      </c>
      <c r="S383">
        <v>172</v>
      </c>
      <c r="T383">
        <v>28</v>
      </c>
      <c r="U383">
        <v>3</v>
      </c>
      <c r="V383" s="53" t="str">
        <f>IFERROR(
IF(tbl_abs[[#This Row],[Month of absence]]=0,"Unknown",
CHOOSE(tbl_abs[[#This Row],[Month of absence]],
"Jan","Feb","Mar","Apr","May","Jun","Jul","Aug","Sep","Oct","Nov","Dec")),"")</f>
        <v>Jun</v>
      </c>
      <c r="W383" s="53" t="str">
        <f>IFERROR(
IF(tbl_abs[[#This Row],[Age]]&lt;30,"&lt;30",
IF(tbl_abs[[#This Row],[Age]]&lt;40,"30–39",
IF(tbl_abs[[#This Row],[Age]]&lt;50,"40–49",
IF(tbl_abs[[#This Row],[Age]]&lt;60,"50–59",
"60+")))),"")</f>
        <v>30–39</v>
      </c>
      <c r="X383" s="53" t="str">
        <f>IFERROR(
IF(tbl_abs[[#This Row],[Distance from Residence to Work]]&lt;=5,"0–5",
IF(tbl_abs[[#This Row],[Distance from Residence to Work]]&lt;=10,"6–10",
IF(tbl_abs[[#This Row],[Distance from Residence to Work]]&lt;=20,"11–20",
"21+"))),"")</f>
        <v>6–10</v>
      </c>
      <c r="Y383" s="53" t="str">
        <f>IFERROR(
IF(tbl_abs[[#This Row],[Body Mass Index]]&lt;18.5,"Underweight",
IF(tbl_abs[[#This Row],[Body Mass Index]]&lt;25,"Normal",
IF(tbl_abs[[#This Row],[Body Mass Index]]&lt;30,"Overweight",
"Obese"))),"")</f>
        <v>Overweight</v>
      </c>
      <c r="Z383" s="53" t="str">
        <f>IFERROR(
IF(tbl_abs[[#This Row],[Absenteeism time in hours]]&lt;=2,"0–2",
IF(tbl_abs[[#This Row],[Absenteeism time in hours]]&lt;=8,"3–8",
IF(tbl_abs[[#This Row],[Absenteeism time in hours]]&lt;=16,"9–16",
"17+"))),"")</f>
        <v>3–8</v>
      </c>
    </row>
    <row r="384" spans="1:26" ht="15" customHeight="1" x14ac:dyDescent="0.3">
      <c r="A384">
        <v>12</v>
      </c>
      <c r="B384">
        <v>22</v>
      </c>
      <c r="C384" s="1">
        <v>6</v>
      </c>
      <c r="D384">
        <v>4</v>
      </c>
      <c r="E384">
        <v>1</v>
      </c>
      <c r="F384">
        <v>233</v>
      </c>
      <c r="G384" s="1">
        <v>51</v>
      </c>
      <c r="H384">
        <v>1</v>
      </c>
      <c r="I384" s="1">
        <v>31</v>
      </c>
      <c r="J384" s="2">
        <v>275089</v>
      </c>
      <c r="K384">
        <v>96</v>
      </c>
      <c r="L384">
        <v>0</v>
      </c>
      <c r="M384">
        <v>2</v>
      </c>
      <c r="N384">
        <v>1</v>
      </c>
      <c r="O384">
        <v>1</v>
      </c>
      <c r="P384">
        <v>0</v>
      </c>
      <c r="Q384">
        <v>8</v>
      </c>
      <c r="R384">
        <v>68</v>
      </c>
      <c r="S384">
        <v>178</v>
      </c>
      <c r="T384">
        <v>21</v>
      </c>
      <c r="U384">
        <v>3</v>
      </c>
      <c r="V384" s="53" t="str">
        <f>IFERROR(
IF(tbl_abs[[#This Row],[Month of absence]]=0,"Unknown",
CHOOSE(tbl_abs[[#This Row],[Month of absence]],
"Jan","Feb","Mar","Apr","May","Jun","Jul","Aug","Sep","Oct","Nov","Dec")),"")</f>
        <v>Jun</v>
      </c>
      <c r="W384" s="53" t="str">
        <f>IFERROR(
IF(tbl_abs[[#This Row],[Age]]&lt;30,"&lt;30",
IF(tbl_abs[[#This Row],[Age]]&lt;40,"30–39",
IF(tbl_abs[[#This Row],[Age]]&lt;50,"40–49",
IF(tbl_abs[[#This Row],[Age]]&lt;60,"50–59",
"60+")))),"")</f>
        <v>30–39</v>
      </c>
      <c r="X384" s="53" t="str">
        <f>IFERROR(
IF(tbl_abs[[#This Row],[Distance from Residence to Work]]&lt;=5,"0–5",
IF(tbl_abs[[#This Row],[Distance from Residence to Work]]&lt;=10,"6–10",
IF(tbl_abs[[#This Row],[Distance from Residence to Work]]&lt;=20,"11–20",
"21+"))),"")</f>
        <v>21+</v>
      </c>
      <c r="Y384" s="53" t="str">
        <f>IFERROR(
IF(tbl_abs[[#This Row],[Body Mass Index]]&lt;18.5,"Underweight",
IF(tbl_abs[[#This Row],[Body Mass Index]]&lt;25,"Normal",
IF(tbl_abs[[#This Row],[Body Mass Index]]&lt;30,"Overweight",
"Obese"))),"")</f>
        <v>Normal</v>
      </c>
      <c r="Z384" s="53" t="str">
        <f>IFERROR(
IF(tbl_abs[[#This Row],[Absenteeism time in hours]]&lt;=2,"0–2",
IF(tbl_abs[[#This Row],[Absenteeism time in hours]]&lt;=8,"3–8",
IF(tbl_abs[[#This Row],[Absenteeism time in hours]]&lt;=16,"9–16",
"17+"))),"")</f>
        <v>3–8</v>
      </c>
    </row>
    <row r="385" spans="1:26" ht="15" customHeight="1" x14ac:dyDescent="0.3">
      <c r="A385">
        <v>11</v>
      </c>
      <c r="B385">
        <v>26</v>
      </c>
      <c r="C385" s="1">
        <v>7</v>
      </c>
      <c r="D385">
        <v>3</v>
      </c>
      <c r="E385">
        <v>1</v>
      </c>
      <c r="F385">
        <v>289</v>
      </c>
      <c r="G385" s="1">
        <v>36</v>
      </c>
      <c r="H385">
        <v>13</v>
      </c>
      <c r="I385" s="1">
        <v>33</v>
      </c>
      <c r="J385" s="2">
        <v>239554</v>
      </c>
      <c r="K385">
        <v>97</v>
      </c>
      <c r="L385">
        <v>0</v>
      </c>
      <c r="M385">
        <v>1</v>
      </c>
      <c r="N385">
        <v>2</v>
      </c>
      <c r="O385">
        <v>1</v>
      </c>
      <c r="P385">
        <v>0</v>
      </c>
      <c r="Q385">
        <v>1</v>
      </c>
      <c r="R385">
        <v>90</v>
      </c>
      <c r="S385">
        <v>172</v>
      </c>
      <c r="T385">
        <v>30</v>
      </c>
      <c r="U385">
        <v>4</v>
      </c>
      <c r="V385" s="53" t="str">
        <f>IFERROR(
IF(tbl_abs[[#This Row],[Month of absence]]=0,"Unknown",
CHOOSE(tbl_abs[[#This Row],[Month of absence]],
"Jan","Feb","Mar","Apr","May","Jun","Jul","Aug","Sep","Oct","Nov","Dec")),"")</f>
        <v>Jul</v>
      </c>
      <c r="W385" s="53" t="str">
        <f>IFERROR(
IF(tbl_abs[[#This Row],[Age]]&lt;30,"&lt;30",
IF(tbl_abs[[#This Row],[Age]]&lt;40,"30–39",
IF(tbl_abs[[#This Row],[Age]]&lt;50,"40–49",
IF(tbl_abs[[#This Row],[Age]]&lt;60,"50–59",
"60+")))),"")</f>
        <v>30–39</v>
      </c>
      <c r="X385" s="53" t="str">
        <f>IFERROR(
IF(tbl_abs[[#This Row],[Distance from Residence to Work]]&lt;=5,"0–5",
IF(tbl_abs[[#This Row],[Distance from Residence to Work]]&lt;=10,"6–10",
IF(tbl_abs[[#This Row],[Distance from Residence to Work]]&lt;=20,"11–20",
"21+"))),"")</f>
        <v>21+</v>
      </c>
      <c r="Y385" s="53" t="str">
        <f>IFERROR(
IF(tbl_abs[[#This Row],[Body Mass Index]]&lt;18.5,"Underweight",
IF(tbl_abs[[#This Row],[Body Mass Index]]&lt;25,"Normal",
IF(tbl_abs[[#This Row],[Body Mass Index]]&lt;30,"Overweight",
"Obese"))),"")</f>
        <v>Obese</v>
      </c>
      <c r="Z385" s="53" t="str">
        <f>IFERROR(
IF(tbl_abs[[#This Row],[Absenteeism time in hours]]&lt;=2,"0–2",
IF(tbl_abs[[#This Row],[Absenteeism time in hours]]&lt;=8,"3–8",
IF(tbl_abs[[#This Row],[Absenteeism time in hours]]&lt;=16,"9–16",
"17+"))),"")</f>
        <v>3–8</v>
      </c>
    </row>
    <row r="386" spans="1:26" ht="15" customHeight="1" x14ac:dyDescent="0.3">
      <c r="A386">
        <v>36</v>
      </c>
      <c r="B386">
        <v>0</v>
      </c>
      <c r="C386" s="1">
        <v>7</v>
      </c>
      <c r="D386">
        <v>3</v>
      </c>
      <c r="E386">
        <v>1</v>
      </c>
      <c r="F386">
        <v>118</v>
      </c>
      <c r="G386" s="1">
        <v>13</v>
      </c>
      <c r="H386">
        <v>18</v>
      </c>
      <c r="I386" s="1">
        <v>50</v>
      </c>
      <c r="J386" s="2">
        <v>239554</v>
      </c>
      <c r="K386">
        <v>97</v>
      </c>
      <c r="L386">
        <v>1</v>
      </c>
      <c r="M386">
        <v>1</v>
      </c>
      <c r="N386">
        <v>1</v>
      </c>
      <c r="O386">
        <v>1</v>
      </c>
      <c r="P386">
        <v>0</v>
      </c>
      <c r="Q386">
        <v>0</v>
      </c>
      <c r="R386">
        <v>98</v>
      </c>
      <c r="S386">
        <v>178</v>
      </c>
      <c r="T386">
        <v>31</v>
      </c>
      <c r="U386">
        <v>0</v>
      </c>
      <c r="V386" s="52" t="str">
        <f>IFERROR(
IF(tbl_abs[[#This Row],[Month of absence]]=0,"Unknown",
CHOOSE(tbl_abs[[#This Row],[Month of absence]],
"Jan","Feb","Mar","Apr","May","Jun","Jul","Aug","Sep","Oct","Nov","Dec")),"")</f>
        <v>Jul</v>
      </c>
      <c r="W386" s="53" t="str">
        <f>IFERROR(
IF(tbl_abs[[#This Row],[Age]]&lt;30,"&lt;30",
IF(tbl_abs[[#This Row],[Age]]&lt;40,"30–39",
IF(tbl_abs[[#This Row],[Age]]&lt;50,"40–49",
IF(tbl_abs[[#This Row],[Age]]&lt;60,"50–59",
"60+")))),"")</f>
        <v>50–59</v>
      </c>
      <c r="X386" s="52" t="str">
        <f>IFERROR(
IF(tbl_abs[[#This Row],[Distance from Residence to Work]]&lt;=5,"0–5",
IF(tbl_abs[[#This Row],[Distance from Residence to Work]]&lt;=10,"6–10",
IF(tbl_abs[[#This Row],[Distance from Residence to Work]]&lt;=20,"11–20",
"21+"))),"")</f>
        <v>11–20</v>
      </c>
      <c r="Y386" s="52" t="str">
        <f>IFERROR(
IF(tbl_abs[[#This Row],[Body Mass Index]]&lt;18.5,"Underweight",
IF(tbl_abs[[#This Row],[Body Mass Index]]&lt;25,"Normal",
IF(tbl_abs[[#This Row],[Body Mass Index]]&lt;30,"Overweight",
"Obese"))),"")</f>
        <v>Obese</v>
      </c>
      <c r="Z386" s="52" t="str">
        <f>IFERROR(
IF(tbl_abs[[#This Row],[Absenteeism time in hours]]&lt;=2,"0–2",
IF(tbl_abs[[#This Row],[Absenteeism time in hours]]&lt;=8,"3–8",
IF(tbl_abs[[#This Row],[Absenteeism time in hours]]&lt;=16,"9–16",
"17+"))),"")</f>
        <v>0–2</v>
      </c>
    </row>
    <row r="387" spans="1:26" ht="15" customHeight="1" x14ac:dyDescent="0.3">
      <c r="A387">
        <v>3</v>
      </c>
      <c r="B387">
        <v>23</v>
      </c>
      <c r="C387" s="1">
        <v>7</v>
      </c>
      <c r="D387">
        <v>4</v>
      </c>
      <c r="E387">
        <v>1</v>
      </c>
      <c r="F387">
        <v>179</v>
      </c>
      <c r="G387" s="1">
        <v>51</v>
      </c>
      <c r="H387">
        <v>18</v>
      </c>
      <c r="I387" s="1">
        <v>38</v>
      </c>
      <c r="J387" s="2">
        <v>239554</v>
      </c>
      <c r="K387">
        <v>97</v>
      </c>
      <c r="L387">
        <v>0</v>
      </c>
      <c r="M387">
        <v>1</v>
      </c>
      <c r="N387">
        <v>0</v>
      </c>
      <c r="O387">
        <v>1</v>
      </c>
      <c r="P387">
        <v>0</v>
      </c>
      <c r="Q387">
        <v>0</v>
      </c>
      <c r="R387">
        <v>89</v>
      </c>
      <c r="S387">
        <v>170</v>
      </c>
      <c r="T387">
        <v>31</v>
      </c>
      <c r="U387">
        <v>2</v>
      </c>
      <c r="V387" s="53" t="str">
        <f>IFERROR(
IF(tbl_abs[[#This Row],[Month of absence]]=0,"Unknown",
CHOOSE(tbl_abs[[#This Row],[Month of absence]],
"Jan","Feb","Mar","Apr","May","Jun","Jul","Aug","Sep","Oct","Nov","Dec")),"")</f>
        <v>Jul</v>
      </c>
      <c r="W387" s="53" t="str">
        <f>IFERROR(
IF(tbl_abs[[#This Row],[Age]]&lt;30,"&lt;30",
IF(tbl_abs[[#This Row],[Age]]&lt;40,"30–39",
IF(tbl_abs[[#This Row],[Age]]&lt;50,"40–49",
IF(tbl_abs[[#This Row],[Age]]&lt;60,"50–59",
"60+")))),"")</f>
        <v>30–39</v>
      </c>
      <c r="X387" s="53" t="str">
        <f>IFERROR(
IF(tbl_abs[[#This Row],[Distance from Residence to Work]]&lt;=5,"0–5",
IF(tbl_abs[[#This Row],[Distance from Residence to Work]]&lt;=10,"6–10",
IF(tbl_abs[[#This Row],[Distance from Residence to Work]]&lt;=20,"11–20",
"21+"))),"")</f>
        <v>21+</v>
      </c>
      <c r="Y387" s="53" t="str">
        <f>IFERROR(
IF(tbl_abs[[#This Row],[Body Mass Index]]&lt;18.5,"Underweight",
IF(tbl_abs[[#This Row],[Body Mass Index]]&lt;25,"Normal",
IF(tbl_abs[[#This Row],[Body Mass Index]]&lt;30,"Overweight",
"Obese"))),"")</f>
        <v>Obese</v>
      </c>
      <c r="Z387" s="53" t="str">
        <f>IFERROR(
IF(tbl_abs[[#This Row],[Absenteeism time in hours]]&lt;=2,"0–2",
IF(tbl_abs[[#This Row],[Absenteeism time in hours]]&lt;=8,"3–8",
IF(tbl_abs[[#This Row],[Absenteeism time in hours]]&lt;=16,"9–16",
"17+"))),"")</f>
        <v>0–2</v>
      </c>
    </row>
    <row r="388" spans="1:26" ht="15" customHeight="1" x14ac:dyDescent="0.3">
      <c r="A388">
        <v>7</v>
      </c>
      <c r="B388">
        <v>7</v>
      </c>
      <c r="C388" s="1">
        <v>7</v>
      </c>
      <c r="D388">
        <v>5</v>
      </c>
      <c r="E388">
        <v>1</v>
      </c>
      <c r="F388">
        <v>279</v>
      </c>
      <c r="G388" s="1">
        <v>5</v>
      </c>
      <c r="H388">
        <v>14</v>
      </c>
      <c r="I388" s="1">
        <v>39</v>
      </c>
      <c r="J388" s="2">
        <v>239554</v>
      </c>
      <c r="K388">
        <v>97</v>
      </c>
      <c r="L388">
        <v>0</v>
      </c>
      <c r="M388">
        <v>1</v>
      </c>
      <c r="N388">
        <v>2</v>
      </c>
      <c r="O388">
        <v>1</v>
      </c>
      <c r="P388">
        <v>1</v>
      </c>
      <c r="Q388">
        <v>0</v>
      </c>
      <c r="R388">
        <v>68</v>
      </c>
      <c r="S388">
        <v>168</v>
      </c>
      <c r="T388">
        <v>24</v>
      </c>
      <c r="U388">
        <v>4</v>
      </c>
      <c r="V388" s="53" t="str">
        <f>IFERROR(
IF(tbl_abs[[#This Row],[Month of absence]]=0,"Unknown",
CHOOSE(tbl_abs[[#This Row],[Month of absence]],
"Jan","Feb","Mar","Apr","May","Jun","Jul","Aug","Sep","Oct","Nov","Dec")),"")</f>
        <v>Jul</v>
      </c>
      <c r="W388" s="53" t="str">
        <f>IFERROR(
IF(tbl_abs[[#This Row],[Age]]&lt;30,"&lt;30",
IF(tbl_abs[[#This Row],[Age]]&lt;40,"30–39",
IF(tbl_abs[[#This Row],[Age]]&lt;50,"40–49",
IF(tbl_abs[[#This Row],[Age]]&lt;60,"50–59",
"60+")))),"")</f>
        <v>30–39</v>
      </c>
      <c r="X388" s="53" t="str">
        <f>IFERROR(
IF(tbl_abs[[#This Row],[Distance from Residence to Work]]&lt;=5,"0–5",
IF(tbl_abs[[#This Row],[Distance from Residence to Work]]&lt;=10,"6–10",
IF(tbl_abs[[#This Row],[Distance from Residence to Work]]&lt;=20,"11–20",
"21+"))),"")</f>
        <v>0–5</v>
      </c>
      <c r="Y388" s="53" t="str">
        <f>IFERROR(
IF(tbl_abs[[#This Row],[Body Mass Index]]&lt;18.5,"Underweight",
IF(tbl_abs[[#This Row],[Body Mass Index]]&lt;25,"Normal",
IF(tbl_abs[[#This Row],[Body Mass Index]]&lt;30,"Overweight",
"Obese"))),"")</f>
        <v>Normal</v>
      </c>
      <c r="Z388" s="53" t="str">
        <f>IFERROR(
IF(tbl_abs[[#This Row],[Absenteeism time in hours]]&lt;=2,"0–2",
IF(tbl_abs[[#This Row],[Absenteeism time in hours]]&lt;=8,"3–8",
IF(tbl_abs[[#This Row],[Absenteeism time in hours]]&lt;=16,"9–16",
"17+"))),"")</f>
        <v>3–8</v>
      </c>
    </row>
    <row r="389" spans="1:26" ht="15" customHeight="1" x14ac:dyDescent="0.3">
      <c r="A389">
        <v>11</v>
      </c>
      <c r="B389">
        <v>23</v>
      </c>
      <c r="C389" s="1">
        <v>7</v>
      </c>
      <c r="D389">
        <v>5</v>
      </c>
      <c r="E389">
        <v>1</v>
      </c>
      <c r="F389">
        <v>289</v>
      </c>
      <c r="G389" s="1">
        <v>36</v>
      </c>
      <c r="H389">
        <v>13</v>
      </c>
      <c r="I389" s="1">
        <v>33</v>
      </c>
      <c r="J389" s="2">
        <v>239554</v>
      </c>
      <c r="K389">
        <v>97</v>
      </c>
      <c r="L389">
        <v>0</v>
      </c>
      <c r="M389">
        <v>1</v>
      </c>
      <c r="N389">
        <v>2</v>
      </c>
      <c r="O389">
        <v>1</v>
      </c>
      <c r="P389">
        <v>0</v>
      </c>
      <c r="Q389">
        <v>1</v>
      </c>
      <c r="R389">
        <v>90</v>
      </c>
      <c r="S389">
        <v>172</v>
      </c>
      <c r="T389">
        <v>30</v>
      </c>
      <c r="U389">
        <v>2</v>
      </c>
      <c r="V389" s="53" t="str">
        <f>IFERROR(
IF(tbl_abs[[#This Row],[Month of absence]]=0,"Unknown",
CHOOSE(tbl_abs[[#This Row],[Month of absence]],
"Jan","Feb","Mar","Apr","May","Jun","Jul","Aug","Sep","Oct","Nov","Dec")),"")</f>
        <v>Jul</v>
      </c>
      <c r="W389" s="53" t="str">
        <f>IFERROR(
IF(tbl_abs[[#This Row],[Age]]&lt;30,"&lt;30",
IF(tbl_abs[[#This Row],[Age]]&lt;40,"30–39",
IF(tbl_abs[[#This Row],[Age]]&lt;50,"40–49",
IF(tbl_abs[[#This Row],[Age]]&lt;60,"50–59",
"60+")))),"")</f>
        <v>30–39</v>
      </c>
      <c r="X389" s="53" t="str">
        <f>IFERROR(
IF(tbl_abs[[#This Row],[Distance from Residence to Work]]&lt;=5,"0–5",
IF(tbl_abs[[#This Row],[Distance from Residence to Work]]&lt;=10,"6–10",
IF(tbl_abs[[#This Row],[Distance from Residence to Work]]&lt;=20,"11–20",
"21+"))),"")</f>
        <v>21+</v>
      </c>
      <c r="Y389" s="53" t="str">
        <f>IFERROR(
IF(tbl_abs[[#This Row],[Body Mass Index]]&lt;18.5,"Underweight",
IF(tbl_abs[[#This Row],[Body Mass Index]]&lt;25,"Normal",
IF(tbl_abs[[#This Row],[Body Mass Index]]&lt;30,"Overweight",
"Obese"))),"")</f>
        <v>Obese</v>
      </c>
      <c r="Z389" s="53" t="str">
        <f>IFERROR(
IF(tbl_abs[[#This Row],[Absenteeism time in hours]]&lt;=2,"0–2",
IF(tbl_abs[[#This Row],[Absenteeism time in hours]]&lt;=8,"3–8",
IF(tbl_abs[[#This Row],[Absenteeism time in hours]]&lt;=16,"9–16",
"17+"))),"")</f>
        <v>0–2</v>
      </c>
    </row>
    <row r="390" spans="1:26" ht="15" customHeight="1" x14ac:dyDescent="0.3">
      <c r="A390">
        <v>3</v>
      </c>
      <c r="B390">
        <v>23</v>
      </c>
      <c r="C390" s="1">
        <v>7</v>
      </c>
      <c r="D390">
        <v>6</v>
      </c>
      <c r="E390">
        <v>1</v>
      </c>
      <c r="F390">
        <v>179</v>
      </c>
      <c r="G390" s="1">
        <v>51</v>
      </c>
      <c r="H390">
        <v>18</v>
      </c>
      <c r="I390" s="1">
        <v>38</v>
      </c>
      <c r="J390" s="2">
        <v>239554</v>
      </c>
      <c r="K390">
        <v>97</v>
      </c>
      <c r="L390">
        <v>0</v>
      </c>
      <c r="M390">
        <v>1</v>
      </c>
      <c r="N390">
        <v>0</v>
      </c>
      <c r="O390">
        <v>1</v>
      </c>
      <c r="P390">
        <v>0</v>
      </c>
      <c r="Q390">
        <v>0</v>
      </c>
      <c r="R390">
        <v>89</v>
      </c>
      <c r="S390">
        <v>170</v>
      </c>
      <c r="T390">
        <v>31</v>
      </c>
      <c r="V390" s="53" t="str">
        <f>IFERROR(
IF(tbl_abs[[#This Row],[Month of absence]]=0,"Unknown",
CHOOSE(tbl_abs[[#This Row],[Month of absence]],
"Jan","Feb","Mar","Apr","May","Jun","Jul","Aug","Sep","Oct","Nov","Dec")),"")</f>
        <v>Jul</v>
      </c>
      <c r="W390" s="53" t="str">
        <f>IFERROR(
IF(tbl_abs[[#This Row],[Age]]&lt;30,"&lt;30",
IF(tbl_abs[[#This Row],[Age]]&lt;40,"30–39",
IF(tbl_abs[[#This Row],[Age]]&lt;50,"40–49",
IF(tbl_abs[[#This Row],[Age]]&lt;60,"50–59",
"60+")))),"")</f>
        <v>30–39</v>
      </c>
      <c r="X390" s="53" t="str">
        <f>IFERROR(
IF(tbl_abs[[#This Row],[Distance from Residence to Work]]&lt;=5,"0–5",
IF(tbl_abs[[#This Row],[Distance from Residence to Work]]&lt;=10,"6–10",
IF(tbl_abs[[#This Row],[Distance from Residence to Work]]&lt;=20,"11–20",
"21+"))),"")</f>
        <v>21+</v>
      </c>
      <c r="Y390" s="53" t="str">
        <f>IFERROR(
IF(tbl_abs[[#This Row],[Body Mass Index]]&lt;18.5,"Underweight",
IF(tbl_abs[[#This Row],[Body Mass Index]]&lt;25,"Normal",
IF(tbl_abs[[#This Row],[Body Mass Index]]&lt;30,"Overweight",
"Obese"))),"")</f>
        <v>Obese</v>
      </c>
      <c r="Z390" s="53" t="str">
        <f>IFERROR(
IF(tbl_abs[[#This Row],[Absenteeism time in hours]]&lt;=2,"0–2",
IF(tbl_abs[[#This Row],[Absenteeism time in hours]]&lt;=8,"3–8",
IF(tbl_abs[[#This Row],[Absenteeism time in hours]]&lt;=16,"9–16",
"17+"))),"")</f>
        <v>0–2</v>
      </c>
    </row>
    <row r="391" spans="1:26" ht="15" customHeight="1" x14ac:dyDescent="0.3">
      <c r="A391">
        <v>10</v>
      </c>
      <c r="B391">
        <v>22</v>
      </c>
      <c r="C391" s="1">
        <v>7</v>
      </c>
      <c r="D391">
        <v>6</v>
      </c>
      <c r="E391">
        <v>1</v>
      </c>
      <c r="G391" s="1">
        <v>52</v>
      </c>
      <c r="H391">
        <v>3</v>
      </c>
      <c r="I391" s="1">
        <v>28</v>
      </c>
      <c r="J391" s="2">
        <v>239554</v>
      </c>
      <c r="K391">
        <v>97</v>
      </c>
      <c r="L391">
        <v>0</v>
      </c>
      <c r="M391">
        <v>1</v>
      </c>
      <c r="N391">
        <v>1</v>
      </c>
      <c r="O391">
        <v>1</v>
      </c>
      <c r="P391">
        <v>0</v>
      </c>
      <c r="Q391">
        <v>4</v>
      </c>
      <c r="R391">
        <v>80</v>
      </c>
      <c r="S391">
        <v>172</v>
      </c>
      <c r="T391">
        <v>27</v>
      </c>
      <c r="U391">
        <v>8</v>
      </c>
      <c r="V391" s="53" t="str">
        <f>IFERROR(
IF(tbl_abs[[#This Row],[Month of absence]]=0,"Unknown",
CHOOSE(tbl_abs[[#This Row],[Month of absence]],
"Jan","Feb","Mar","Apr","May","Jun","Jul","Aug","Sep","Oct","Nov","Dec")),"")</f>
        <v>Jul</v>
      </c>
      <c r="W391" s="53" t="str">
        <f>IFERROR(
IF(tbl_abs[[#This Row],[Age]]&lt;30,"&lt;30",
IF(tbl_abs[[#This Row],[Age]]&lt;40,"30–39",
IF(tbl_abs[[#This Row],[Age]]&lt;50,"40–49",
IF(tbl_abs[[#This Row],[Age]]&lt;60,"50–59",
"60+")))),"")</f>
        <v>&lt;30</v>
      </c>
      <c r="X391" s="53" t="str">
        <f>IFERROR(
IF(tbl_abs[[#This Row],[Distance from Residence to Work]]&lt;=5,"0–5",
IF(tbl_abs[[#This Row],[Distance from Residence to Work]]&lt;=10,"6–10",
IF(tbl_abs[[#This Row],[Distance from Residence to Work]]&lt;=20,"11–20",
"21+"))),"")</f>
        <v>21+</v>
      </c>
      <c r="Y391" s="53" t="str">
        <f>IFERROR(
IF(tbl_abs[[#This Row],[Body Mass Index]]&lt;18.5,"Underweight",
IF(tbl_abs[[#This Row],[Body Mass Index]]&lt;25,"Normal",
IF(tbl_abs[[#This Row],[Body Mass Index]]&lt;30,"Overweight",
"Obese"))),"")</f>
        <v>Overweight</v>
      </c>
      <c r="Z391" s="53" t="str">
        <f>IFERROR(
IF(tbl_abs[[#This Row],[Absenteeism time in hours]]&lt;=2,"0–2",
IF(tbl_abs[[#This Row],[Absenteeism time in hours]]&lt;=8,"3–8",
IF(tbl_abs[[#This Row],[Absenteeism time in hours]]&lt;=16,"9–16",
"17+"))),"")</f>
        <v>3–8</v>
      </c>
    </row>
    <row r="392" spans="1:26" ht="15" customHeight="1" x14ac:dyDescent="0.3">
      <c r="A392">
        <v>20</v>
      </c>
      <c r="B392">
        <v>23</v>
      </c>
      <c r="C392" s="1">
        <v>7</v>
      </c>
      <c r="D392">
        <v>6</v>
      </c>
      <c r="E392">
        <v>1</v>
      </c>
      <c r="F392">
        <v>260</v>
      </c>
      <c r="G392" s="1">
        <v>50</v>
      </c>
      <c r="H392">
        <v>11</v>
      </c>
      <c r="I392" s="1">
        <v>36</v>
      </c>
      <c r="J392" s="2">
        <v>239554</v>
      </c>
      <c r="K392">
        <v>97</v>
      </c>
      <c r="L392">
        <v>0</v>
      </c>
      <c r="M392">
        <v>1</v>
      </c>
      <c r="N392">
        <v>4</v>
      </c>
      <c r="O392">
        <v>1</v>
      </c>
      <c r="P392">
        <v>0</v>
      </c>
      <c r="Q392">
        <v>0</v>
      </c>
      <c r="R392">
        <v>65</v>
      </c>
      <c r="S392">
        <v>168</v>
      </c>
      <c r="T392">
        <v>23</v>
      </c>
      <c r="U392">
        <v>4</v>
      </c>
      <c r="V392" s="53" t="str">
        <f>IFERROR(
IF(tbl_abs[[#This Row],[Month of absence]]=0,"Unknown",
CHOOSE(tbl_abs[[#This Row],[Month of absence]],
"Jan","Feb","Mar","Apr","May","Jun","Jul","Aug","Sep","Oct","Nov","Dec")),"")</f>
        <v>Jul</v>
      </c>
      <c r="W392" s="53" t="str">
        <f>IFERROR(
IF(tbl_abs[[#This Row],[Age]]&lt;30,"&lt;30",
IF(tbl_abs[[#This Row],[Age]]&lt;40,"30–39",
IF(tbl_abs[[#This Row],[Age]]&lt;50,"40–49",
IF(tbl_abs[[#This Row],[Age]]&lt;60,"50–59",
"60+")))),"")</f>
        <v>30–39</v>
      </c>
      <c r="X392" s="53" t="str">
        <f>IFERROR(
IF(tbl_abs[[#This Row],[Distance from Residence to Work]]&lt;=5,"0–5",
IF(tbl_abs[[#This Row],[Distance from Residence to Work]]&lt;=10,"6–10",
IF(tbl_abs[[#This Row],[Distance from Residence to Work]]&lt;=20,"11–20",
"21+"))),"")</f>
        <v>21+</v>
      </c>
      <c r="Y392" s="53" t="str">
        <f>IFERROR(
IF(tbl_abs[[#This Row],[Body Mass Index]]&lt;18.5,"Underweight",
IF(tbl_abs[[#This Row],[Body Mass Index]]&lt;25,"Normal",
IF(tbl_abs[[#This Row],[Body Mass Index]]&lt;30,"Overweight",
"Obese"))),"")</f>
        <v>Normal</v>
      </c>
      <c r="Z392" s="53" t="str">
        <f>IFERROR(
IF(tbl_abs[[#This Row],[Absenteeism time in hours]]&lt;=2,"0–2",
IF(tbl_abs[[#This Row],[Absenteeism time in hours]]&lt;=8,"3–8",
IF(tbl_abs[[#This Row],[Absenteeism time in hours]]&lt;=16,"9–16",
"17+"))),"")</f>
        <v>3–8</v>
      </c>
    </row>
    <row r="393" spans="1:26" ht="15" customHeight="1" x14ac:dyDescent="0.3">
      <c r="A393">
        <v>14</v>
      </c>
      <c r="B393">
        <v>19</v>
      </c>
      <c r="C393" s="1">
        <v>7</v>
      </c>
      <c r="D393">
        <v>2</v>
      </c>
      <c r="E393">
        <v>1</v>
      </c>
      <c r="F393">
        <v>155</v>
      </c>
      <c r="G393" s="1">
        <v>12</v>
      </c>
      <c r="H393">
        <v>14</v>
      </c>
      <c r="I393" s="1">
        <v>34</v>
      </c>
      <c r="J393" s="2">
        <v>239554</v>
      </c>
      <c r="K393">
        <v>97</v>
      </c>
      <c r="L393">
        <v>0</v>
      </c>
      <c r="M393">
        <v>1</v>
      </c>
      <c r="N393">
        <v>2</v>
      </c>
      <c r="O393">
        <v>1</v>
      </c>
      <c r="P393">
        <v>0</v>
      </c>
      <c r="Q393">
        <v>0</v>
      </c>
      <c r="R393">
        <v>95</v>
      </c>
      <c r="S393">
        <v>196</v>
      </c>
      <c r="T393">
        <v>25</v>
      </c>
      <c r="U393">
        <v>40</v>
      </c>
      <c r="V393" s="53" t="str">
        <f>IFERROR(
IF(tbl_abs[[#This Row],[Month of absence]]=0,"Unknown",
CHOOSE(tbl_abs[[#This Row],[Month of absence]],
"Jan","Feb","Mar","Apr","May","Jun","Jul","Aug","Sep","Oct","Nov","Dec")),"")</f>
        <v>Jul</v>
      </c>
      <c r="W393" s="53" t="str">
        <f>IFERROR(
IF(tbl_abs[[#This Row],[Age]]&lt;30,"&lt;30",
IF(tbl_abs[[#This Row],[Age]]&lt;40,"30–39",
IF(tbl_abs[[#This Row],[Age]]&lt;50,"40–49",
IF(tbl_abs[[#This Row],[Age]]&lt;60,"50–59",
"60+")))),"")</f>
        <v>30–39</v>
      </c>
      <c r="X393" s="53" t="str">
        <f>IFERROR(
IF(tbl_abs[[#This Row],[Distance from Residence to Work]]&lt;=5,"0–5",
IF(tbl_abs[[#This Row],[Distance from Residence to Work]]&lt;=10,"6–10",
IF(tbl_abs[[#This Row],[Distance from Residence to Work]]&lt;=20,"11–20",
"21+"))),"")</f>
        <v>11–20</v>
      </c>
      <c r="Y393" s="53" t="str">
        <f>IFERROR(
IF(tbl_abs[[#This Row],[Body Mass Index]]&lt;18.5,"Underweight",
IF(tbl_abs[[#This Row],[Body Mass Index]]&lt;25,"Normal",
IF(tbl_abs[[#This Row],[Body Mass Index]]&lt;30,"Overweight",
"Obese"))),"")</f>
        <v>Overweight</v>
      </c>
      <c r="Z393" s="53" t="str">
        <f>IFERROR(
IF(tbl_abs[[#This Row],[Absenteeism time in hours]]&lt;=2,"0–2",
IF(tbl_abs[[#This Row],[Absenteeism time in hours]]&lt;=8,"3–8",
IF(tbl_abs[[#This Row],[Absenteeism time in hours]]&lt;=16,"9–16",
"17+"))),"")</f>
        <v>17+</v>
      </c>
    </row>
    <row r="394" spans="1:26" ht="15" customHeight="1" x14ac:dyDescent="0.3">
      <c r="A394">
        <v>1</v>
      </c>
      <c r="B394">
        <v>22</v>
      </c>
      <c r="C394" s="1">
        <v>7</v>
      </c>
      <c r="D394">
        <v>2</v>
      </c>
      <c r="E394">
        <v>1</v>
      </c>
      <c r="F394">
        <v>235</v>
      </c>
      <c r="G394" s="1">
        <v>11</v>
      </c>
      <c r="H394">
        <v>14</v>
      </c>
      <c r="I394" s="1">
        <v>37</v>
      </c>
      <c r="J394" s="2">
        <v>239554</v>
      </c>
      <c r="K394">
        <v>97</v>
      </c>
      <c r="L394">
        <v>0</v>
      </c>
      <c r="M394">
        <v>3</v>
      </c>
      <c r="N394">
        <v>1</v>
      </c>
      <c r="O394">
        <v>0</v>
      </c>
      <c r="P394">
        <v>0</v>
      </c>
      <c r="Q394">
        <v>1</v>
      </c>
      <c r="R394">
        <v>88</v>
      </c>
      <c r="S394">
        <v>172</v>
      </c>
      <c r="T394">
        <v>29</v>
      </c>
      <c r="U394">
        <v>8</v>
      </c>
      <c r="V394" s="53" t="str">
        <f>IFERROR(
IF(tbl_abs[[#This Row],[Month of absence]]=0,"Unknown",
CHOOSE(tbl_abs[[#This Row],[Month of absence]],
"Jan","Feb","Mar","Apr","May","Jun","Jul","Aug","Sep","Oct","Nov","Dec")),"")</f>
        <v>Jul</v>
      </c>
      <c r="W394" s="53" t="str">
        <f>IFERROR(
IF(tbl_abs[[#This Row],[Age]]&lt;30,"&lt;30",
IF(tbl_abs[[#This Row],[Age]]&lt;40,"30–39",
IF(tbl_abs[[#This Row],[Age]]&lt;50,"40–49",
IF(tbl_abs[[#This Row],[Age]]&lt;60,"50–59",
"60+")))),"")</f>
        <v>30–39</v>
      </c>
      <c r="X394" s="53" t="str">
        <f>IFERROR(
IF(tbl_abs[[#This Row],[Distance from Residence to Work]]&lt;=5,"0–5",
IF(tbl_abs[[#This Row],[Distance from Residence to Work]]&lt;=10,"6–10",
IF(tbl_abs[[#This Row],[Distance from Residence to Work]]&lt;=20,"11–20",
"21+"))),"")</f>
        <v>11–20</v>
      </c>
      <c r="Y394" s="53" t="str">
        <f>IFERROR(
IF(tbl_abs[[#This Row],[Body Mass Index]]&lt;18.5,"Underweight",
IF(tbl_abs[[#This Row],[Body Mass Index]]&lt;25,"Normal",
IF(tbl_abs[[#This Row],[Body Mass Index]]&lt;30,"Overweight",
"Obese"))),"")</f>
        <v>Overweight</v>
      </c>
      <c r="Z394" s="53" t="str">
        <f>IFERROR(
IF(tbl_abs[[#This Row],[Absenteeism time in hours]]&lt;=2,"0–2",
IF(tbl_abs[[#This Row],[Absenteeism time in hours]]&lt;=8,"3–8",
IF(tbl_abs[[#This Row],[Absenteeism time in hours]]&lt;=16,"9–16",
"17+"))),"")</f>
        <v>3–8</v>
      </c>
    </row>
    <row r="395" spans="1:26" ht="15" customHeight="1" x14ac:dyDescent="0.3">
      <c r="A395">
        <v>20</v>
      </c>
      <c r="B395">
        <v>1</v>
      </c>
      <c r="C395" s="1">
        <v>7</v>
      </c>
      <c r="D395">
        <v>2</v>
      </c>
      <c r="E395">
        <v>1</v>
      </c>
      <c r="F395">
        <v>260</v>
      </c>
      <c r="G395" s="1">
        <v>50</v>
      </c>
      <c r="H395">
        <v>11</v>
      </c>
      <c r="I395" s="1">
        <v>36</v>
      </c>
      <c r="J395" s="2">
        <v>239554</v>
      </c>
      <c r="K395">
        <v>97</v>
      </c>
      <c r="L395">
        <v>0</v>
      </c>
      <c r="M395">
        <v>1</v>
      </c>
      <c r="N395">
        <v>4</v>
      </c>
      <c r="O395">
        <v>1</v>
      </c>
      <c r="P395">
        <v>0</v>
      </c>
      <c r="Q395">
        <v>0</v>
      </c>
      <c r="R395">
        <v>65</v>
      </c>
      <c r="S395">
        <v>168</v>
      </c>
      <c r="T395">
        <v>23</v>
      </c>
      <c r="U395">
        <v>8</v>
      </c>
      <c r="V395" s="53" t="str">
        <f>IFERROR(
IF(tbl_abs[[#This Row],[Month of absence]]=0,"Unknown",
CHOOSE(tbl_abs[[#This Row],[Month of absence]],
"Jan","Feb","Mar","Apr","May","Jun","Jul","Aug","Sep","Oct","Nov","Dec")),"")</f>
        <v>Jul</v>
      </c>
      <c r="W395" s="53" t="str">
        <f>IFERROR(
IF(tbl_abs[[#This Row],[Age]]&lt;30,"&lt;30",
IF(tbl_abs[[#This Row],[Age]]&lt;40,"30–39",
IF(tbl_abs[[#This Row],[Age]]&lt;50,"40–49",
IF(tbl_abs[[#This Row],[Age]]&lt;60,"50–59",
"60+")))),"")</f>
        <v>30–39</v>
      </c>
      <c r="X395" s="53" t="str">
        <f>IFERROR(
IF(tbl_abs[[#This Row],[Distance from Residence to Work]]&lt;=5,"0–5",
IF(tbl_abs[[#This Row],[Distance from Residence to Work]]&lt;=10,"6–10",
IF(tbl_abs[[#This Row],[Distance from Residence to Work]]&lt;=20,"11–20",
"21+"))),"")</f>
        <v>21+</v>
      </c>
      <c r="Y395" s="53" t="str">
        <f>IFERROR(
IF(tbl_abs[[#This Row],[Body Mass Index]]&lt;18.5,"Underweight",
IF(tbl_abs[[#This Row],[Body Mass Index]]&lt;25,"Normal",
IF(tbl_abs[[#This Row],[Body Mass Index]]&lt;30,"Overweight",
"Obese"))),"")</f>
        <v>Normal</v>
      </c>
      <c r="Z395" s="53" t="str">
        <f>IFERROR(
IF(tbl_abs[[#This Row],[Absenteeism time in hours]]&lt;=2,"0–2",
IF(tbl_abs[[#This Row],[Absenteeism time in hours]]&lt;=8,"3–8",
IF(tbl_abs[[#This Row],[Absenteeism time in hours]]&lt;=16,"9–16",
"17+"))),"")</f>
        <v>3–8</v>
      </c>
    </row>
    <row r="396" spans="1:26" ht="15" customHeight="1" x14ac:dyDescent="0.3">
      <c r="A396">
        <v>20</v>
      </c>
      <c r="B396">
        <v>1</v>
      </c>
      <c r="C396" s="1">
        <v>7</v>
      </c>
      <c r="D396">
        <v>3</v>
      </c>
      <c r="E396">
        <v>1</v>
      </c>
      <c r="F396">
        <v>260</v>
      </c>
      <c r="G396" s="1">
        <v>50</v>
      </c>
      <c r="H396">
        <v>11</v>
      </c>
      <c r="I396" s="1">
        <v>36</v>
      </c>
      <c r="J396" s="2">
        <v>239554</v>
      </c>
      <c r="K396">
        <v>97</v>
      </c>
      <c r="L396">
        <v>0</v>
      </c>
      <c r="M396">
        <v>1</v>
      </c>
      <c r="N396">
        <v>4</v>
      </c>
      <c r="O396">
        <v>1</v>
      </c>
      <c r="P396">
        <v>0</v>
      </c>
      <c r="Q396">
        <v>0</v>
      </c>
      <c r="R396">
        <v>65</v>
      </c>
      <c r="S396">
        <v>168</v>
      </c>
      <c r="T396">
        <v>23</v>
      </c>
      <c r="U396">
        <v>8</v>
      </c>
      <c r="V396" s="53" t="str">
        <f>IFERROR(
IF(tbl_abs[[#This Row],[Month of absence]]=0,"Unknown",
CHOOSE(tbl_abs[[#This Row],[Month of absence]],
"Jan","Feb","Mar","Apr","May","Jun","Jul","Aug","Sep","Oct","Nov","Dec")),"")</f>
        <v>Jul</v>
      </c>
      <c r="W396" s="53" t="str">
        <f>IFERROR(
IF(tbl_abs[[#This Row],[Age]]&lt;30,"&lt;30",
IF(tbl_abs[[#This Row],[Age]]&lt;40,"30–39",
IF(tbl_abs[[#This Row],[Age]]&lt;50,"40–49",
IF(tbl_abs[[#This Row],[Age]]&lt;60,"50–59",
"60+")))),"")</f>
        <v>30–39</v>
      </c>
      <c r="X396" s="53" t="str">
        <f>IFERROR(
IF(tbl_abs[[#This Row],[Distance from Residence to Work]]&lt;=5,"0–5",
IF(tbl_abs[[#This Row],[Distance from Residence to Work]]&lt;=10,"6–10",
IF(tbl_abs[[#This Row],[Distance from Residence to Work]]&lt;=20,"11–20",
"21+"))),"")</f>
        <v>21+</v>
      </c>
      <c r="Y396" s="53" t="str">
        <f>IFERROR(
IF(tbl_abs[[#This Row],[Body Mass Index]]&lt;18.5,"Underweight",
IF(tbl_abs[[#This Row],[Body Mass Index]]&lt;25,"Normal",
IF(tbl_abs[[#This Row],[Body Mass Index]]&lt;30,"Overweight",
"Obese"))),"")</f>
        <v>Normal</v>
      </c>
      <c r="Z396" s="53" t="str">
        <f>IFERROR(
IF(tbl_abs[[#This Row],[Absenteeism time in hours]]&lt;=2,"0–2",
IF(tbl_abs[[#This Row],[Absenteeism time in hours]]&lt;=8,"3–8",
IF(tbl_abs[[#This Row],[Absenteeism time in hours]]&lt;=16,"9–16",
"17+"))),"")</f>
        <v>3–8</v>
      </c>
    </row>
    <row r="397" spans="1:26" ht="15" customHeight="1" x14ac:dyDescent="0.3">
      <c r="A397">
        <v>20</v>
      </c>
      <c r="B397">
        <v>11</v>
      </c>
      <c r="C397" s="1">
        <v>7</v>
      </c>
      <c r="D397">
        <v>4</v>
      </c>
      <c r="E397">
        <v>1</v>
      </c>
      <c r="F397">
        <v>260</v>
      </c>
      <c r="G397" s="1">
        <v>50</v>
      </c>
      <c r="H397">
        <v>11</v>
      </c>
      <c r="I397" s="1">
        <v>36</v>
      </c>
      <c r="J397" s="2">
        <v>239554</v>
      </c>
      <c r="K397">
        <v>97</v>
      </c>
      <c r="L397">
        <v>0</v>
      </c>
      <c r="M397">
        <v>1</v>
      </c>
      <c r="N397">
        <v>4</v>
      </c>
      <c r="O397">
        <v>1</v>
      </c>
      <c r="P397">
        <v>0</v>
      </c>
      <c r="Q397">
        <v>0</v>
      </c>
      <c r="R397">
        <v>65</v>
      </c>
      <c r="S397">
        <v>168</v>
      </c>
      <c r="T397">
        <v>23</v>
      </c>
      <c r="U397">
        <v>8</v>
      </c>
      <c r="V397" s="53" t="str">
        <f>IFERROR(
IF(tbl_abs[[#This Row],[Month of absence]]=0,"Unknown",
CHOOSE(tbl_abs[[#This Row],[Month of absence]],
"Jan","Feb","Mar","Apr","May","Jun","Jul","Aug","Sep","Oct","Nov","Dec")),"")</f>
        <v>Jul</v>
      </c>
      <c r="W397" s="53" t="str">
        <f>IFERROR(
IF(tbl_abs[[#This Row],[Age]]&lt;30,"&lt;30",
IF(tbl_abs[[#This Row],[Age]]&lt;40,"30–39",
IF(tbl_abs[[#This Row],[Age]]&lt;50,"40–49",
IF(tbl_abs[[#This Row],[Age]]&lt;60,"50–59",
"60+")))),"")</f>
        <v>30–39</v>
      </c>
      <c r="X397" s="53" t="str">
        <f>IFERROR(
IF(tbl_abs[[#This Row],[Distance from Residence to Work]]&lt;=5,"0–5",
IF(tbl_abs[[#This Row],[Distance from Residence to Work]]&lt;=10,"6–10",
IF(tbl_abs[[#This Row],[Distance from Residence to Work]]&lt;=20,"11–20",
"21+"))),"")</f>
        <v>21+</v>
      </c>
      <c r="Y397" s="53" t="str">
        <f>IFERROR(
IF(tbl_abs[[#This Row],[Body Mass Index]]&lt;18.5,"Underweight",
IF(tbl_abs[[#This Row],[Body Mass Index]]&lt;25,"Normal",
IF(tbl_abs[[#This Row],[Body Mass Index]]&lt;30,"Overweight",
"Obese"))),"")</f>
        <v>Normal</v>
      </c>
      <c r="Z397" s="53" t="str">
        <f>IFERROR(
IF(tbl_abs[[#This Row],[Absenteeism time in hours]]&lt;=2,"0–2",
IF(tbl_abs[[#This Row],[Absenteeism time in hours]]&lt;=8,"3–8",
IF(tbl_abs[[#This Row],[Absenteeism time in hours]]&lt;=16,"9–16",
"17+"))),"")</f>
        <v>3–8</v>
      </c>
    </row>
    <row r="398" spans="1:26" ht="15" customHeight="1" x14ac:dyDescent="0.3">
      <c r="A398">
        <v>3</v>
      </c>
      <c r="B398">
        <v>11</v>
      </c>
      <c r="C398" s="1">
        <v>7</v>
      </c>
      <c r="D398">
        <v>4</v>
      </c>
      <c r="E398">
        <v>1</v>
      </c>
      <c r="F398">
        <v>179</v>
      </c>
      <c r="G398" s="1">
        <v>51</v>
      </c>
      <c r="H398">
        <v>18</v>
      </c>
      <c r="I398" s="1">
        <v>38</v>
      </c>
      <c r="J398" s="2">
        <v>239554</v>
      </c>
      <c r="K398">
        <v>97</v>
      </c>
      <c r="L398">
        <v>0</v>
      </c>
      <c r="M398">
        <v>1</v>
      </c>
      <c r="N398">
        <v>0</v>
      </c>
      <c r="O398">
        <v>1</v>
      </c>
      <c r="P398">
        <v>0</v>
      </c>
      <c r="Q398">
        <v>0</v>
      </c>
      <c r="R398">
        <v>89</v>
      </c>
      <c r="S398">
        <v>170</v>
      </c>
      <c r="T398">
        <v>31</v>
      </c>
      <c r="U398">
        <v>1</v>
      </c>
      <c r="V398" s="53" t="str">
        <f>IFERROR(
IF(tbl_abs[[#This Row],[Month of absence]]=0,"Unknown",
CHOOSE(tbl_abs[[#This Row],[Month of absence]],
"Jan","Feb","Mar","Apr","May","Jun","Jul","Aug","Sep","Oct","Nov","Dec")),"")</f>
        <v>Jul</v>
      </c>
      <c r="W398" s="53" t="str">
        <f>IFERROR(
IF(tbl_abs[[#This Row],[Age]]&lt;30,"&lt;30",
IF(tbl_abs[[#This Row],[Age]]&lt;40,"30–39",
IF(tbl_abs[[#This Row],[Age]]&lt;50,"40–49",
IF(tbl_abs[[#This Row],[Age]]&lt;60,"50–59",
"60+")))),"")</f>
        <v>30–39</v>
      </c>
      <c r="X398" s="53" t="str">
        <f>IFERROR(
IF(tbl_abs[[#This Row],[Distance from Residence to Work]]&lt;=5,"0–5",
IF(tbl_abs[[#This Row],[Distance from Residence to Work]]&lt;=10,"6–10",
IF(tbl_abs[[#This Row],[Distance from Residence to Work]]&lt;=20,"11–20",
"21+"))),"")</f>
        <v>21+</v>
      </c>
      <c r="Y398" s="53" t="str">
        <f>IFERROR(
IF(tbl_abs[[#This Row],[Body Mass Index]]&lt;18.5,"Underweight",
IF(tbl_abs[[#This Row],[Body Mass Index]]&lt;25,"Normal",
IF(tbl_abs[[#This Row],[Body Mass Index]]&lt;30,"Overweight",
"Obese"))),"")</f>
        <v>Obese</v>
      </c>
      <c r="Z398" s="53" t="str">
        <f>IFERROR(
IF(tbl_abs[[#This Row],[Absenteeism time in hours]]&lt;=2,"0–2",
IF(tbl_abs[[#This Row],[Absenteeism time in hours]]&lt;=8,"3–8",
IF(tbl_abs[[#This Row],[Absenteeism time in hours]]&lt;=16,"9–16",
"17+"))),"")</f>
        <v>0–2</v>
      </c>
    </row>
    <row r="399" spans="1:26" ht="15" customHeight="1" x14ac:dyDescent="0.3">
      <c r="A399">
        <v>3</v>
      </c>
      <c r="B399">
        <v>23</v>
      </c>
      <c r="C399" s="1">
        <v>7</v>
      </c>
      <c r="D399">
        <v>4</v>
      </c>
      <c r="E399">
        <v>1</v>
      </c>
      <c r="F399">
        <v>179</v>
      </c>
      <c r="G399" s="1">
        <v>51</v>
      </c>
      <c r="H399">
        <v>18</v>
      </c>
      <c r="I399" s="1">
        <v>38</v>
      </c>
      <c r="J399" s="2">
        <v>239554</v>
      </c>
      <c r="K399">
        <v>97</v>
      </c>
      <c r="L399">
        <v>0</v>
      </c>
      <c r="M399">
        <v>1</v>
      </c>
      <c r="N399">
        <v>0</v>
      </c>
      <c r="O399">
        <v>1</v>
      </c>
      <c r="P399">
        <v>0</v>
      </c>
      <c r="Q399">
        <v>0</v>
      </c>
      <c r="R399">
        <v>89</v>
      </c>
      <c r="S399">
        <v>170</v>
      </c>
      <c r="U399">
        <v>4</v>
      </c>
      <c r="V399" s="53" t="str">
        <f>IFERROR(
IF(tbl_abs[[#This Row],[Month of absence]]=0,"Unknown",
CHOOSE(tbl_abs[[#This Row],[Month of absence]],
"Jan","Feb","Mar","Apr","May","Jun","Jul","Aug","Sep","Oct","Nov","Dec")),"")</f>
        <v>Jul</v>
      </c>
      <c r="W399" s="53" t="str">
        <f>IFERROR(
IF(tbl_abs[[#This Row],[Age]]&lt;30,"&lt;30",
IF(tbl_abs[[#This Row],[Age]]&lt;40,"30–39",
IF(tbl_abs[[#This Row],[Age]]&lt;50,"40–49",
IF(tbl_abs[[#This Row],[Age]]&lt;60,"50–59",
"60+")))),"")</f>
        <v>30–39</v>
      </c>
      <c r="X399" s="53" t="str">
        <f>IFERROR(
IF(tbl_abs[[#This Row],[Distance from Residence to Work]]&lt;=5,"0–5",
IF(tbl_abs[[#This Row],[Distance from Residence to Work]]&lt;=10,"6–10",
IF(tbl_abs[[#This Row],[Distance from Residence to Work]]&lt;=20,"11–20",
"21+"))),"")</f>
        <v>21+</v>
      </c>
      <c r="Y399" s="53" t="str">
        <f>IFERROR(
IF(tbl_abs[[#This Row],[Body Mass Index]]&lt;18.5,"Underweight",
IF(tbl_abs[[#This Row],[Body Mass Index]]&lt;25,"Normal",
IF(tbl_abs[[#This Row],[Body Mass Index]]&lt;30,"Overweight",
"Obese"))),"")</f>
        <v>Underweight</v>
      </c>
      <c r="Z399" s="53" t="str">
        <f>IFERROR(
IF(tbl_abs[[#This Row],[Absenteeism time in hours]]&lt;=2,"0–2",
IF(tbl_abs[[#This Row],[Absenteeism time in hours]]&lt;=8,"3–8",
IF(tbl_abs[[#This Row],[Absenteeism time in hours]]&lt;=16,"9–16",
"17+"))),"")</f>
        <v>3–8</v>
      </c>
    </row>
    <row r="400" spans="1:26" ht="15" customHeight="1" x14ac:dyDescent="0.3">
      <c r="A400">
        <v>24</v>
      </c>
      <c r="B400">
        <v>14</v>
      </c>
      <c r="C400" s="1">
        <v>7</v>
      </c>
      <c r="D400">
        <v>6</v>
      </c>
      <c r="E400">
        <v>1</v>
      </c>
      <c r="F400">
        <v>246</v>
      </c>
      <c r="G400" s="1">
        <v>25</v>
      </c>
      <c r="H400">
        <v>16</v>
      </c>
      <c r="I400" s="1">
        <v>41</v>
      </c>
      <c r="J400" s="2">
        <v>239554</v>
      </c>
      <c r="K400">
        <v>97</v>
      </c>
      <c r="L400">
        <v>0</v>
      </c>
      <c r="M400">
        <v>1</v>
      </c>
      <c r="N400">
        <v>0</v>
      </c>
      <c r="O400">
        <v>1</v>
      </c>
      <c r="P400">
        <v>0</v>
      </c>
      <c r="Q400">
        <v>0</v>
      </c>
      <c r="R400">
        <v>67</v>
      </c>
      <c r="S400">
        <v>170</v>
      </c>
      <c r="V400" s="53" t="str">
        <f>IFERROR(
IF(tbl_abs[[#This Row],[Month of absence]]=0,"Unknown",
CHOOSE(tbl_abs[[#This Row],[Month of absence]],
"Jan","Feb","Mar","Apr","May","Jun","Jul","Aug","Sep","Oct","Nov","Dec")),"")</f>
        <v>Jul</v>
      </c>
      <c r="W400" s="53" t="str">
        <f>IFERROR(
IF(tbl_abs[[#This Row],[Age]]&lt;30,"&lt;30",
IF(tbl_abs[[#This Row],[Age]]&lt;40,"30–39",
IF(tbl_abs[[#This Row],[Age]]&lt;50,"40–49",
IF(tbl_abs[[#This Row],[Age]]&lt;60,"50–59",
"60+")))),"")</f>
        <v>40–49</v>
      </c>
      <c r="X400" s="53" t="str">
        <f>IFERROR(
IF(tbl_abs[[#This Row],[Distance from Residence to Work]]&lt;=5,"0–5",
IF(tbl_abs[[#This Row],[Distance from Residence to Work]]&lt;=10,"6–10",
IF(tbl_abs[[#This Row],[Distance from Residence to Work]]&lt;=20,"11–20",
"21+"))),"")</f>
        <v>21+</v>
      </c>
      <c r="Y400" s="53" t="str">
        <f>IFERROR(
IF(tbl_abs[[#This Row],[Body Mass Index]]&lt;18.5,"Underweight",
IF(tbl_abs[[#This Row],[Body Mass Index]]&lt;25,"Normal",
IF(tbl_abs[[#This Row],[Body Mass Index]]&lt;30,"Overweight",
"Obese"))),"")</f>
        <v>Underweight</v>
      </c>
      <c r="Z400" s="53" t="str">
        <f>IFERROR(
IF(tbl_abs[[#This Row],[Absenteeism time in hours]]&lt;=2,"0–2",
IF(tbl_abs[[#This Row],[Absenteeism time in hours]]&lt;=8,"3–8",
IF(tbl_abs[[#This Row],[Absenteeism time in hours]]&lt;=16,"9–16",
"17+"))),"")</f>
        <v>0–2</v>
      </c>
    </row>
    <row r="401" spans="1:26" ht="15" customHeight="1" x14ac:dyDescent="0.3">
      <c r="A401">
        <v>3</v>
      </c>
      <c r="B401">
        <v>23</v>
      </c>
      <c r="C401" s="1">
        <v>7</v>
      </c>
      <c r="D401">
        <v>6</v>
      </c>
      <c r="E401">
        <v>1</v>
      </c>
      <c r="G401" s="1">
        <v>51</v>
      </c>
      <c r="H401">
        <v>18</v>
      </c>
      <c r="I401" s="1">
        <v>38</v>
      </c>
      <c r="J401" s="2">
        <v>239554</v>
      </c>
      <c r="K401">
        <v>97</v>
      </c>
      <c r="L401">
        <v>0</v>
      </c>
      <c r="M401">
        <v>1</v>
      </c>
      <c r="N401">
        <v>0</v>
      </c>
      <c r="O401">
        <v>1</v>
      </c>
      <c r="P401">
        <v>0</v>
      </c>
      <c r="Q401">
        <v>0</v>
      </c>
      <c r="R401">
        <v>89</v>
      </c>
      <c r="S401">
        <v>170</v>
      </c>
      <c r="T401">
        <v>31</v>
      </c>
      <c r="U401">
        <v>2</v>
      </c>
      <c r="V401" s="53" t="str">
        <f>IFERROR(
IF(tbl_abs[[#This Row],[Month of absence]]=0,"Unknown",
CHOOSE(tbl_abs[[#This Row],[Month of absence]],
"Jan","Feb","Mar","Apr","May","Jun","Jul","Aug","Sep","Oct","Nov","Dec")),"")</f>
        <v>Jul</v>
      </c>
      <c r="W401" s="53" t="str">
        <f>IFERROR(
IF(tbl_abs[[#This Row],[Age]]&lt;30,"&lt;30",
IF(tbl_abs[[#This Row],[Age]]&lt;40,"30–39",
IF(tbl_abs[[#This Row],[Age]]&lt;50,"40–49",
IF(tbl_abs[[#This Row],[Age]]&lt;60,"50–59",
"60+")))),"")</f>
        <v>30–39</v>
      </c>
      <c r="X401" s="53" t="str">
        <f>IFERROR(
IF(tbl_abs[[#This Row],[Distance from Residence to Work]]&lt;=5,"0–5",
IF(tbl_abs[[#This Row],[Distance from Residence to Work]]&lt;=10,"6–10",
IF(tbl_abs[[#This Row],[Distance from Residence to Work]]&lt;=20,"11–20",
"21+"))),"")</f>
        <v>21+</v>
      </c>
      <c r="Y401" s="53" t="str">
        <f>IFERROR(
IF(tbl_abs[[#This Row],[Body Mass Index]]&lt;18.5,"Underweight",
IF(tbl_abs[[#This Row],[Body Mass Index]]&lt;25,"Normal",
IF(tbl_abs[[#This Row],[Body Mass Index]]&lt;30,"Overweight",
"Obese"))),"")</f>
        <v>Obese</v>
      </c>
      <c r="Z401" s="53" t="str">
        <f>IFERROR(
IF(tbl_abs[[#This Row],[Absenteeism time in hours]]&lt;=2,"0–2",
IF(tbl_abs[[#This Row],[Absenteeism time in hours]]&lt;=8,"3–8",
IF(tbl_abs[[#This Row],[Absenteeism time in hours]]&lt;=16,"9–16",
"17+"))),"")</f>
        <v>0–2</v>
      </c>
    </row>
    <row r="402" spans="1:26" ht="15" customHeight="1" x14ac:dyDescent="0.3">
      <c r="A402">
        <v>3</v>
      </c>
      <c r="B402">
        <v>21</v>
      </c>
      <c r="C402" s="1">
        <v>7</v>
      </c>
      <c r="D402">
        <v>2</v>
      </c>
      <c r="E402">
        <v>1</v>
      </c>
      <c r="F402">
        <v>179</v>
      </c>
      <c r="G402" s="1">
        <v>51</v>
      </c>
      <c r="H402">
        <v>18</v>
      </c>
      <c r="I402" s="1">
        <v>38</v>
      </c>
      <c r="J402" s="2">
        <v>239554</v>
      </c>
      <c r="K402">
        <v>97</v>
      </c>
      <c r="L402">
        <v>0</v>
      </c>
      <c r="M402">
        <v>1</v>
      </c>
      <c r="N402">
        <v>0</v>
      </c>
      <c r="O402">
        <v>1</v>
      </c>
      <c r="P402">
        <v>0</v>
      </c>
      <c r="Q402">
        <v>0</v>
      </c>
      <c r="R402">
        <v>89</v>
      </c>
      <c r="S402">
        <v>170</v>
      </c>
      <c r="T402">
        <v>31</v>
      </c>
      <c r="U402">
        <v>8</v>
      </c>
      <c r="V402" s="53" t="str">
        <f>IFERROR(
IF(tbl_abs[[#This Row],[Month of absence]]=0,"Unknown",
CHOOSE(tbl_abs[[#This Row],[Month of absence]],
"Jan","Feb","Mar","Apr","May","Jun","Jul","Aug","Sep","Oct","Nov","Dec")),"")</f>
        <v>Jul</v>
      </c>
      <c r="W402" s="53" t="str">
        <f>IFERROR(
IF(tbl_abs[[#This Row],[Age]]&lt;30,"&lt;30",
IF(tbl_abs[[#This Row],[Age]]&lt;40,"30–39",
IF(tbl_abs[[#This Row],[Age]]&lt;50,"40–49",
IF(tbl_abs[[#This Row],[Age]]&lt;60,"50–59",
"60+")))),"")</f>
        <v>30–39</v>
      </c>
      <c r="X402" s="53" t="str">
        <f>IFERROR(
IF(tbl_abs[[#This Row],[Distance from Residence to Work]]&lt;=5,"0–5",
IF(tbl_abs[[#This Row],[Distance from Residence to Work]]&lt;=10,"6–10",
IF(tbl_abs[[#This Row],[Distance from Residence to Work]]&lt;=20,"11–20",
"21+"))),"")</f>
        <v>21+</v>
      </c>
      <c r="Y402" s="53" t="str">
        <f>IFERROR(
IF(tbl_abs[[#This Row],[Body Mass Index]]&lt;18.5,"Underweight",
IF(tbl_abs[[#This Row],[Body Mass Index]]&lt;25,"Normal",
IF(tbl_abs[[#This Row],[Body Mass Index]]&lt;30,"Overweight",
"Obese"))),"")</f>
        <v>Obese</v>
      </c>
      <c r="Z402" s="53" t="str">
        <f>IFERROR(
IF(tbl_abs[[#This Row],[Absenteeism time in hours]]&lt;=2,"0–2",
IF(tbl_abs[[#This Row],[Absenteeism time in hours]]&lt;=8,"3–8",
IF(tbl_abs[[#This Row],[Absenteeism time in hours]]&lt;=16,"9–16",
"17+"))),"")</f>
        <v>3–8</v>
      </c>
    </row>
    <row r="403" spans="1:26" ht="15" customHeight="1" x14ac:dyDescent="0.3">
      <c r="A403">
        <v>6</v>
      </c>
      <c r="B403">
        <v>11</v>
      </c>
      <c r="C403" s="1">
        <v>7</v>
      </c>
      <c r="D403">
        <v>5</v>
      </c>
      <c r="E403">
        <v>1</v>
      </c>
      <c r="F403">
        <v>189</v>
      </c>
      <c r="G403" s="1">
        <v>29</v>
      </c>
      <c r="H403">
        <v>13</v>
      </c>
      <c r="I403" s="1">
        <v>33</v>
      </c>
      <c r="J403" s="2">
        <v>239554</v>
      </c>
      <c r="K403">
        <v>97</v>
      </c>
      <c r="L403">
        <v>0</v>
      </c>
      <c r="M403">
        <v>1</v>
      </c>
      <c r="N403">
        <v>2</v>
      </c>
      <c r="O403">
        <v>0</v>
      </c>
      <c r="P403">
        <v>0</v>
      </c>
      <c r="Q403">
        <v>2</v>
      </c>
      <c r="R403">
        <v>69</v>
      </c>
      <c r="S403">
        <v>167</v>
      </c>
      <c r="T403">
        <v>25</v>
      </c>
      <c r="U403">
        <v>8</v>
      </c>
      <c r="V403" s="53" t="str">
        <f>IFERROR(
IF(tbl_abs[[#This Row],[Month of absence]]=0,"Unknown",
CHOOSE(tbl_abs[[#This Row],[Month of absence]],
"Jan","Feb","Mar","Apr","May","Jun","Jul","Aug","Sep","Oct","Nov","Dec")),"")</f>
        <v>Jul</v>
      </c>
      <c r="W403" s="53" t="str">
        <f>IFERROR(
IF(tbl_abs[[#This Row],[Age]]&lt;30,"&lt;30",
IF(tbl_abs[[#This Row],[Age]]&lt;40,"30–39",
IF(tbl_abs[[#This Row],[Age]]&lt;50,"40–49",
IF(tbl_abs[[#This Row],[Age]]&lt;60,"50–59",
"60+")))),"")</f>
        <v>30–39</v>
      </c>
      <c r="X403" s="53" t="str">
        <f>IFERROR(
IF(tbl_abs[[#This Row],[Distance from Residence to Work]]&lt;=5,"0–5",
IF(tbl_abs[[#This Row],[Distance from Residence to Work]]&lt;=10,"6–10",
IF(tbl_abs[[#This Row],[Distance from Residence to Work]]&lt;=20,"11–20",
"21+"))),"")</f>
        <v>21+</v>
      </c>
      <c r="Y403" s="53" t="str">
        <f>IFERROR(
IF(tbl_abs[[#This Row],[Body Mass Index]]&lt;18.5,"Underweight",
IF(tbl_abs[[#This Row],[Body Mass Index]]&lt;25,"Normal",
IF(tbl_abs[[#This Row],[Body Mass Index]]&lt;30,"Overweight",
"Obese"))),"")</f>
        <v>Overweight</v>
      </c>
      <c r="Z403" s="53" t="str">
        <f>IFERROR(
IF(tbl_abs[[#This Row],[Absenteeism time in hours]]&lt;=2,"0–2",
IF(tbl_abs[[#This Row],[Absenteeism time in hours]]&lt;=8,"3–8",
IF(tbl_abs[[#This Row],[Absenteeism time in hours]]&lt;=16,"9–16",
"17+"))),"")</f>
        <v>3–8</v>
      </c>
    </row>
    <row r="404" spans="1:26" ht="15" customHeight="1" x14ac:dyDescent="0.3">
      <c r="A404">
        <v>14</v>
      </c>
      <c r="B404">
        <v>19</v>
      </c>
      <c r="C404" s="1">
        <v>7</v>
      </c>
      <c r="D404">
        <v>3</v>
      </c>
      <c r="E404">
        <v>1</v>
      </c>
      <c r="F404">
        <v>155</v>
      </c>
      <c r="G404" s="1">
        <v>12</v>
      </c>
      <c r="H404">
        <v>14</v>
      </c>
      <c r="I404" s="1">
        <v>34</v>
      </c>
      <c r="J404" s="2">
        <v>275312</v>
      </c>
      <c r="K404">
        <v>98</v>
      </c>
      <c r="L404">
        <v>0</v>
      </c>
      <c r="M404">
        <v>1</v>
      </c>
      <c r="N404">
        <v>2</v>
      </c>
      <c r="O404">
        <v>1</v>
      </c>
      <c r="P404">
        <v>0</v>
      </c>
      <c r="Q404">
        <v>0</v>
      </c>
      <c r="R404">
        <v>95</v>
      </c>
      <c r="S404">
        <v>196</v>
      </c>
      <c r="T404">
        <v>25</v>
      </c>
      <c r="U404">
        <v>16</v>
      </c>
      <c r="V404" s="53" t="str">
        <f>IFERROR(
IF(tbl_abs[[#This Row],[Month of absence]]=0,"Unknown",
CHOOSE(tbl_abs[[#This Row],[Month of absence]],
"Jan","Feb","Mar","Apr","May","Jun","Jul","Aug","Sep","Oct","Nov","Dec")),"")</f>
        <v>Jul</v>
      </c>
      <c r="W404" s="53" t="str">
        <f>IFERROR(
IF(tbl_abs[[#This Row],[Age]]&lt;30,"&lt;30",
IF(tbl_abs[[#This Row],[Age]]&lt;40,"30–39",
IF(tbl_abs[[#This Row],[Age]]&lt;50,"40–49",
IF(tbl_abs[[#This Row],[Age]]&lt;60,"50–59",
"60+")))),"")</f>
        <v>30–39</v>
      </c>
      <c r="X404" s="53" t="str">
        <f>IFERROR(
IF(tbl_abs[[#This Row],[Distance from Residence to Work]]&lt;=5,"0–5",
IF(tbl_abs[[#This Row],[Distance from Residence to Work]]&lt;=10,"6–10",
IF(tbl_abs[[#This Row],[Distance from Residence to Work]]&lt;=20,"11–20",
"21+"))),"")</f>
        <v>11–20</v>
      </c>
      <c r="Y404" s="53" t="str">
        <f>IFERROR(
IF(tbl_abs[[#This Row],[Body Mass Index]]&lt;18.5,"Underweight",
IF(tbl_abs[[#This Row],[Body Mass Index]]&lt;25,"Normal",
IF(tbl_abs[[#This Row],[Body Mass Index]]&lt;30,"Overweight",
"Obese"))),"")</f>
        <v>Overweight</v>
      </c>
      <c r="Z404" s="53" t="str">
        <f>IFERROR(
IF(tbl_abs[[#This Row],[Absenteeism time in hours]]&lt;=2,"0–2",
IF(tbl_abs[[#This Row],[Absenteeism time in hours]]&lt;=8,"3–8",
IF(tbl_abs[[#This Row],[Absenteeism time in hours]]&lt;=16,"9–16",
"17+"))),"")</f>
        <v>9–16</v>
      </c>
    </row>
    <row r="405" spans="1:26" ht="15" customHeight="1" x14ac:dyDescent="0.3">
      <c r="A405">
        <v>36</v>
      </c>
      <c r="B405">
        <v>1</v>
      </c>
      <c r="C405" s="1">
        <v>7</v>
      </c>
      <c r="D405">
        <v>4</v>
      </c>
      <c r="E405">
        <v>1</v>
      </c>
      <c r="F405">
        <v>118</v>
      </c>
      <c r="G405" s="1">
        <v>13</v>
      </c>
      <c r="H405">
        <v>18</v>
      </c>
      <c r="I405" s="1">
        <v>50</v>
      </c>
      <c r="J405" s="2">
        <v>275312</v>
      </c>
      <c r="K405">
        <v>98</v>
      </c>
      <c r="L405">
        <v>0</v>
      </c>
      <c r="M405">
        <v>1</v>
      </c>
      <c r="N405">
        <v>1</v>
      </c>
      <c r="O405">
        <v>1</v>
      </c>
      <c r="P405">
        <v>0</v>
      </c>
      <c r="Q405">
        <v>0</v>
      </c>
      <c r="R405">
        <v>98</v>
      </c>
      <c r="S405">
        <v>178</v>
      </c>
      <c r="T405">
        <v>31</v>
      </c>
      <c r="U405">
        <v>8</v>
      </c>
      <c r="V405" s="53" t="str">
        <f>IFERROR(
IF(tbl_abs[[#This Row],[Month of absence]]=0,"Unknown",
CHOOSE(tbl_abs[[#This Row],[Month of absence]],
"Jan","Feb","Mar","Apr","May","Jun","Jul","Aug","Sep","Oct","Nov","Dec")),"")</f>
        <v>Jul</v>
      </c>
      <c r="W405" s="53" t="str">
        <f>IFERROR(
IF(tbl_abs[[#This Row],[Age]]&lt;30,"&lt;30",
IF(tbl_abs[[#This Row],[Age]]&lt;40,"30–39",
IF(tbl_abs[[#This Row],[Age]]&lt;50,"40–49",
IF(tbl_abs[[#This Row],[Age]]&lt;60,"50–59",
"60+")))),"")</f>
        <v>50–59</v>
      </c>
      <c r="X405" s="53" t="str">
        <f>IFERROR(
IF(tbl_abs[[#This Row],[Distance from Residence to Work]]&lt;=5,"0–5",
IF(tbl_abs[[#This Row],[Distance from Residence to Work]]&lt;=10,"6–10",
IF(tbl_abs[[#This Row],[Distance from Residence to Work]]&lt;=20,"11–20",
"21+"))),"")</f>
        <v>11–20</v>
      </c>
      <c r="Y405" s="53" t="str">
        <f>IFERROR(
IF(tbl_abs[[#This Row],[Body Mass Index]]&lt;18.5,"Underweight",
IF(tbl_abs[[#This Row],[Body Mass Index]]&lt;25,"Normal",
IF(tbl_abs[[#This Row],[Body Mass Index]]&lt;30,"Overweight",
"Obese"))),"")</f>
        <v>Obese</v>
      </c>
      <c r="Z405" s="53" t="str">
        <f>IFERROR(
IF(tbl_abs[[#This Row],[Absenteeism time in hours]]&lt;=2,"0–2",
IF(tbl_abs[[#This Row],[Absenteeism time in hours]]&lt;=8,"3–8",
IF(tbl_abs[[#This Row],[Absenteeism time in hours]]&lt;=16,"9–16",
"17+"))),"")</f>
        <v>3–8</v>
      </c>
    </row>
    <row r="406" spans="1:26" ht="15" customHeight="1" x14ac:dyDescent="0.3">
      <c r="A406">
        <v>34</v>
      </c>
      <c r="B406">
        <v>5</v>
      </c>
      <c r="C406" s="1">
        <v>7</v>
      </c>
      <c r="D406">
        <v>6</v>
      </c>
      <c r="E406">
        <v>1</v>
      </c>
      <c r="F406">
        <v>118</v>
      </c>
      <c r="G406" s="1">
        <v>10</v>
      </c>
      <c r="H406">
        <v>10</v>
      </c>
      <c r="I406" s="1">
        <v>37</v>
      </c>
      <c r="J406" s="2">
        <v>275312</v>
      </c>
      <c r="K406">
        <v>98</v>
      </c>
      <c r="L406">
        <v>0</v>
      </c>
      <c r="M406">
        <v>1</v>
      </c>
      <c r="N406">
        <v>0</v>
      </c>
      <c r="O406">
        <v>0</v>
      </c>
      <c r="P406">
        <v>0</v>
      </c>
      <c r="Q406">
        <v>0</v>
      </c>
      <c r="R406">
        <v>83</v>
      </c>
      <c r="S406">
        <v>172</v>
      </c>
      <c r="T406">
        <v>28</v>
      </c>
      <c r="U406">
        <v>8</v>
      </c>
      <c r="V406" s="53" t="str">
        <f>IFERROR(
IF(tbl_abs[[#This Row],[Month of absence]]=0,"Unknown",
CHOOSE(tbl_abs[[#This Row],[Month of absence]],
"Jan","Feb","Mar","Apr","May","Jun","Jul","Aug","Sep","Oct","Nov","Dec")),"")</f>
        <v>Jul</v>
      </c>
      <c r="W406" s="53" t="str">
        <f>IFERROR(
IF(tbl_abs[[#This Row],[Age]]&lt;30,"&lt;30",
IF(tbl_abs[[#This Row],[Age]]&lt;40,"30–39",
IF(tbl_abs[[#This Row],[Age]]&lt;50,"40–49",
IF(tbl_abs[[#This Row],[Age]]&lt;60,"50–59",
"60+")))),"")</f>
        <v>30–39</v>
      </c>
      <c r="X406" s="53" t="str">
        <f>IFERROR(
IF(tbl_abs[[#This Row],[Distance from Residence to Work]]&lt;=5,"0–5",
IF(tbl_abs[[#This Row],[Distance from Residence to Work]]&lt;=10,"6–10",
IF(tbl_abs[[#This Row],[Distance from Residence to Work]]&lt;=20,"11–20",
"21+"))),"")</f>
        <v>6–10</v>
      </c>
      <c r="Y406" s="53" t="str">
        <f>IFERROR(
IF(tbl_abs[[#This Row],[Body Mass Index]]&lt;18.5,"Underweight",
IF(tbl_abs[[#This Row],[Body Mass Index]]&lt;25,"Normal",
IF(tbl_abs[[#This Row],[Body Mass Index]]&lt;30,"Overweight",
"Obese"))),"")</f>
        <v>Overweight</v>
      </c>
      <c r="Z406" s="53" t="str">
        <f>IFERROR(
IF(tbl_abs[[#This Row],[Absenteeism time in hours]]&lt;=2,"0–2",
IF(tbl_abs[[#This Row],[Absenteeism time in hours]]&lt;=8,"3–8",
IF(tbl_abs[[#This Row],[Absenteeism time in hours]]&lt;=16,"9–16",
"17+"))),"")</f>
        <v>3–8</v>
      </c>
    </row>
    <row r="407" spans="1:26" ht="15" customHeight="1" x14ac:dyDescent="0.3">
      <c r="A407">
        <v>34</v>
      </c>
      <c r="B407">
        <v>26</v>
      </c>
      <c r="C407" s="1">
        <v>7</v>
      </c>
      <c r="D407">
        <v>6</v>
      </c>
      <c r="E407">
        <v>1</v>
      </c>
      <c r="F407">
        <v>118</v>
      </c>
      <c r="G407" s="1">
        <v>10</v>
      </c>
      <c r="H407">
        <v>10</v>
      </c>
      <c r="I407" s="1">
        <v>37</v>
      </c>
      <c r="J407" s="2">
        <v>275312</v>
      </c>
      <c r="K407">
        <v>98</v>
      </c>
      <c r="L407">
        <v>0</v>
      </c>
      <c r="M407">
        <v>1</v>
      </c>
      <c r="N407">
        <v>0</v>
      </c>
      <c r="O407">
        <v>0</v>
      </c>
      <c r="P407">
        <v>0</v>
      </c>
      <c r="Q407">
        <v>0</v>
      </c>
      <c r="R407">
        <v>83</v>
      </c>
      <c r="S407">
        <v>172</v>
      </c>
      <c r="T407">
        <v>28</v>
      </c>
      <c r="U407">
        <v>4</v>
      </c>
      <c r="V407" s="53" t="str">
        <f>IFERROR(
IF(tbl_abs[[#This Row],[Month of absence]]=0,"Unknown",
CHOOSE(tbl_abs[[#This Row],[Month of absence]],
"Jan","Feb","Mar","Apr","May","Jun","Jul","Aug","Sep","Oct","Nov","Dec")),"")</f>
        <v>Jul</v>
      </c>
      <c r="W407" s="53" t="str">
        <f>IFERROR(
IF(tbl_abs[[#This Row],[Age]]&lt;30,"&lt;30",
IF(tbl_abs[[#This Row],[Age]]&lt;40,"30–39",
IF(tbl_abs[[#This Row],[Age]]&lt;50,"40–49",
IF(tbl_abs[[#This Row],[Age]]&lt;60,"50–59",
"60+")))),"")</f>
        <v>30–39</v>
      </c>
      <c r="X407" s="53" t="str">
        <f>IFERROR(
IF(tbl_abs[[#This Row],[Distance from Residence to Work]]&lt;=5,"0–5",
IF(tbl_abs[[#This Row],[Distance from Residence to Work]]&lt;=10,"6–10",
IF(tbl_abs[[#This Row],[Distance from Residence to Work]]&lt;=20,"11–20",
"21+"))),"")</f>
        <v>6–10</v>
      </c>
      <c r="Y407" s="53" t="str">
        <f>IFERROR(
IF(tbl_abs[[#This Row],[Body Mass Index]]&lt;18.5,"Underweight",
IF(tbl_abs[[#This Row],[Body Mass Index]]&lt;25,"Normal",
IF(tbl_abs[[#This Row],[Body Mass Index]]&lt;30,"Overweight",
"Obese"))),"")</f>
        <v>Overweight</v>
      </c>
      <c r="Z407" s="53" t="str">
        <f>IFERROR(
IF(tbl_abs[[#This Row],[Absenteeism time in hours]]&lt;=2,"0–2",
IF(tbl_abs[[#This Row],[Absenteeism time in hours]]&lt;=8,"3–8",
IF(tbl_abs[[#This Row],[Absenteeism time in hours]]&lt;=16,"9–16",
"17+"))),"")</f>
        <v>3–8</v>
      </c>
    </row>
    <row r="408" spans="1:26" ht="15" customHeight="1" x14ac:dyDescent="0.3">
      <c r="A408">
        <v>18</v>
      </c>
      <c r="B408">
        <v>26</v>
      </c>
      <c r="C408" s="1">
        <v>7</v>
      </c>
      <c r="D408">
        <v>3</v>
      </c>
      <c r="E408">
        <v>1</v>
      </c>
      <c r="F408">
        <v>330</v>
      </c>
      <c r="G408" s="1">
        <v>16</v>
      </c>
      <c r="H408">
        <v>4</v>
      </c>
      <c r="I408" s="1">
        <v>28</v>
      </c>
      <c r="J408" s="2">
        <v>275312</v>
      </c>
      <c r="K408">
        <v>98</v>
      </c>
      <c r="L408">
        <v>0</v>
      </c>
      <c r="M408">
        <v>2</v>
      </c>
      <c r="N408">
        <v>0</v>
      </c>
      <c r="O408">
        <v>0</v>
      </c>
      <c r="P408">
        <v>0</v>
      </c>
      <c r="Q408">
        <v>0</v>
      </c>
      <c r="R408">
        <v>84</v>
      </c>
      <c r="S408">
        <v>182</v>
      </c>
      <c r="T408">
        <v>25</v>
      </c>
      <c r="U408">
        <v>8</v>
      </c>
      <c r="V408" s="53" t="str">
        <f>IFERROR(
IF(tbl_abs[[#This Row],[Month of absence]]=0,"Unknown",
CHOOSE(tbl_abs[[#This Row],[Month of absence]],
"Jan","Feb","Mar","Apr","May","Jun","Jul","Aug","Sep","Oct","Nov","Dec")),"")</f>
        <v>Jul</v>
      </c>
      <c r="W408" s="53" t="str">
        <f>IFERROR(
IF(tbl_abs[[#This Row],[Age]]&lt;30,"&lt;30",
IF(tbl_abs[[#This Row],[Age]]&lt;40,"30–39",
IF(tbl_abs[[#This Row],[Age]]&lt;50,"40–49",
IF(tbl_abs[[#This Row],[Age]]&lt;60,"50–59",
"60+")))),"")</f>
        <v>&lt;30</v>
      </c>
      <c r="X408" s="53" t="str">
        <f>IFERROR(
IF(tbl_abs[[#This Row],[Distance from Residence to Work]]&lt;=5,"0–5",
IF(tbl_abs[[#This Row],[Distance from Residence to Work]]&lt;=10,"6–10",
IF(tbl_abs[[#This Row],[Distance from Residence to Work]]&lt;=20,"11–20",
"21+"))),"")</f>
        <v>11–20</v>
      </c>
      <c r="Y408" s="53" t="str">
        <f>IFERROR(
IF(tbl_abs[[#This Row],[Body Mass Index]]&lt;18.5,"Underweight",
IF(tbl_abs[[#This Row],[Body Mass Index]]&lt;25,"Normal",
IF(tbl_abs[[#This Row],[Body Mass Index]]&lt;30,"Overweight",
"Obese"))),"")</f>
        <v>Overweight</v>
      </c>
      <c r="Z408" s="53" t="str">
        <f>IFERROR(
IF(tbl_abs[[#This Row],[Absenteeism time in hours]]&lt;=2,"0–2",
IF(tbl_abs[[#This Row],[Absenteeism time in hours]]&lt;=8,"3–8",
IF(tbl_abs[[#This Row],[Absenteeism time in hours]]&lt;=16,"9–16",
"17+"))),"")</f>
        <v>3–8</v>
      </c>
    </row>
    <row r="409" spans="1:26" ht="15" customHeight="1" x14ac:dyDescent="0.3">
      <c r="A409">
        <v>22</v>
      </c>
      <c r="B409">
        <v>18</v>
      </c>
      <c r="C409" s="1">
        <v>7</v>
      </c>
      <c r="D409">
        <v>5</v>
      </c>
      <c r="E409">
        <v>1</v>
      </c>
      <c r="F409">
        <v>179</v>
      </c>
      <c r="G409" s="1">
        <v>26</v>
      </c>
      <c r="H409">
        <v>9</v>
      </c>
      <c r="I409" s="1">
        <v>30</v>
      </c>
      <c r="J409" s="2">
        <v>275312</v>
      </c>
      <c r="K409">
        <v>98</v>
      </c>
      <c r="L409">
        <v>0</v>
      </c>
      <c r="M409">
        <v>3</v>
      </c>
      <c r="N409">
        <v>0</v>
      </c>
      <c r="O409">
        <v>0</v>
      </c>
      <c r="P409">
        <v>0</v>
      </c>
      <c r="Q409">
        <v>0</v>
      </c>
      <c r="R409">
        <v>56</v>
      </c>
      <c r="S409">
        <v>171</v>
      </c>
      <c r="T409">
        <v>19</v>
      </c>
      <c r="U409">
        <v>8</v>
      </c>
      <c r="V409" s="53" t="str">
        <f>IFERROR(
IF(tbl_abs[[#This Row],[Month of absence]]=0,"Unknown",
CHOOSE(tbl_abs[[#This Row],[Month of absence]],
"Jan","Feb","Mar","Apr","May","Jun","Jul","Aug","Sep","Oct","Nov","Dec")),"")</f>
        <v>Jul</v>
      </c>
      <c r="W409" s="53" t="str">
        <f>IFERROR(
IF(tbl_abs[[#This Row],[Age]]&lt;30,"&lt;30",
IF(tbl_abs[[#This Row],[Age]]&lt;40,"30–39",
IF(tbl_abs[[#This Row],[Age]]&lt;50,"40–49",
IF(tbl_abs[[#This Row],[Age]]&lt;60,"50–59",
"60+")))),"")</f>
        <v>30–39</v>
      </c>
      <c r="X409" s="53" t="str">
        <f>IFERROR(
IF(tbl_abs[[#This Row],[Distance from Residence to Work]]&lt;=5,"0–5",
IF(tbl_abs[[#This Row],[Distance from Residence to Work]]&lt;=10,"6–10",
IF(tbl_abs[[#This Row],[Distance from Residence to Work]]&lt;=20,"11–20",
"21+"))),"")</f>
        <v>21+</v>
      </c>
      <c r="Y409" s="53" t="str">
        <f>IFERROR(
IF(tbl_abs[[#This Row],[Body Mass Index]]&lt;18.5,"Underweight",
IF(tbl_abs[[#This Row],[Body Mass Index]]&lt;25,"Normal",
IF(tbl_abs[[#This Row],[Body Mass Index]]&lt;30,"Overweight",
"Obese"))),"")</f>
        <v>Normal</v>
      </c>
      <c r="Z409" s="53" t="str">
        <f>IFERROR(
IF(tbl_abs[[#This Row],[Absenteeism time in hours]]&lt;=2,"0–2",
IF(tbl_abs[[#This Row],[Absenteeism time in hours]]&lt;=8,"3–8",
IF(tbl_abs[[#This Row],[Absenteeism time in hours]]&lt;=16,"9–16",
"17+"))),"")</f>
        <v>3–8</v>
      </c>
    </row>
    <row r="410" spans="1:26" ht="15" customHeight="1" x14ac:dyDescent="0.3">
      <c r="A410">
        <v>14</v>
      </c>
      <c r="B410">
        <v>25</v>
      </c>
      <c r="C410" s="1">
        <v>7</v>
      </c>
      <c r="D410">
        <v>6</v>
      </c>
      <c r="E410">
        <v>1</v>
      </c>
      <c r="F410">
        <v>155</v>
      </c>
      <c r="G410" s="1">
        <v>12</v>
      </c>
      <c r="H410">
        <v>14</v>
      </c>
      <c r="I410" s="1">
        <v>34</v>
      </c>
      <c r="J410" s="2">
        <v>275312</v>
      </c>
      <c r="K410">
        <v>98</v>
      </c>
      <c r="L410">
        <v>0</v>
      </c>
      <c r="M410">
        <v>1</v>
      </c>
      <c r="N410">
        <v>2</v>
      </c>
      <c r="O410">
        <v>1</v>
      </c>
      <c r="P410">
        <v>0</v>
      </c>
      <c r="Q410">
        <v>0</v>
      </c>
      <c r="R410">
        <v>95</v>
      </c>
      <c r="S410">
        <v>196</v>
      </c>
      <c r="T410">
        <v>25</v>
      </c>
      <c r="U410">
        <v>2</v>
      </c>
      <c r="V410" s="53" t="str">
        <f>IFERROR(
IF(tbl_abs[[#This Row],[Month of absence]]=0,"Unknown",
CHOOSE(tbl_abs[[#This Row],[Month of absence]],
"Jan","Feb","Mar","Apr","May","Jun","Jul","Aug","Sep","Oct","Nov","Dec")),"")</f>
        <v>Jul</v>
      </c>
      <c r="W410" s="53" t="str">
        <f>IFERROR(
IF(tbl_abs[[#This Row],[Age]]&lt;30,"&lt;30",
IF(tbl_abs[[#This Row],[Age]]&lt;40,"30–39",
IF(tbl_abs[[#This Row],[Age]]&lt;50,"40–49",
IF(tbl_abs[[#This Row],[Age]]&lt;60,"50–59",
"60+")))),"")</f>
        <v>30–39</v>
      </c>
      <c r="X410" s="53" t="str">
        <f>IFERROR(
IF(tbl_abs[[#This Row],[Distance from Residence to Work]]&lt;=5,"0–5",
IF(tbl_abs[[#This Row],[Distance from Residence to Work]]&lt;=10,"6–10",
IF(tbl_abs[[#This Row],[Distance from Residence to Work]]&lt;=20,"11–20",
"21+"))),"")</f>
        <v>11–20</v>
      </c>
      <c r="Y410" s="53" t="str">
        <f>IFERROR(
IF(tbl_abs[[#This Row],[Body Mass Index]]&lt;18.5,"Underweight",
IF(tbl_abs[[#This Row],[Body Mass Index]]&lt;25,"Normal",
IF(tbl_abs[[#This Row],[Body Mass Index]]&lt;30,"Overweight",
"Obese"))),"")</f>
        <v>Overweight</v>
      </c>
      <c r="Z410" s="53" t="str">
        <f>IFERROR(
IF(tbl_abs[[#This Row],[Absenteeism time in hours]]&lt;=2,"0–2",
IF(tbl_abs[[#This Row],[Absenteeism time in hours]]&lt;=8,"3–8",
IF(tbl_abs[[#This Row],[Absenteeism time in hours]]&lt;=16,"9–16",
"17+"))),"")</f>
        <v>0–2</v>
      </c>
    </row>
    <row r="411" spans="1:26" ht="15" customHeight="1" x14ac:dyDescent="0.3">
      <c r="A411">
        <v>18</v>
      </c>
      <c r="B411">
        <v>1</v>
      </c>
      <c r="C411" s="1">
        <v>7</v>
      </c>
      <c r="D411">
        <v>2</v>
      </c>
      <c r="E411">
        <v>1</v>
      </c>
      <c r="F411">
        <v>330</v>
      </c>
      <c r="G411" s="1">
        <v>16</v>
      </c>
      <c r="H411">
        <v>4</v>
      </c>
      <c r="I411" s="1">
        <v>28</v>
      </c>
      <c r="J411" s="2">
        <v>275312</v>
      </c>
      <c r="K411">
        <v>98</v>
      </c>
      <c r="L411">
        <v>0</v>
      </c>
      <c r="M411">
        <v>2</v>
      </c>
      <c r="N411">
        <v>0</v>
      </c>
      <c r="O411">
        <v>0</v>
      </c>
      <c r="P411">
        <v>0</v>
      </c>
      <c r="Q411">
        <v>0</v>
      </c>
      <c r="R411">
        <v>84</v>
      </c>
      <c r="S411">
        <v>182</v>
      </c>
      <c r="T411">
        <v>25</v>
      </c>
      <c r="U411">
        <v>8</v>
      </c>
      <c r="V411" s="53" t="str">
        <f>IFERROR(
IF(tbl_abs[[#This Row],[Month of absence]]=0,"Unknown",
CHOOSE(tbl_abs[[#This Row],[Month of absence]],
"Jan","Feb","Mar","Apr","May","Jun","Jul","Aug","Sep","Oct","Nov","Dec")),"")</f>
        <v>Jul</v>
      </c>
      <c r="W411" s="53" t="str">
        <f>IFERROR(
IF(tbl_abs[[#This Row],[Age]]&lt;30,"&lt;30",
IF(tbl_abs[[#This Row],[Age]]&lt;40,"30–39",
IF(tbl_abs[[#This Row],[Age]]&lt;50,"40–49",
IF(tbl_abs[[#This Row],[Age]]&lt;60,"50–59",
"60+")))),"")</f>
        <v>&lt;30</v>
      </c>
      <c r="X411" s="53" t="str">
        <f>IFERROR(
IF(tbl_abs[[#This Row],[Distance from Residence to Work]]&lt;=5,"0–5",
IF(tbl_abs[[#This Row],[Distance from Residence to Work]]&lt;=10,"6–10",
IF(tbl_abs[[#This Row],[Distance from Residence to Work]]&lt;=20,"11–20",
"21+"))),"")</f>
        <v>11–20</v>
      </c>
      <c r="Y411" s="53" t="str">
        <f>IFERROR(
IF(tbl_abs[[#This Row],[Body Mass Index]]&lt;18.5,"Underweight",
IF(tbl_abs[[#This Row],[Body Mass Index]]&lt;25,"Normal",
IF(tbl_abs[[#This Row],[Body Mass Index]]&lt;30,"Overweight",
"Obese"))),"")</f>
        <v>Overweight</v>
      </c>
      <c r="Z411" s="53" t="str">
        <f>IFERROR(
IF(tbl_abs[[#This Row],[Absenteeism time in hours]]&lt;=2,"0–2",
IF(tbl_abs[[#This Row],[Absenteeism time in hours]]&lt;=8,"3–8",
IF(tbl_abs[[#This Row],[Absenteeism time in hours]]&lt;=16,"9–16",
"17+"))),"")</f>
        <v>3–8</v>
      </c>
    </row>
    <row r="412" spans="1:26" ht="15" customHeight="1" x14ac:dyDescent="0.3">
      <c r="A412">
        <v>18</v>
      </c>
      <c r="B412">
        <v>1</v>
      </c>
      <c r="C412" s="1">
        <v>7</v>
      </c>
      <c r="D412">
        <v>3</v>
      </c>
      <c r="E412">
        <v>1</v>
      </c>
      <c r="F412">
        <v>330</v>
      </c>
      <c r="G412" s="1">
        <v>16</v>
      </c>
      <c r="H412">
        <v>4</v>
      </c>
      <c r="I412" s="1">
        <v>28</v>
      </c>
      <c r="J412" s="2">
        <v>275312</v>
      </c>
      <c r="K412">
        <v>98</v>
      </c>
      <c r="L412">
        <v>0</v>
      </c>
      <c r="M412">
        <v>2</v>
      </c>
      <c r="N412">
        <v>0</v>
      </c>
      <c r="O412">
        <v>0</v>
      </c>
      <c r="P412">
        <v>0</v>
      </c>
      <c r="Q412">
        <v>0</v>
      </c>
      <c r="R412">
        <v>84</v>
      </c>
      <c r="S412">
        <v>182</v>
      </c>
      <c r="T412">
        <v>25</v>
      </c>
      <c r="U412">
        <v>8</v>
      </c>
      <c r="V412" s="53" t="str">
        <f>IFERROR(
IF(tbl_abs[[#This Row],[Month of absence]]=0,"Unknown",
CHOOSE(tbl_abs[[#This Row],[Month of absence]],
"Jan","Feb","Mar","Apr","May","Jun","Jul","Aug","Sep","Oct","Nov","Dec")),"")</f>
        <v>Jul</v>
      </c>
      <c r="W412" s="53" t="str">
        <f>IFERROR(
IF(tbl_abs[[#This Row],[Age]]&lt;30,"&lt;30",
IF(tbl_abs[[#This Row],[Age]]&lt;40,"30–39",
IF(tbl_abs[[#This Row],[Age]]&lt;50,"40–49",
IF(tbl_abs[[#This Row],[Age]]&lt;60,"50–59",
"60+")))),"")</f>
        <v>&lt;30</v>
      </c>
      <c r="X412" s="53" t="str">
        <f>IFERROR(
IF(tbl_abs[[#This Row],[Distance from Residence to Work]]&lt;=5,"0–5",
IF(tbl_abs[[#This Row],[Distance from Residence to Work]]&lt;=10,"6–10",
IF(tbl_abs[[#This Row],[Distance from Residence to Work]]&lt;=20,"11–20",
"21+"))),"")</f>
        <v>11–20</v>
      </c>
      <c r="Y412" s="53" t="str">
        <f>IFERROR(
IF(tbl_abs[[#This Row],[Body Mass Index]]&lt;18.5,"Underweight",
IF(tbl_abs[[#This Row],[Body Mass Index]]&lt;25,"Normal",
IF(tbl_abs[[#This Row],[Body Mass Index]]&lt;30,"Overweight",
"Obese"))),"")</f>
        <v>Overweight</v>
      </c>
      <c r="Z412" s="53" t="str">
        <f>IFERROR(
IF(tbl_abs[[#This Row],[Absenteeism time in hours]]&lt;=2,"0–2",
IF(tbl_abs[[#This Row],[Absenteeism time in hours]]&lt;=8,"3–8",
IF(tbl_abs[[#This Row],[Absenteeism time in hours]]&lt;=16,"9–16",
"17+"))),"")</f>
        <v>3–8</v>
      </c>
    </row>
    <row r="413" spans="1:26" ht="15" customHeight="1" x14ac:dyDescent="0.3">
      <c r="A413">
        <v>30</v>
      </c>
      <c r="B413">
        <v>25</v>
      </c>
      <c r="C413" s="1">
        <v>7</v>
      </c>
      <c r="D413">
        <v>2</v>
      </c>
      <c r="E413">
        <v>1</v>
      </c>
      <c r="F413">
        <v>157</v>
      </c>
      <c r="G413" s="1">
        <v>27</v>
      </c>
      <c r="H413">
        <v>6</v>
      </c>
      <c r="I413" s="1">
        <v>29</v>
      </c>
      <c r="J413" s="2">
        <v>275312</v>
      </c>
      <c r="K413">
        <v>98</v>
      </c>
      <c r="L413">
        <v>0</v>
      </c>
      <c r="M413">
        <v>1</v>
      </c>
      <c r="N413">
        <v>0</v>
      </c>
      <c r="O413">
        <v>1</v>
      </c>
      <c r="P413">
        <v>1</v>
      </c>
      <c r="Q413">
        <v>0</v>
      </c>
      <c r="R413">
        <v>75</v>
      </c>
      <c r="S413">
        <v>185</v>
      </c>
      <c r="T413">
        <v>22</v>
      </c>
      <c r="U413">
        <v>3</v>
      </c>
      <c r="V413" s="53" t="str">
        <f>IFERROR(
IF(tbl_abs[[#This Row],[Month of absence]]=0,"Unknown",
CHOOSE(tbl_abs[[#This Row],[Month of absence]],
"Jan","Feb","Mar","Apr","May","Jun","Jul","Aug","Sep","Oct","Nov","Dec")),"")</f>
        <v>Jul</v>
      </c>
      <c r="W413" s="53" t="str">
        <f>IFERROR(
IF(tbl_abs[[#This Row],[Age]]&lt;30,"&lt;30",
IF(tbl_abs[[#This Row],[Age]]&lt;40,"30–39",
IF(tbl_abs[[#This Row],[Age]]&lt;50,"40–49",
IF(tbl_abs[[#This Row],[Age]]&lt;60,"50–59",
"60+")))),"")</f>
        <v>&lt;30</v>
      </c>
      <c r="X413" s="53" t="str">
        <f>IFERROR(
IF(tbl_abs[[#This Row],[Distance from Residence to Work]]&lt;=5,"0–5",
IF(tbl_abs[[#This Row],[Distance from Residence to Work]]&lt;=10,"6–10",
IF(tbl_abs[[#This Row],[Distance from Residence to Work]]&lt;=20,"11–20",
"21+"))),"")</f>
        <v>21+</v>
      </c>
      <c r="Y413" s="53" t="str">
        <f>IFERROR(
IF(tbl_abs[[#This Row],[Body Mass Index]]&lt;18.5,"Underweight",
IF(tbl_abs[[#This Row],[Body Mass Index]]&lt;25,"Normal",
IF(tbl_abs[[#This Row],[Body Mass Index]]&lt;30,"Overweight",
"Obese"))),"")</f>
        <v>Normal</v>
      </c>
      <c r="Z413" s="53" t="str">
        <f>IFERROR(
IF(tbl_abs[[#This Row],[Absenteeism time in hours]]&lt;=2,"0–2",
IF(tbl_abs[[#This Row],[Absenteeism time in hours]]&lt;=8,"3–8",
IF(tbl_abs[[#This Row],[Absenteeism time in hours]]&lt;=16,"9–16",
"17+"))),"")</f>
        <v>3–8</v>
      </c>
    </row>
    <row r="414" spans="1:26" ht="15" customHeight="1" x14ac:dyDescent="0.3">
      <c r="A414">
        <v>10</v>
      </c>
      <c r="B414">
        <v>22</v>
      </c>
      <c r="C414" s="1">
        <v>7</v>
      </c>
      <c r="D414">
        <v>3</v>
      </c>
      <c r="E414">
        <v>1</v>
      </c>
      <c r="F414">
        <v>361</v>
      </c>
      <c r="G414" s="1">
        <v>52</v>
      </c>
      <c r="H414">
        <v>3</v>
      </c>
      <c r="I414" s="1">
        <v>28</v>
      </c>
      <c r="J414" s="2">
        <v>275312</v>
      </c>
      <c r="K414">
        <v>98</v>
      </c>
      <c r="L414">
        <v>0</v>
      </c>
      <c r="M414">
        <v>1</v>
      </c>
      <c r="N414">
        <v>1</v>
      </c>
      <c r="O414">
        <v>1</v>
      </c>
      <c r="P414">
        <v>0</v>
      </c>
      <c r="Q414">
        <v>4</v>
      </c>
      <c r="R414">
        <v>80</v>
      </c>
      <c r="S414">
        <v>172</v>
      </c>
      <c r="T414">
        <v>27</v>
      </c>
      <c r="U414">
        <v>8</v>
      </c>
      <c r="V414" s="53" t="str">
        <f>IFERROR(
IF(tbl_abs[[#This Row],[Month of absence]]=0,"Unknown",
CHOOSE(tbl_abs[[#This Row],[Month of absence]],
"Jan","Feb","Mar","Apr","May","Jun","Jul","Aug","Sep","Oct","Nov","Dec")),"")</f>
        <v>Jul</v>
      </c>
      <c r="W414" s="53" t="str">
        <f>IFERROR(
IF(tbl_abs[[#This Row],[Age]]&lt;30,"&lt;30",
IF(tbl_abs[[#This Row],[Age]]&lt;40,"30–39",
IF(tbl_abs[[#This Row],[Age]]&lt;50,"40–49",
IF(tbl_abs[[#This Row],[Age]]&lt;60,"50–59",
"60+")))),"")</f>
        <v>&lt;30</v>
      </c>
      <c r="X414" s="53" t="str">
        <f>IFERROR(
IF(tbl_abs[[#This Row],[Distance from Residence to Work]]&lt;=5,"0–5",
IF(tbl_abs[[#This Row],[Distance from Residence to Work]]&lt;=10,"6–10",
IF(tbl_abs[[#This Row],[Distance from Residence to Work]]&lt;=20,"11–20",
"21+"))),"")</f>
        <v>21+</v>
      </c>
      <c r="Y414" s="53" t="str">
        <f>IFERROR(
IF(tbl_abs[[#This Row],[Body Mass Index]]&lt;18.5,"Underweight",
IF(tbl_abs[[#This Row],[Body Mass Index]]&lt;25,"Normal",
IF(tbl_abs[[#This Row],[Body Mass Index]]&lt;30,"Overweight",
"Obese"))),"")</f>
        <v>Overweight</v>
      </c>
      <c r="Z414" s="53" t="str">
        <f>IFERROR(
IF(tbl_abs[[#This Row],[Absenteeism time in hours]]&lt;=2,"0–2",
IF(tbl_abs[[#This Row],[Absenteeism time in hours]]&lt;=8,"3–8",
IF(tbl_abs[[#This Row],[Absenteeism time in hours]]&lt;=16,"9–16",
"17+"))),"")</f>
        <v>3–8</v>
      </c>
    </row>
    <row r="415" spans="1:26" ht="15" customHeight="1" x14ac:dyDescent="0.3">
      <c r="A415">
        <v>11</v>
      </c>
      <c r="B415">
        <v>26</v>
      </c>
      <c r="C415" s="1">
        <v>7</v>
      </c>
      <c r="D415">
        <v>4</v>
      </c>
      <c r="E415">
        <v>1</v>
      </c>
      <c r="F415">
        <v>289</v>
      </c>
      <c r="G415" s="1">
        <v>36</v>
      </c>
      <c r="H415">
        <v>13</v>
      </c>
      <c r="I415" s="1">
        <v>33</v>
      </c>
      <c r="J415" s="2">
        <v>275312</v>
      </c>
      <c r="K415">
        <v>98</v>
      </c>
      <c r="L415">
        <v>0</v>
      </c>
      <c r="M415">
        <v>1</v>
      </c>
      <c r="N415">
        <v>2</v>
      </c>
      <c r="O415">
        <v>1</v>
      </c>
      <c r="P415">
        <v>0</v>
      </c>
      <c r="Q415">
        <v>1</v>
      </c>
      <c r="R415">
        <v>90</v>
      </c>
      <c r="S415">
        <v>172</v>
      </c>
      <c r="T415">
        <v>30</v>
      </c>
      <c r="U415">
        <v>8</v>
      </c>
      <c r="V415" s="53" t="str">
        <f>IFERROR(
IF(tbl_abs[[#This Row],[Month of absence]]=0,"Unknown",
CHOOSE(tbl_abs[[#This Row],[Month of absence]],
"Jan","Feb","Mar","Apr","May","Jun","Jul","Aug","Sep","Oct","Nov","Dec")),"")</f>
        <v>Jul</v>
      </c>
      <c r="W415" s="53" t="str">
        <f>IFERROR(
IF(tbl_abs[[#This Row],[Age]]&lt;30,"&lt;30",
IF(tbl_abs[[#This Row],[Age]]&lt;40,"30–39",
IF(tbl_abs[[#This Row],[Age]]&lt;50,"40–49",
IF(tbl_abs[[#This Row],[Age]]&lt;60,"50–59",
"60+")))),"")</f>
        <v>30–39</v>
      </c>
      <c r="X415" s="53" t="str">
        <f>IFERROR(
IF(tbl_abs[[#This Row],[Distance from Residence to Work]]&lt;=5,"0–5",
IF(tbl_abs[[#This Row],[Distance from Residence to Work]]&lt;=10,"6–10",
IF(tbl_abs[[#This Row],[Distance from Residence to Work]]&lt;=20,"11–20",
"21+"))),"")</f>
        <v>21+</v>
      </c>
      <c r="Y415" s="53" t="str">
        <f>IFERROR(
IF(tbl_abs[[#This Row],[Body Mass Index]]&lt;18.5,"Underweight",
IF(tbl_abs[[#This Row],[Body Mass Index]]&lt;25,"Normal",
IF(tbl_abs[[#This Row],[Body Mass Index]]&lt;30,"Overweight",
"Obese"))),"")</f>
        <v>Obese</v>
      </c>
      <c r="Z415" s="53" t="str">
        <f>IFERROR(
IF(tbl_abs[[#This Row],[Absenteeism time in hours]]&lt;=2,"0–2",
IF(tbl_abs[[#This Row],[Absenteeism time in hours]]&lt;=8,"3–8",
IF(tbl_abs[[#This Row],[Absenteeism time in hours]]&lt;=16,"9–16",
"17+"))),"")</f>
        <v>3–8</v>
      </c>
    </row>
    <row r="416" spans="1:26" ht="15" customHeight="1" x14ac:dyDescent="0.3">
      <c r="A416">
        <v>3</v>
      </c>
      <c r="B416">
        <v>26</v>
      </c>
      <c r="C416" s="1">
        <v>7</v>
      </c>
      <c r="D416">
        <v>5</v>
      </c>
      <c r="E416">
        <v>1</v>
      </c>
      <c r="F416">
        <v>179</v>
      </c>
      <c r="G416" s="1">
        <v>51</v>
      </c>
      <c r="H416">
        <v>18</v>
      </c>
      <c r="I416" s="1">
        <v>38</v>
      </c>
      <c r="J416" s="2">
        <v>275312</v>
      </c>
      <c r="K416">
        <v>98</v>
      </c>
      <c r="L416">
        <v>0</v>
      </c>
      <c r="M416">
        <v>1</v>
      </c>
      <c r="N416">
        <v>0</v>
      </c>
      <c r="O416">
        <v>1</v>
      </c>
      <c r="P416">
        <v>0</v>
      </c>
      <c r="Q416">
        <v>0</v>
      </c>
      <c r="R416">
        <v>89</v>
      </c>
      <c r="S416">
        <v>170</v>
      </c>
      <c r="T416">
        <v>31</v>
      </c>
      <c r="U416">
        <v>8</v>
      </c>
      <c r="V416" s="53" t="str">
        <f>IFERROR(
IF(tbl_abs[[#This Row],[Month of absence]]=0,"Unknown",
CHOOSE(tbl_abs[[#This Row],[Month of absence]],
"Jan","Feb","Mar","Apr","May","Jun","Jul","Aug","Sep","Oct","Nov","Dec")),"")</f>
        <v>Jul</v>
      </c>
      <c r="W416" s="53" t="str">
        <f>IFERROR(
IF(tbl_abs[[#This Row],[Age]]&lt;30,"&lt;30",
IF(tbl_abs[[#This Row],[Age]]&lt;40,"30–39",
IF(tbl_abs[[#This Row],[Age]]&lt;50,"40–49",
IF(tbl_abs[[#This Row],[Age]]&lt;60,"50–59",
"60+")))),"")</f>
        <v>30–39</v>
      </c>
      <c r="X416" s="53" t="str">
        <f>IFERROR(
IF(tbl_abs[[#This Row],[Distance from Residence to Work]]&lt;=5,"0–5",
IF(tbl_abs[[#This Row],[Distance from Residence to Work]]&lt;=10,"6–10",
IF(tbl_abs[[#This Row],[Distance from Residence to Work]]&lt;=20,"11–20",
"21+"))),"")</f>
        <v>21+</v>
      </c>
      <c r="Y416" s="53" t="str">
        <f>IFERROR(
IF(tbl_abs[[#This Row],[Body Mass Index]]&lt;18.5,"Underweight",
IF(tbl_abs[[#This Row],[Body Mass Index]]&lt;25,"Normal",
IF(tbl_abs[[#This Row],[Body Mass Index]]&lt;30,"Overweight",
"Obese"))),"")</f>
        <v>Obese</v>
      </c>
      <c r="Z416" s="53" t="str">
        <f>IFERROR(
IF(tbl_abs[[#This Row],[Absenteeism time in hours]]&lt;=2,"0–2",
IF(tbl_abs[[#This Row],[Absenteeism time in hours]]&lt;=8,"3–8",
IF(tbl_abs[[#This Row],[Absenteeism time in hours]]&lt;=16,"9–16",
"17+"))),"")</f>
        <v>3–8</v>
      </c>
    </row>
    <row r="417" spans="1:26" ht="15" customHeight="1" x14ac:dyDescent="0.3">
      <c r="A417">
        <v>11</v>
      </c>
      <c r="B417">
        <v>19</v>
      </c>
      <c r="C417" s="1">
        <v>7</v>
      </c>
      <c r="D417">
        <v>2</v>
      </c>
      <c r="E417">
        <v>1</v>
      </c>
      <c r="F417">
        <v>289</v>
      </c>
      <c r="G417" s="1">
        <v>36</v>
      </c>
      <c r="H417">
        <v>13</v>
      </c>
      <c r="I417" s="1">
        <v>33</v>
      </c>
      <c r="J417" s="2">
        <v>275312</v>
      </c>
      <c r="K417">
        <v>98</v>
      </c>
      <c r="L417">
        <v>0</v>
      </c>
      <c r="M417">
        <v>1</v>
      </c>
      <c r="N417">
        <v>2</v>
      </c>
      <c r="O417">
        <v>1</v>
      </c>
      <c r="P417">
        <v>0</v>
      </c>
      <c r="Q417">
        <v>1</v>
      </c>
      <c r="R417">
        <v>90</v>
      </c>
      <c r="S417">
        <v>172</v>
      </c>
      <c r="T417">
        <v>30</v>
      </c>
      <c r="U417">
        <v>32</v>
      </c>
      <c r="V417" s="53" t="str">
        <f>IFERROR(
IF(tbl_abs[[#This Row],[Month of absence]]=0,"Unknown",
CHOOSE(tbl_abs[[#This Row],[Month of absence]],
"Jan","Feb","Mar","Apr","May","Jun","Jul","Aug","Sep","Oct","Nov","Dec")),"")</f>
        <v>Jul</v>
      </c>
      <c r="W417" s="53" t="str">
        <f>IFERROR(
IF(tbl_abs[[#This Row],[Age]]&lt;30,"&lt;30",
IF(tbl_abs[[#This Row],[Age]]&lt;40,"30–39",
IF(tbl_abs[[#This Row],[Age]]&lt;50,"40–49",
IF(tbl_abs[[#This Row],[Age]]&lt;60,"50–59",
"60+")))),"")</f>
        <v>30–39</v>
      </c>
      <c r="X417" s="53" t="str">
        <f>IFERROR(
IF(tbl_abs[[#This Row],[Distance from Residence to Work]]&lt;=5,"0–5",
IF(tbl_abs[[#This Row],[Distance from Residence to Work]]&lt;=10,"6–10",
IF(tbl_abs[[#This Row],[Distance from Residence to Work]]&lt;=20,"11–20",
"21+"))),"")</f>
        <v>21+</v>
      </c>
      <c r="Y417" s="53" t="str">
        <f>IFERROR(
IF(tbl_abs[[#This Row],[Body Mass Index]]&lt;18.5,"Underweight",
IF(tbl_abs[[#This Row],[Body Mass Index]]&lt;25,"Normal",
IF(tbl_abs[[#This Row],[Body Mass Index]]&lt;30,"Overweight",
"Obese"))),"")</f>
        <v>Obese</v>
      </c>
      <c r="Z417" s="53" t="str">
        <f>IFERROR(
IF(tbl_abs[[#This Row],[Absenteeism time in hours]]&lt;=2,"0–2",
IF(tbl_abs[[#This Row],[Absenteeism time in hours]]&lt;=8,"3–8",
IF(tbl_abs[[#This Row],[Absenteeism time in hours]]&lt;=16,"9–16",
"17+"))),"")</f>
        <v>17+</v>
      </c>
    </row>
    <row r="418" spans="1:26" ht="15" customHeight="1" x14ac:dyDescent="0.3">
      <c r="A418">
        <v>11</v>
      </c>
      <c r="B418">
        <v>19</v>
      </c>
      <c r="C418" s="1">
        <v>7</v>
      </c>
      <c r="D418">
        <v>5</v>
      </c>
      <c r="E418">
        <v>1</v>
      </c>
      <c r="F418">
        <v>289</v>
      </c>
      <c r="G418" s="1">
        <v>36</v>
      </c>
      <c r="H418">
        <v>13</v>
      </c>
      <c r="I418" s="1">
        <v>33</v>
      </c>
      <c r="J418" s="2">
        <v>275312</v>
      </c>
      <c r="K418">
        <v>98</v>
      </c>
      <c r="L418">
        <v>0</v>
      </c>
      <c r="M418">
        <v>1</v>
      </c>
      <c r="N418">
        <v>2</v>
      </c>
      <c r="O418">
        <v>1</v>
      </c>
      <c r="P418">
        <v>0</v>
      </c>
      <c r="Q418">
        <v>1</v>
      </c>
      <c r="R418">
        <v>90</v>
      </c>
      <c r="S418">
        <v>172</v>
      </c>
      <c r="T418">
        <v>30</v>
      </c>
      <c r="U418">
        <v>8</v>
      </c>
      <c r="V418" s="53" t="str">
        <f>IFERROR(
IF(tbl_abs[[#This Row],[Month of absence]]=0,"Unknown",
CHOOSE(tbl_abs[[#This Row],[Month of absence]],
"Jan","Feb","Mar","Apr","May","Jun","Jul","Aug","Sep","Oct","Nov","Dec")),"")</f>
        <v>Jul</v>
      </c>
      <c r="W418" s="53" t="str">
        <f>IFERROR(
IF(tbl_abs[[#This Row],[Age]]&lt;30,"&lt;30",
IF(tbl_abs[[#This Row],[Age]]&lt;40,"30–39",
IF(tbl_abs[[#This Row],[Age]]&lt;50,"40–49",
IF(tbl_abs[[#This Row],[Age]]&lt;60,"50–59",
"60+")))),"")</f>
        <v>30–39</v>
      </c>
      <c r="X418" s="53" t="str">
        <f>IFERROR(
IF(tbl_abs[[#This Row],[Distance from Residence to Work]]&lt;=5,"0–5",
IF(tbl_abs[[#This Row],[Distance from Residence to Work]]&lt;=10,"6–10",
IF(tbl_abs[[#This Row],[Distance from Residence to Work]]&lt;=20,"11–20",
"21+"))),"")</f>
        <v>21+</v>
      </c>
      <c r="Y418" s="53" t="str">
        <f>IFERROR(
IF(tbl_abs[[#This Row],[Body Mass Index]]&lt;18.5,"Underweight",
IF(tbl_abs[[#This Row],[Body Mass Index]]&lt;25,"Normal",
IF(tbl_abs[[#This Row],[Body Mass Index]]&lt;30,"Overweight",
"Obese"))),"")</f>
        <v>Obese</v>
      </c>
      <c r="Z418" s="53" t="str">
        <f>IFERROR(
IF(tbl_abs[[#This Row],[Absenteeism time in hours]]&lt;=2,"0–2",
IF(tbl_abs[[#This Row],[Absenteeism time in hours]]&lt;=8,"3–8",
IF(tbl_abs[[#This Row],[Absenteeism time in hours]]&lt;=16,"9–16",
"17+"))),"")</f>
        <v>3–8</v>
      </c>
    </row>
    <row r="419" spans="1:26" ht="15" customHeight="1" x14ac:dyDescent="0.3">
      <c r="A419">
        <v>20</v>
      </c>
      <c r="B419">
        <v>0</v>
      </c>
      <c r="C419" s="1">
        <v>7</v>
      </c>
      <c r="D419">
        <v>5</v>
      </c>
      <c r="E419">
        <v>1</v>
      </c>
      <c r="F419">
        <v>260</v>
      </c>
      <c r="G419" s="1">
        <v>50</v>
      </c>
      <c r="H419">
        <v>11</v>
      </c>
      <c r="I419" s="1">
        <v>36</v>
      </c>
      <c r="J419" s="2">
        <v>275312</v>
      </c>
      <c r="K419">
        <v>98</v>
      </c>
      <c r="L419">
        <v>1</v>
      </c>
      <c r="M419">
        <v>1</v>
      </c>
      <c r="N419">
        <v>4</v>
      </c>
      <c r="O419">
        <v>1</v>
      </c>
      <c r="P419">
        <v>0</v>
      </c>
      <c r="Q419">
        <v>0</v>
      </c>
      <c r="R419">
        <v>65</v>
      </c>
      <c r="S419">
        <v>168</v>
      </c>
      <c r="T419">
        <v>23</v>
      </c>
      <c r="U419">
        <v>0</v>
      </c>
      <c r="V419" s="53" t="str">
        <f>IFERROR(
IF(tbl_abs[[#This Row],[Month of absence]]=0,"Unknown",
CHOOSE(tbl_abs[[#This Row],[Month of absence]],
"Jan","Feb","Mar","Apr","May","Jun","Jul","Aug","Sep","Oct","Nov","Dec")),"")</f>
        <v>Jul</v>
      </c>
      <c r="W419" s="53" t="str">
        <f>IFERROR(
IF(tbl_abs[[#This Row],[Age]]&lt;30,"&lt;30",
IF(tbl_abs[[#This Row],[Age]]&lt;40,"30–39",
IF(tbl_abs[[#This Row],[Age]]&lt;50,"40–49",
IF(tbl_abs[[#This Row],[Age]]&lt;60,"50–59",
"60+")))),"")</f>
        <v>30–39</v>
      </c>
      <c r="X419" s="53" t="str">
        <f>IFERROR(
IF(tbl_abs[[#This Row],[Distance from Residence to Work]]&lt;=5,"0–5",
IF(tbl_abs[[#This Row],[Distance from Residence to Work]]&lt;=10,"6–10",
IF(tbl_abs[[#This Row],[Distance from Residence to Work]]&lt;=20,"11–20",
"21+"))),"")</f>
        <v>21+</v>
      </c>
      <c r="Y419" s="53" t="str">
        <f>IFERROR(
IF(tbl_abs[[#This Row],[Body Mass Index]]&lt;18.5,"Underweight",
IF(tbl_abs[[#This Row],[Body Mass Index]]&lt;25,"Normal",
IF(tbl_abs[[#This Row],[Body Mass Index]]&lt;30,"Overweight",
"Obese"))),"")</f>
        <v>Normal</v>
      </c>
      <c r="Z419" s="53" t="str">
        <f>IFERROR(
IF(tbl_abs[[#This Row],[Absenteeism time in hours]]&lt;=2,"0–2",
IF(tbl_abs[[#This Row],[Absenteeism time in hours]]&lt;=8,"3–8",
IF(tbl_abs[[#This Row],[Absenteeism time in hours]]&lt;=16,"9–16",
"17+"))),"")</f>
        <v>0–2</v>
      </c>
    </row>
    <row r="420" spans="1:26" ht="15" customHeight="1" x14ac:dyDescent="0.3">
      <c r="A420">
        <v>22</v>
      </c>
      <c r="B420">
        <v>23</v>
      </c>
      <c r="C420" s="1">
        <v>7</v>
      </c>
      <c r="D420">
        <v>5</v>
      </c>
      <c r="E420">
        <v>1</v>
      </c>
      <c r="F420">
        <v>179</v>
      </c>
      <c r="G420" s="1">
        <v>26</v>
      </c>
      <c r="H420">
        <v>9</v>
      </c>
      <c r="I420" s="1">
        <v>30</v>
      </c>
      <c r="J420" s="2">
        <v>230290</v>
      </c>
      <c r="K420">
        <v>92</v>
      </c>
      <c r="L420">
        <v>0</v>
      </c>
      <c r="M420">
        <v>3</v>
      </c>
      <c r="N420">
        <v>0</v>
      </c>
      <c r="O420">
        <v>0</v>
      </c>
      <c r="P420">
        <v>0</v>
      </c>
      <c r="Q420">
        <v>0</v>
      </c>
      <c r="R420">
        <v>56</v>
      </c>
      <c r="S420">
        <v>171</v>
      </c>
      <c r="T420">
        <v>19</v>
      </c>
      <c r="U420">
        <v>2</v>
      </c>
      <c r="V420" s="53" t="str">
        <f>IFERROR(
IF(tbl_abs[[#This Row],[Month of absence]]=0,"Unknown",
CHOOSE(tbl_abs[[#This Row],[Month of absence]],
"Jan","Feb","Mar","Apr","May","Jun","Jul","Aug","Sep","Oct","Nov","Dec")),"")</f>
        <v>Jul</v>
      </c>
      <c r="W420" s="53" t="str">
        <f>IFERROR(
IF(tbl_abs[[#This Row],[Age]]&lt;30,"&lt;30",
IF(tbl_abs[[#This Row],[Age]]&lt;40,"30–39",
IF(tbl_abs[[#This Row],[Age]]&lt;50,"40–49",
IF(tbl_abs[[#This Row],[Age]]&lt;60,"50–59",
"60+")))),"")</f>
        <v>30–39</v>
      </c>
      <c r="X420" s="53" t="str">
        <f>IFERROR(
IF(tbl_abs[[#This Row],[Distance from Residence to Work]]&lt;=5,"0–5",
IF(tbl_abs[[#This Row],[Distance from Residence to Work]]&lt;=10,"6–10",
IF(tbl_abs[[#This Row],[Distance from Residence to Work]]&lt;=20,"11–20",
"21+"))),"")</f>
        <v>21+</v>
      </c>
      <c r="Y420" s="53" t="str">
        <f>IFERROR(
IF(tbl_abs[[#This Row],[Body Mass Index]]&lt;18.5,"Underweight",
IF(tbl_abs[[#This Row],[Body Mass Index]]&lt;25,"Normal",
IF(tbl_abs[[#This Row],[Body Mass Index]]&lt;30,"Overweight",
"Obese"))),"")</f>
        <v>Normal</v>
      </c>
      <c r="Z420" s="53" t="str">
        <f>IFERROR(
IF(tbl_abs[[#This Row],[Absenteeism time in hours]]&lt;=2,"0–2",
IF(tbl_abs[[#This Row],[Absenteeism time in hours]]&lt;=8,"3–8",
IF(tbl_abs[[#This Row],[Absenteeism time in hours]]&lt;=16,"9–16",
"17+"))),"")</f>
        <v>0–2</v>
      </c>
    </row>
    <row r="421" spans="1:26" ht="15" customHeight="1" x14ac:dyDescent="0.3">
      <c r="A421">
        <v>28</v>
      </c>
      <c r="B421">
        <v>25</v>
      </c>
      <c r="C421" s="1">
        <v>7</v>
      </c>
      <c r="D421">
        <v>5</v>
      </c>
      <c r="E421">
        <v>1</v>
      </c>
      <c r="F421">
        <v>225</v>
      </c>
      <c r="G421" s="1">
        <v>26</v>
      </c>
      <c r="H421">
        <v>9</v>
      </c>
      <c r="I421" s="1">
        <v>28</v>
      </c>
      <c r="J421" s="2">
        <v>230290</v>
      </c>
      <c r="K421">
        <v>92</v>
      </c>
      <c r="L421">
        <v>0</v>
      </c>
      <c r="M421">
        <v>1</v>
      </c>
      <c r="N421">
        <v>1</v>
      </c>
      <c r="O421">
        <v>0</v>
      </c>
      <c r="P421">
        <v>0</v>
      </c>
      <c r="Q421">
        <v>2</v>
      </c>
      <c r="R421">
        <v>69</v>
      </c>
      <c r="S421">
        <v>169</v>
      </c>
      <c r="T421">
        <v>24</v>
      </c>
      <c r="U421">
        <v>4</v>
      </c>
      <c r="V421" s="53" t="str">
        <f>IFERROR(
IF(tbl_abs[[#This Row],[Month of absence]]=0,"Unknown",
CHOOSE(tbl_abs[[#This Row],[Month of absence]],
"Jan","Feb","Mar","Apr","May","Jun","Jul","Aug","Sep","Oct","Nov","Dec")),"")</f>
        <v>Jul</v>
      </c>
      <c r="W421" s="53" t="str">
        <f>IFERROR(
IF(tbl_abs[[#This Row],[Age]]&lt;30,"&lt;30",
IF(tbl_abs[[#This Row],[Age]]&lt;40,"30–39",
IF(tbl_abs[[#This Row],[Age]]&lt;50,"40–49",
IF(tbl_abs[[#This Row],[Age]]&lt;60,"50–59",
"60+")))),"")</f>
        <v>&lt;30</v>
      </c>
      <c r="X421" s="53" t="str">
        <f>IFERROR(
IF(tbl_abs[[#This Row],[Distance from Residence to Work]]&lt;=5,"0–5",
IF(tbl_abs[[#This Row],[Distance from Residence to Work]]&lt;=10,"6–10",
IF(tbl_abs[[#This Row],[Distance from Residence to Work]]&lt;=20,"11–20",
"21+"))),"")</f>
        <v>21+</v>
      </c>
      <c r="Y421" s="53" t="str">
        <f>IFERROR(
IF(tbl_abs[[#This Row],[Body Mass Index]]&lt;18.5,"Underweight",
IF(tbl_abs[[#This Row],[Body Mass Index]]&lt;25,"Normal",
IF(tbl_abs[[#This Row],[Body Mass Index]]&lt;30,"Overweight",
"Obese"))),"")</f>
        <v>Normal</v>
      </c>
      <c r="Z421" s="53" t="str">
        <f>IFERROR(
IF(tbl_abs[[#This Row],[Absenteeism time in hours]]&lt;=2,"0–2",
IF(tbl_abs[[#This Row],[Absenteeism time in hours]]&lt;=8,"3–8",
IF(tbl_abs[[#This Row],[Absenteeism time in hours]]&lt;=16,"9–16",
"17+"))),"")</f>
        <v>3–8</v>
      </c>
    </row>
    <row r="422" spans="1:26" ht="15" customHeight="1" x14ac:dyDescent="0.3">
      <c r="A422">
        <v>20</v>
      </c>
      <c r="B422">
        <v>13</v>
      </c>
      <c r="C422" s="1">
        <v>7</v>
      </c>
      <c r="D422">
        <v>6</v>
      </c>
      <c r="E422">
        <v>1</v>
      </c>
      <c r="F422">
        <v>260</v>
      </c>
      <c r="G422" s="1">
        <v>50</v>
      </c>
      <c r="H422">
        <v>11</v>
      </c>
      <c r="I422" s="1">
        <v>36</v>
      </c>
      <c r="J422" s="2">
        <v>230290</v>
      </c>
      <c r="K422">
        <v>92</v>
      </c>
      <c r="L422">
        <v>0</v>
      </c>
      <c r="M422">
        <v>1</v>
      </c>
      <c r="N422">
        <v>4</v>
      </c>
      <c r="O422">
        <v>1</v>
      </c>
      <c r="P422">
        <v>0</v>
      </c>
      <c r="Q422">
        <v>0</v>
      </c>
      <c r="R422">
        <v>65</v>
      </c>
      <c r="S422">
        <v>168</v>
      </c>
      <c r="T422">
        <v>23</v>
      </c>
      <c r="U422">
        <v>8</v>
      </c>
      <c r="V422" s="53" t="str">
        <f>IFERROR(
IF(tbl_abs[[#This Row],[Month of absence]]=0,"Unknown",
CHOOSE(tbl_abs[[#This Row],[Month of absence]],
"Jan","Feb","Mar","Apr","May","Jun","Jul","Aug","Sep","Oct","Nov","Dec")),"")</f>
        <v>Jul</v>
      </c>
      <c r="W422" s="53" t="str">
        <f>IFERROR(
IF(tbl_abs[[#This Row],[Age]]&lt;30,"&lt;30",
IF(tbl_abs[[#This Row],[Age]]&lt;40,"30–39",
IF(tbl_abs[[#This Row],[Age]]&lt;50,"40–49",
IF(tbl_abs[[#This Row],[Age]]&lt;60,"50–59",
"60+")))),"")</f>
        <v>30–39</v>
      </c>
      <c r="X422" s="53" t="str">
        <f>IFERROR(
IF(tbl_abs[[#This Row],[Distance from Residence to Work]]&lt;=5,"0–5",
IF(tbl_abs[[#This Row],[Distance from Residence to Work]]&lt;=10,"6–10",
IF(tbl_abs[[#This Row],[Distance from Residence to Work]]&lt;=20,"11–20",
"21+"))),"")</f>
        <v>21+</v>
      </c>
      <c r="Y422" s="53" t="str">
        <f>IFERROR(
IF(tbl_abs[[#This Row],[Body Mass Index]]&lt;18.5,"Underweight",
IF(tbl_abs[[#This Row],[Body Mass Index]]&lt;25,"Normal",
IF(tbl_abs[[#This Row],[Body Mass Index]]&lt;30,"Overweight",
"Obese"))),"")</f>
        <v>Normal</v>
      </c>
      <c r="Z422" s="53" t="str">
        <f>IFERROR(
IF(tbl_abs[[#This Row],[Absenteeism time in hours]]&lt;=2,"0–2",
IF(tbl_abs[[#This Row],[Absenteeism time in hours]]&lt;=8,"3–8",
IF(tbl_abs[[#This Row],[Absenteeism time in hours]]&lt;=16,"9–16",
"17+"))),"")</f>
        <v>3–8</v>
      </c>
    </row>
    <row r="423" spans="1:26" ht="15" customHeight="1" x14ac:dyDescent="0.3">
      <c r="A423">
        <v>21</v>
      </c>
      <c r="B423">
        <v>7</v>
      </c>
      <c r="C423" s="1">
        <v>7</v>
      </c>
      <c r="D423">
        <v>2</v>
      </c>
      <c r="E423">
        <v>1</v>
      </c>
      <c r="F423">
        <v>268</v>
      </c>
      <c r="G423" s="1">
        <v>11</v>
      </c>
      <c r="H423">
        <v>8</v>
      </c>
      <c r="I423" s="1">
        <v>33</v>
      </c>
      <c r="J423" s="2">
        <v>230290</v>
      </c>
      <c r="K423">
        <v>92</v>
      </c>
      <c r="L423">
        <v>0</v>
      </c>
      <c r="M423">
        <v>2</v>
      </c>
      <c r="N423">
        <v>0</v>
      </c>
      <c r="O423">
        <v>0</v>
      </c>
      <c r="P423">
        <v>0</v>
      </c>
      <c r="Q423">
        <v>0</v>
      </c>
      <c r="R423">
        <v>79</v>
      </c>
      <c r="S423">
        <v>178</v>
      </c>
      <c r="T423">
        <v>25</v>
      </c>
      <c r="U423">
        <v>8</v>
      </c>
      <c r="V423" s="53" t="str">
        <f>IFERROR(
IF(tbl_abs[[#This Row],[Month of absence]]=0,"Unknown",
CHOOSE(tbl_abs[[#This Row],[Month of absence]],
"Jan","Feb","Mar","Apr","May","Jun","Jul","Aug","Sep","Oct","Nov","Dec")),"")</f>
        <v>Jul</v>
      </c>
      <c r="W423" s="53" t="str">
        <f>IFERROR(
IF(tbl_abs[[#This Row],[Age]]&lt;30,"&lt;30",
IF(tbl_abs[[#This Row],[Age]]&lt;40,"30–39",
IF(tbl_abs[[#This Row],[Age]]&lt;50,"40–49",
IF(tbl_abs[[#This Row],[Age]]&lt;60,"50–59",
"60+")))),"")</f>
        <v>30–39</v>
      </c>
      <c r="X423" s="53" t="str">
        <f>IFERROR(
IF(tbl_abs[[#This Row],[Distance from Residence to Work]]&lt;=5,"0–5",
IF(tbl_abs[[#This Row],[Distance from Residence to Work]]&lt;=10,"6–10",
IF(tbl_abs[[#This Row],[Distance from Residence to Work]]&lt;=20,"11–20",
"21+"))),"")</f>
        <v>11–20</v>
      </c>
      <c r="Y423" s="53" t="str">
        <f>IFERROR(
IF(tbl_abs[[#This Row],[Body Mass Index]]&lt;18.5,"Underweight",
IF(tbl_abs[[#This Row],[Body Mass Index]]&lt;25,"Normal",
IF(tbl_abs[[#This Row],[Body Mass Index]]&lt;30,"Overweight",
"Obese"))),"")</f>
        <v>Overweight</v>
      </c>
      <c r="Z423" s="53" t="str">
        <f>IFERROR(
IF(tbl_abs[[#This Row],[Absenteeism time in hours]]&lt;=2,"0–2",
IF(tbl_abs[[#This Row],[Absenteeism time in hours]]&lt;=8,"3–8",
IF(tbl_abs[[#This Row],[Absenteeism time in hours]]&lt;=16,"9–16",
"17+"))),"")</f>
        <v>3–8</v>
      </c>
    </row>
    <row r="424" spans="1:26" ht="15" customHeight="1" x14ac:dyDescent="0.3">
      <c r="A424">
        <v>18</v>
      </c>
      <c r="B424">
        <v>25</v>
      </c>
      <c r="C424" s="1">
        <v>7</v>
      </c>
      <c r="D424">
        <v>6</v>
      </c>
      <c r="E424">
        <v>1</v>
      </c>
      <c r="F424">
        <v>330</v>
      </c>
      <c r="G424" s="1">
        <v>16</v>
      </c>
      <c r="H424">
        <v>4</v>
      </c>
      <c r="I424" s="1">
        <v>28</v>
      </c>
      <c r="J424" s="2">
        <v>230290</v>
      </c>
      <c r="K424">
        <v>92</v>
      </c>
      <c r="L424">
        <v>0</v>
      </c>
      <c r="M424">
        <v>2</v>
      </c>
      <c r="N424">
        <v>0</v>
      </c>
      <c r="O424">
        <v>0</v>
      </c>
      <c r="P424">
        <v>0</v>
      </c>
      <c r="Q424">
        <v>0</v>
      </c>
      <c r="R424">
        <v>84</v>
      </c>
      <c r="S424">
        <v>182</v>
      </c>
      <c r="T424">
        <v>25</v>
      </c>
      <c r="U424">
        <v>8</v>
      </c>
      <c r="V424" s="53" t="str">
        <f>IFERROR(
IF(tbl_abs[[#This Row],[Month of absence]]=0,"Unknown",
CHOOSE(tbl_abs[[#This Row],[Month of absence]],
"Jan","Feb","Mar","Apr","May","Jun","Jul","Aug","Sep","Oct","Nov","Dec")),"")</f>
        <v>Jul</v>
      </c>
      <c r="W424" s="53" t="str">
        <f>IFERROR(
IF(tbl_abs[[#This Row],[Age]]&lt;30,"&lt;30",
IF(tbl_abs[[#This Row],[Age]]&lt;40,"30–39",
IF(tbl_abs[[#This Row],[Age]]&lt;50,"40–49",
IF(tbl_abs[[#This Row],[Age]]&lt;60,"50–59",
"60+")))),"")</f>
        <v>&lt;30</v>
      </c>
      <c r="X424" s="53" t="str">
        <f>IFERROR(
IF(tbl_abs[[#This Row],[Distance from Residence to Work]]&lt;=5,"0–5",
IF(tbl_abs[[#This Row],[Distance from Residence to Work]]&lt;=10,"6–10",
IF(tbl_abs[[#This Row],[Distance from Residence to Work]]&lt;=20,"11–20",
"21+"))),"")</f>
        <v>11–20</v>
      </c>
      <c r="Y424" s="53" t="str">
        <f>IFERROR(
IF(tbl_abs[[#This Row],[Body Mass Index]]&lt;18.5,"Underweight",
IF(tbl_abs[[#This Row],[Body Mass Index]]&lt;25,"Normal",
IF(tbl_abs[[#This Row],[Body Mass Index]]&lt;30,"Overweight",
"Obese"))),"")</f>
        <v>Overweight</v>
      </c>
      <c r="Z424" s="53" t="str">
        <f>IFERROR(
IF(tbl_abs[[#This Row],[Absenteeism time in hours]]&lt;=2,"0–2",
IF(tbl_abs[[#This Row],[Absenteeism time in hours]]&lt;=8,"3–8",
IF(tbl_abs[[#This Row],[Absenteeism time in hours]]&lt;=16,"9–16",
"17+"))),"")</f>
        <v>3–8</v>
      </c>
    </row>
    <row r="425" spans="1:26" ht="15" customHeight="1" x14ac:dyDescent="0.3">
      <c r="A425">
        <v>34</v>
      </c>
      <c r="B425">
        <v>26</v>
      </c>
      <c r="C425" s="1">
        <v>7</v>
      </c>
      <c r="D425">
        <v>6</v>
      </c>
      <c r="E425">
        <v>1</v>
      </c>
      <c r="F425">
        <v>118</v>
      </c>
      <c r="G425" s="1">
        <v>10</v>
      </c>
      <c r="H425">
        <v>10</v>
      </c>
      <c r="I425" s="1">
        <v>37</v>
      </c>
      <c r="J425" s="2">
        <v>230290</v>
      </c>
      <c r="K425">
        <v>92</v>
      </c>
      <c r="L425">
        <v>0</v>
      </c>
      <c r="M425">
        <v>1</v>
      </c>
      <c r="N425">
        <v>0</v>
      </c>
      <c r="O425">
        <v>0</v>
      </c>
      <c r="P425">
        <v>0</v>
      </c>
      <c r="Q425">
        <v>0</v>
      </c>
      <c r="R425">
        <v>83</v>
      </c>
      <c r="S425">
        <v>172</v>
      </c>
      <c r="T425">
        <v>28</v>
      </c>
      <c r="U425">
        <v>8</v>
      </c>
      <c r="V425" s="53" t="str">
        <f>IFERROR(
IF(tbl_abs[[#This Row],[Month of absence]]=0,"Unknown",
CHOOSE(tbl_abs[[#This Row],[Month of absence]],
"Jan","Feb","Mar","Apr","May","Jun","Jul","Aug","Sep","Oct","Nov","Dec")),"")</f>
        <v>Jul</v>
      </c>
      <c r="W425" s="53" t="str">
        <f>IFERROR(
IF(tbl_abs[[#This Row],[Age]]&lt;30,"&lt;30",
IF(tbl_abs[[#This Row],[Age]]&lt;40,"30–39",
IF(tbl_abs[[#This Row],[Age]]&lt;50,"40–49",
IF(tbl_abs[[#This Row],[Age]]&lt;60,"50–59",
"60+")))),"")</f>
        <v>30–39</v>
      </c>
      <c r="X425" s="53" t="str">
        <f>IFERROR(
IF(tbl_abs[[#This Row],[Distance from Residence to Work]]&lt;=5,"0–5",
IF(tbl_abs[[#This Row],[Distance from Residence to Work]]&lt;=10,"6–10",
IF(tbl_abs[[#This Row],[Distance from Residence to Work]]&lt;=20,"11–20",
"21+"))),"")</f>
        <v>6–10</v>
      </c>
      <c r="Y425" s="53" t="str">
        <f>IFERROR(
IF(tbl_abs[[#This Row],[Body Mass Index]]&lt;18.5,"Underweight",
IF(tbl_abs[[#This Row],[Body Mass Index]]&lt;25,"Normal",
IF(tbl_abs[[#This Row],[Body Mass Index]]&lt;30,"Overweight",
"Obese"))),"")</f>
        <v>Overweight</v>
      </c>
      <c r="Z425" s="53" t="str">
        <f>IFERROR(
IF(tbl_abs[[#This Row],[Absenteeism time in hours]]&lt;=2,"0–2",
IF(tbl_abs[[#This Row],[Absenteeism time in hours]]&lt;=8,"3–8",
IF(tbl_abs[[#This Row],[Absenteeism time in hours]]&lt;=16,"9–16",
"17+"))),"")</f>
        <v>3–8</v>
      </c>
    </row>
    <row r="426" spans="1:26" ht="15" customHeight="1" x14ac:dyDescent="0.3">
      <c r="A426">
        <v>20</v>
      </c>
      <c r="B426">
        <v>26</v>
      </c>
      <c r="C426" s="1">
        <v>7</v>
      </c>
      <c r="D426">
        <v>2</v>
      </c>
      <c r="E426">
        <v>1</v>
      </c>
      <c r="F426">
        <v>260</v>
      </c>
      <c r="G426" s="1">
        <v>50</v>
      </c>
      <c r="H426">
        <v>11</v>
      </c>
      <c r="I426" s="1">
        <v>36</v>
      </c>
      <c r="J426" s="2">
        <v>230290</v>
      </c>
      <c r="K426">
        <v>92</v>
      </c>
      <c r="L426">
        <v>0</v>
      </c>
      <c r="M426">
        <v>1</v>
      </c>
      <c r="N426">
        <v>4</v>
      </c>
      <c r="O426">
        <v>1</v>
      </c>
      <c r="P426">
        <v>0</v>
      </c>
      <c r="Q426">
        <v>0</v>
      </c>
      <c r="R426">
        <v>65</v>
      </c>
      <c r="S426">
        <v>168</v>
      </c>
      <c r="T426">
        <v>23</v>
      </c>
      <c r="U426">
        <v>4</v>
      </c>
      <c r="V426" s="53" t="str">
        <f>IFERROR(
IF(tbl_abs[[#This Row],[Month of absence]]=0,"Unknown",
CHOOSE(tbl_abs[[#This Row],[Month of absence]],
"Jan","Feb","Mar","Apr","May","Jun","Jul","Aug","Sep","Oct","Nov","Dec")),"")</f>
        <v>Jul</v>
      </c>
      <c r="W426" s="53" t="str">
        <f>IFERROR(
IF(tbl_abs[[#This Row],[Age]]&lt;30,"&lt;30",
IF(tbl_abs[[#This Row],[Age]]&lt;40,"30–39",
IF(tbl_abs[[#This Row],[Age]]&lt;50,"40–49",
IF(tbl_abs[[#This Row],[Age]]&lt;60,"50–59",
"60+")))),"")</f>
        <v>30–39</v>
      </c>
      <c r="X426" s="53" t="str">
        <f>IFERROR(
IF(tbl_abs[[#This Row],[Distance from Residence to Work]]&lt;=5,"0–5",
IF(tbl_abs[[#This Row],[Distance from Residence to Work]]&lt;=10,"6–10",
IF(tbl_abs[[#This Row],[Distance from Residence to Work]]&lt;=20,"11–20",
"21+"))),"")</f>
        <v>21+</v>
      </c>
      <c r="Y426" s="53" t="str">
        <f>IFERROR(
IF(tbl_abs[[#This Row],[Body Mass Index]]&lt;18.5,"Underweight",
IF(tbl_abs[[#This Row],[Body Mass Index]]&lt;25,"Normal",
IF(tbl_abs[[#This Row],[Body Mass Index]]&lt;30,"Overweight",
"Obese"))),"")</f>
        <v>Normal</v>
      </c>
      <c r="Z426" s="53" t="str">
        <f>IFERROR(
IF(tbl_abs[[#This Row],[Absenteeism time in hours]]&lt;=2,"0–2",
IF(tbl_abs[[#This Row],[Absenteeism time in hours]]&lt;=8,"3–8",
IF(tbl_abs[[#This Row],[Absenteeism time in hours]]&lt;=16,"9–16",
"17+"))),"")</f>
        <v>3–8</v>
      </c>
    </row>
    <row r="427" spans="1:26" ht="15" customHeight="1" x14ac:dyDescent="0.3">
      <c r="A427">
        <v>34</v>
      </c>
      <c r="B427">
        <v>28</v>
      </c>
      <c r="C427" s="1">
        <v>7</v>
      </c>
      <c r="D427">
        <v>3</v>
      </c>
      <c r="E427">
        <v>1</v>
      </c>
      <c r="F427">
        <v>118</v>
      </c>
      <c r="G427" s="1">
        <v>10</v>
      </c>
      <c r="H427">
        <v>10</v>
      </c>
      <c r="I427" s="1">
        <v>37</v>
      </c>
      <c r="J427" s="2">
        <v>230290</v>
      </c>
      <c r="K427">
        <v>92</v>
      </c>
      <c r="L427">
        <v>0</v>
      </c>
      <c r="M427">
        <v>1</v>
      </c>
      <c r="N427">
        <v>0</v>
      </c>
      <c r="O427">
        <v>0</v>
      </c>
      <c r="P427">
        <v>0</v>
      </c>
      <c r="Q427">
        <v>0</v>
      </c>
      <c r="R427">
        <v>83</v>
      </c>
      <c r="S427">
        <v>172</v>
      </c>
      <c r="T427">
        <v>28</v>
      </c>
      <c r="U427">
        <v>8</v>
      </c>
      <c r="V427" s="53" t="str">
        <f>IFERROR(
IF(tbl_abs[[#This Row],[Month of absence]]=0,"Unknown",
CHOOSE(tbl_abs[[#This Row],[Month of absence]],
"Jan","Feb","Mar","Apr","May","Jun","Jul","Aug","Sep","Oct","Nov","Dec")),"")</f>
        <v>Jul</v>
      </c>
      <c r="W427" s="53" t="str">
        <f>IFERROR(
IF(tbl_abs[[#This Row],[Age]]&lt;30,"&lt;30",
IF(tbl_abs[[#This Row],[Age]]&lt;40,"30–39",
IF(tbl_abs[[#This Row],[Age]]&lt;50,"40–49",
IF(tbl_abs[[#This Row],[Age]]&lt;60,"50–59",
"60+")))),"")</f>
        <v>30–39</v>
      </c>
      <c r="X427" s="53" t="str">
        <f>IFERROR(
IF(tbl_abs[[#This Row],[Distance from Residence to Work]]&lt;=5,"0–5",
IF(tbl_abs[[#This Row],[Distance from Residence to Work]]&lt;=10,"6–10",
IF(tbl_abs[[#This Row],[Distance from Residence to Work]]&lt;=20,"11–20",
"21+"))),"")</f>
        <v>6–10</v>
      </c>
      <c r="Y427" s="53" t="str">
        <f>IFERROR(
IF(tbl_abs[[#This Row],[Body Mass Index]]&lt;18.5,"Underweight",
IF(tbl_abs[[#This Row],[Body Mass Index]]&lt;25,"Normal",
IF(tbl_abs[[#This Row],[Body Mass Index]]&lt;30,"Overweight",
"Obese"))),"")</f>
        <v>Overweight</v>
      </c>
      <c r="Z427" s="53" t="str">
        <f>IFERROR(
IF(tbl_abs[[#This Row],[Absenteeism time in hours]]&lt;=2,"0–2",
IF(tbl_abs[[#This Row],[Absenteeism time in hours]]&lt;=8,"3–8",
IF(tbl_abs[[#This Row],[Absenteeism time in hours]]&lt;=16,"9–16",
"17+"))),"")</f>
        <v>3–8</v>
      </c>
    </row>
    <row r="428" spans="1:26" ht="15" customHeight="1" x14ac:dyDescent="0.3">
      <c r="A428">
        <v>26</v>
      </c>
      <c r="B428">
        <v>15</v>
      </c>
      <c r="C428" s="1">
        <v>7</v>
      </c>
      <c r="D428">
        <v>2</v>
      </c>
      <c r="E428">
        <v>1</v>
      </c>
      <c r="F428">
        <v>300</v>
      </c>
      <c r="G428" s="1">
        <v>26</v>
      </c>
      <c r="H428">
        <v>13</v>
      </c>
      <c r="I428" s="1">
        <v>43</v>
      </c>
      <c r="J428" s="2">
        <v>230290</v>
      </c>
      <c r="K428">
        <v>92</v>
      </c>
      <c r="L428">
        <v>0</v>
      </c>
      <c r="M428">
        <v>1</v>
      </c>
      <c r="N428">
        <v>2</v>
      </c>
      <c r="O428">
        <v>1</v>
      </c>
      <c r="P428">
        <v>1</v>
      </c>
      <c r="Q428">
        <v>1</v>
      </c>
      <c r="R428">
        <v>77</v>
      </c>
      <c r="S428">
        <v>175</v>
      </c>
      <c r="T428">
        <v>25</v>
      </c>
      <c r="U428">
        <v>8</v>
      </c>
      <c r="V428" s="53" t="str">
        <f>IFERROR(
IF(tbl_abs[[#This Row],[Month of absence]]=0,"Unknown",
CHOOSE(tbl_abs[[#This Row],[Month of absence]],
"Jan","Feb","Mar","Apr","May","Jun","Jul","Aug","Sep","Oct","Nov","Dec")),"")</f>
        <v>Jul</v>
      </c>
      <c r="W428" s="53" t="str">
        <f>IFERROR(
IF(tbl_abs[[#This Row],[Age]]&lt;30,"&lt;30",
IF(tbl_abs[[#This Row],[Age]]&lt;40,"30–39",
IF(tbl_abs[[#This Row],[Age]]&lt;50,"40–49",
IF(tbl_abs[[#This Row],[Age]]&lt;60,"50–59",
"60+")))),"")</f>
        <v>40–49</v>
      </c>
      <c r="X428" s="53" t="str">
        <f>IFERROR(
IF(tbl_abs[[#This Row],[Distance from Residence to Work]]&lt;=5,"0–5",
IF(tbl_abs[[#This Row],[Distance from Residence to Work]]&lt;=10,"6–10",
IF(tbl_abs[[#This Row],[Distance from Residence to Work]]&lt;=20,"11–20",
"21+"))),"")</f>
        <v>21+</v>
      </c>
      <c r="Y428" s="53" t="str">
        <f>IFERROR(
IF(tbl_abs[[#This Row],[Body Mass Index]]&lt;18.5,"Underweight",
IF(tbl_abs[[#This Row],[Body Mass Index]]&lt;25,"Normal",
IF(tbl_abs[[#This Row],[Body Mass Index]]&lt;30,"Overweight",
"Obese"))),"")</f>
        <v>Overweight</v>
      </c>
      <c r="Z428" s="53" t="str">
        <f>IFERROR(
IF(tbl_abs[[#This Row],[Absenteeism time in hours]]&lt;=2,"0–2",
IF(tbl_abs[[#This Row],[Absenteeism time in hours]]&lt;=8,"3–8",
IF(tbl_abs[[#This Row],[Absenteeism time in hours]]&lt;=16,"9–16",
"17+"))),"")</f>
        <v>3–8</v>
      </c>
    </row>
    <row r="429" spans="1:26" ht="15" customHeight="1" x14ac:dyDescent="0.3">
      <c r="A429">
        <v>2</v>
      </c>
      <c r="B429">
        <v>23</v>
      </c>
      <c r="C429" s="1">
        <v>7</v>
      </c>
      <c r="D429">
        <v>2</v>
      </c>
      <c r="E429">
        <v>1</v>
      </c>
      <c r="F429">
        <v>235</v>
      </c>
      <c r="G429" s="1">
        <v>29</v>
      </c>
      <c r="H429">
        <v>12</v>
      </c>
      <c r="I429" s="1">
        <v>48</v>
      </c>
      <c r="J429" s="2">
        <v>230290</v>
      </c>
      <c r="K429">
        <v>92</v>
      </c>
      <c r="L429">
        <v>0</v>
      </c>
      <c r="M429">
        <v>1</v>
      </c>
      <c r="N429">
        <v>1</v>
      </c>
      <c r="O429">
        <v>0</v>
      </c>
      <c r="P429">
        <v>1</v>
      </c>
      <c r="Q429">
        <v>5</v>
      </c>
      <c r="R429">
        <v>88</v>
      </c>
      <c r="S429">
        <v>163</v>
      </c>
      <c r="T429">
        <v>33</v>
      </c>
      <c r="U429">
        <v>1</v>
      </c>
      <c r="V429" s="53" t="str">
        <f>IFERROR(
IF(tbl_abs[[#This Row],[Month of absence]]=0,"Unknown",
CHOOSE(tbl_abs[[#This Row],[Month of absence]],
"Jan","Feb","Mar","Apr","May","Jun","Jul","Aug","Sep","Oct","Nov","Dec")),"")</f>
        <v>Jul</v>
      </c>
      <c r="W429" s="53" t="str">
        <f>IFERROR(
IF(tbl_abs[[#This Row],[Age]]&lt;30,"&lt;30",
IF(tbl_abs[[#This Row],[Age]]&lt;40,"30–39",
IF(tbl_abs[[#This Row],[Age]]&lt;50,"40–49",
IF(tbl_abs[[#This Row],[Age]]&lt;60,"50–59",
"60+")))),"")</f>
        <v>40–49</v>
      </c>
      <c r="X429" s="53" t="str">
        <f>IFERROR(
IF(tbl_abs[[#This Row],[Distance from Residence to Work]]&lt;=5,"0–5",
IF(tbl_abs[[#This Row],[Distance from Residence to Work]]&lt;=10,"6–10",
IF(tbl_abs[[#This Row],[Distance from Residence to Work]]&lt;=20,"11–20",
"21+"))),"")</f>
        <v>21+</v>
      </c>
      <c r="Y429" s="53" t="str">
        <f>IFERROR(
IF(tbl_abs[[#This Row],[Body Mass Index]]&lt;18.5,"Underweight",
IF(tbl_abs[[#This Row],[Body Mass Index]]&lt;25,"Normal",
IF(tbl_abs[[#This Row],[Body Mass Index]]&lt;30,"Overweight",
"Obese"))),"")</f>
        <v>Obese</v>
      </c>
      <c r="Z429" s="53" t="str">
        <f>IFERROR(
IF(tbl_abs[[#This Row],[Absenteeism time in hours]]&lt;=2,"0–2",
IF(tbl_abs[[#This Row],[Absenteeism time in hours]]&lt;=8,"3–8",
IF(tbl_abs[[#This Row],[Absenteeism time in hours]]&lt;=16,"9–16",
"17+"))),"")</f>
        <v>0–2</v>
      </c>
    </row>
    <row r="430" spans="1:26" ht="15" customHeight="1" x14ac:dyDescent="0.3">
      <c r="A430">
        <v>24</v>
      </c>
      <c r="B430">
        <v>28</v>
      </c>
      <c r="C430" s="1">
        <v>7</v>
      </c>
      <c r="D430">
        <v>3</v>
      </c>
      <c r="E430">
        <v>1</v>
      </c>
      <c r="F430">
        <v>246</v>
      </c>
      <c r="G430" s="1">
        <v>25</v>
      </c>
      <c r="H430">
        <v>16</v>
      </c>
      <c r="I430" s="1">
        <v>41</v>
      </c>
      <c r="J430" s="2">
        <v>230290</v>
      </c>
      <c r="K430">
        <v>92</v>
      </c>
      <c r="L430">
        <v>0</v>
      </c>
      <c r="M430">
        <v>1</v>
      </c>
      <c r="N430">
        <v>0</v>
      </c>
      <c r="O430">
        <v>1</v>
      </c>
      <c r="P430">
        <v>0</v>
      </c>
      <c r="Q430">
        <v>0</v>
      </c>
      <c r="R430">
        <v>67</v>
      </c>
      <c r="S430">
        <v>170</v>
      </c>
      <c r="T430">
        <v>23</v>
      </c>
      <c r="U430">
        <v>2</v>
      </c>
      <c r="V430" s="53" t="str">
        <f>IFERROR(
IF(tbl_abs[[#This Row],[Month of absence]]=0,"Unknown",
CHOOSE(tbl_abs[[#This Row],[Month of absence]],
"Jan","Feb","Mar","Apr","May","Jun","Jul","Aug","Sep","Oct","Nov","Dec")),"")</f>
        <v>Jul</v>
      </c>
      <c r="W430" s="53" t="str">
        <f>IFERROR(
IF(tbl_abs[[#This Row],[Age]]&lt;30,"&lt;30",
IF(tbl_abs[[#This Row],[Age]]&lt;40,"30–39",
IF(tbl_abs[[#This Row],[Age]]&lt;50,"40–49",
IF(tbl_abs[[#This Row],[Age]]&lt;60,"50–59",
"60+")))),"")</f>
        <v>40–49</v>
      </c>
      <c r="X430" s="53" t="str">
        <f>IFERROR(
IF(tbl_abs[[#This Row],[Distance from Residence to Work]]&lt;=5,"0–5",
IF(tbl_abs[[#This Row],[Distance from Residence to Work]]&lt;=10,"6–10",
IF(tbl_abs[[#This Row],[Distance from Residence to Work]]&lt;=20,"11–20",
"21+"))),"")</f>
        <v>21+</v>
      </c>
      <c r="Y430" s="53" t="str">
        <f>IFERROR(
IF(tbl_abs[[#This Row],[Body Mass Index]]&lt;18.5,"Underweight",
IF(tbl_abs[[#This Row],[Body Mass Index]]&lt;25,"Normal",
IF(tbl_abs[[#This Row],[Body Mass Index]]&lt;30,"Overweight",
"Obese"))),"")</f>
        <v>Normal</v>
      </c>
      <c r="Z430" s="53" t="str">
        <f>IFERROR(
IF(tbl_abs[[#This Row],[Absenteeism time in hours]]&lt;=2,"0–2",
IF(tbl_abs[[#This Row],[Absenteeism time in hours]]&lt;=8,"3–8",
IF(tbl_abs[[#This Row],[Absenteeism time in hours]]&lt;=16,"9–16",
"17+"))),"")</f>
        <v>0–2</v>
      </c>
    </row>
    <row r="431" spans="1:26" ht="15" customHeight="1" x14ac:dyDescent="0.3">
      <c r="A431">
        <v>28</v>
      </c>
      <c r="B431">
        <v>9</v>
      </c>
      <c r="C431" s="1">
        <v>7</v>
      </c>
      <c r="D431">
        <v>3</v>
      </c>
      <c r="E431">
        <v>1</v>
      </c>
      <c r="F431">
        <v>225</v>
      </c>
      <c r="G431" s="1">
        <v>26</v>
      </c>
      <c r="H431">
        <v>9</v>
      </c>
      <c r="I431" s="1">
        <v>28</v>
      </c>
      <c r="J431" s="2">
        <v>230290</v>
      </c>
      <c r="K431">
        <v>92</v>
      </c>
      <c r="L431">
        <v>0</v>
      </c>
      <c r="M431">
        <v>1</v>
      </c>
      <c r="N431">
        <v>1</v>
      </c>
      <c r="O431">
        <v>0</v>
      </c>
      <c r="P431">
        <v>0</v>
      </c>
      <c r="Q431">
        <v>2</v>
      </c>
      <c r="R431">
        <v>69</v>
      </c>
      <c r="S431">
        <v>169</v>
      </c>
      <c r="T431">
        <v>24</v>
      </c>
      <c r="U431">
        <v>112</v>
      </c>
      <c r="V431" s="53" t="str">
        <f>IFERROR(
IF(tbl_abs[[#This Row],[Month of absence]]=0,"Unknown",
CHOOSE(tbl_abs[[#This Row],[Month of absence]],
"Jan","Feb","Mar","Apr","May","Jun","Jul","Aug","Sep","Oct","Nov","Dec")),"")</f>
        <v>Jul</v>
      </c>
      <c r="W431" s="53" t="str">
        <f>IFERROR(
IF(tbl_abs[[#This Row],[Age]]&lt;30,"&lt;30",
IF(tbl_abs[[#This Row],[Age]]&lt;40,"30–39",
IF(tbl_abs[[#This Row],[Age]]&lt;50,"40–49",
IF(tbl_abs[[#This Row],[Age]]&lt;60,"50–59",
"60+")))),"")</f>
        <v>&lt;30</v>
      </c>
      <c r="X431" s="53" t="str">
        <f>IFERROR(
IF(tbl_abs[[#This Row],[Distance from Residence to Work]]&lt;=5,"0–5",
IF(tbl_abs[[#This Row],[Distance from Residence to Work]]&lt;=10,"6–10",
IF(tbl_abs[[#This Row],[Distance from Residence to Work]]&lt;=20,"11–20",
"21+"))),"")</f>
        <v>21+</v>
      </c>
      <c r="Y431" s="53" t="str">
        <f>IFERROR(
IF(tbl_abs[[#This Row],[Body Mass Index]]&lt;18.5,"Underweight",
IF(tbl_abs[[#This Row],[Body Mass Index]]&lt;25,"Normal",
IF(tbl_abs[[#This Row],[Body Mass Index]]&lt;30,"Overweight",
"Obese"))),"")</f>
        <v>Normal</v>
      </c>
      <c r="Z431" s="53" t="str">
        <f>IFERROR(
IF(tbl_abs[[#This Row],[Absenteeism time in hours]]&lt;=2,"0–2",
IF(tbl_abs[[#This Row],[Absenteeism time in hours]]&lt;=8,"3–8",
IF(tbl_abs[[#This Row],[Absenteeism time in hours]]&lt;=16,"9–16",
"17+"))),"")</f>
        <v>17+</v>
      </c>
    </row>
    <row r="432" spans="1:26" ht="15" customHeight="1" x14ac:dyDescent="0.3">
      <c r="A432">
        <v>3</v>
      </c>
      <c r="B432">
        <v>28</v>
      </c>
      <c r="C432" s="1">
        <v>7</v>
      </c>
      <c r="D432">
        <v>3</v>
      </c>
      <c r="E432">
        <v>1</v>
      </c>
      <c r="F432">
        <v>179</v>
      </c>
      <c r="G432" s="1">
        <v>51</v>
      </c>
      <c r="H432">
        <v>18</v>
      </c>
      <c r="I432" s="1">
        <v>38</v>
      </c>
      <c r="J432" s="2">
        <v>230290</v>
      </c>
      <c r="K432">
        <v>92</v>
      </c>
      <c r="L432">
        <v>0</v>
      </c>
      <c r="M432">
        <v>1</v>
      </c>
      <c r="N432">
        <v>0</v>
      </c>
      <c r="O432">
        <v>1</v>
      </c>
      <c r="P432">
        <v>0</v>
      </c>
      <c r="Q432">
        <v>0</v>
      </c>
      <c r="R432">
        <v>89</v>
      </c>
      <c r="S432">
        <v>170</v>
      </c>
      <c r="T432">
        <v>31</v>
      </c>
      <c r="U432">
        <v>1</v>
      </c>
      <c r="V432" s="53" t="str">
        <f>IFERROR(
IF(tbl_abs[[#This Row],[Month of absence]]=0,"Unknown",
CHOOSE(tbl_abs[[#This Row],[Month of absence]],
"Jan","Feb","Mar","Apr","May","Jun","Jul","Aug","Sep","Oct","Nov","Dec")),"")</f>
        <v>Jul</v>
      </c>
      <c r="W432" s="53" t="str">
        <f>IFERROR(
IF(tbl_abs[[#This Row],[Age]]&lt;30,"&lt;30",
IF(tbl_abs[[#This Row],[Age]]&lt;40,"30–39",
IF(tbl_abs[[#This Row],[Age]]&lt;50,"40–49",
IF(tbl_abs[[#This Row],[Age]]&lt;60,"50–59",
"60+")))),"")</f>
        <v>30–39</v>
      </c>
      <c r="X432" s="53" t="str">
        <f>IFERROR(
IF(tbl_abs[[#This Row],[Distance from Residence to Work]]&lt;=5,"0–5",
IF(tbl_abs[[#This Row],[Distance from Residence to Work]]&lt;=10,"6–10",
IF(tbl_abs[[#This Row],[Distance from Residence to Work]]&lt;=20,"11–20",
"21+"))),"")</f>
        <v>21+</v>
      </c>
      <c r="Y432" s="53" t="str">
        <f>IFERROR(
IF(tbl_abs[[#This Row],[Body Mass Index]]&lt;18.5,"Underweight",
IF(tbl_abs[[#This Row],[Body Mass Index]]&lt;25,"Normal",
IF(tbl_abs[[#This Row],[Body Mass Index]]&lt;30,"Overweight",
"Obese"))),"")</f>
        <v>Obese</v>
      </c>
      <c r="Z432" s="53" t="str">
        <f>IFERROR(
IF(tbl_abs[[#This Row],[Absenteeism time in hours]]&lt;=2,"0–2",
IF(tbl_abs[[#This Row],[Absenteeism time in hours]]&lt;=8,"3–8",
IF(tbl_abs[[#This Row],[Absenteeism time in hours]]&lt;=16,"9–16",
"17+"))),"")</f>
        <v>0–2</v>
      </c>
    </row>
    <row r="433" spans="1:26" ht="15" customHeight="1" x14ac:dyDescent="0.3">
      <c r="A433">
        <v>36</v>
      </c>
      <c r="B433">
        <v>23</v>
      </c>
      <c r="C433" s="1">
        <v>7</v>
      </c>
      <c r="D433">
        <v>6</v>
      </c>
      <c r="E433">
        <v>1</v>
      </c>
      <c r="F433">
        <v>118</v>
      </c>
      <c r="G433" s="1">
        <v>13</v>
      </c>
      <c r="H433">
        <v>18</v>
      </c>
      <c r="I433" s="1">
        <v>50</v>
      </c>
      <c r="J433" s="2">
        <v>230290</v>
      </c>
      <c r="K433">
        <v>92</v>
      </c>
      <c r="L433">
        <v>0</v>
      </c>
      <c r="M433">
        <v>1</v>
      </c>
      <c r="N433">
        <v>1</v>
      </c>
      <c r="O433">
        <v>1</v>
      </c>
      <c r="P433">
        <v>0</v>
      </c>
      <c r="Q433">
        <v>0</v>
      </c>
      <c r="R433">
        <v>98</v>
      </c>
      <c r="S433">
        <v>178</v>
      </c>
      <c r="T433">
        <v>31</v>
      </c>
      <c r="U433">
        <v>1</v>
      </c>
      <c r="V433" s="53" t="str">
        <f>IFERROR(
IF(tbl_abs[[#This Row],[Month of absence]]=0,"Unknown",
CHOOSE(tbl_abs[[#This Row],[Month of absence]],
"Jan","Feb","Mar","Apr","May","Jun","Jul","Aug","Sep","Oct","Nov","Dec")),"")</f>
        <v>Jul</v>
      </c>
      <c r="W433" s="53" t="str">
        <f>IFERROR(
IF(tbl_abs[[#This Row],[Age]]&lt;30,"&lt;30",
IF(tbl_abs[[#This Row],[Age]]&lt;40,"30–39",
IF(tbl_abs[[#This Row],[Age]]&lt;50,"40–49",
IF(tbl_abs[[#This Row],[Age]]&lt;60,"50–59",
"60+")))),"")</f>
        <v>50–59</v>
      </c>
      <c r="X433" s="53" t="str">
        <f>IFERROR(
IF(tbl_abs[[#This Row],[Distance from Residence to Work]]&lt;=5,"0–5",
IF(tbl_abs[[#This Row],[Distance from Residence to Work]]&lt;=10,"6–10",
IF(tbl_abs[[#This Row],[Distance from Residence to Work]]&lt;=20,"11–20",
"21+"))),"")</f>
        <v>11–20</v>
      </c>
      <c r="Y433" s="53" t="str">
        <f>IFERROR(
IF(tbl_abs[[#This Row],[Body Mass Index]]&lt;18.5,"Underweight",
IF(tbl_abs[[#This Row],[Body Mass Index]]&lt;25,"Normal",
IF(tbl_abs[[#This Row],[Body Mass Index]]&lt;30,"Overweight",
"Obese"))),"")</f>
        <v>Obese</v>
      </c>
      <c r="Z433" s="53" t="str">
        <f>IFERROR(
IF(tbl_abs[[#This Row],[Absenteeism time in hours]]&lt;=2,"0–2",
IF(tbl_abs[[#This Row],[Absenteeism time in hours]]&lt;=8,"3–8",
IF(tbl_abs[[#This Row],[Absenteeism time in hours]]&lt;=16,"9–16",
"17+"))),"")</f>
        <v>0–2</v>
      </c>
    </row>
    <row r="434" spans="1:26" ht="15" customHeight="1" x14ac:dyDescent="0.3">
      <c r="A434">
        <v>10</v>
      </c>
      <c r="B434">
        <v>22</v>
      </c>
      <c r="C434" s="1">
        <v>7</v>
      </c>
      <c r="D434">
        <v>6</v>
      </c>
      <c r="E434">
        <v>1</v>
      </c>
      <c r="F434">
        <v>361</v>
      </c>
      <c r="G434" s="1">
        <v>52</v>
      </c>
      <c r="H434">
        <v>3</v>
      </c>
      <c r="I434" s="1">
        <v>28</v>
      </c>
      <c r="J434" s="2">
        <v>230290</v>
      </c>
      <c r="K434">
        <v>92</v>
      </c>
      <c r="L434">
        <v>0</v>
      </c>
      <c r="M434">
        <v>1</v>
      </c>
      <c r="N434">
        <v>1</v>
      </c>
      <c r="O434">
        <v>1</v>
      </c>
      <c r="P434">
        <v>0</v>
      </c>
      <c r="Q434">
        <v>4</v>
      </c>
      <c r="R434">
        <v>80</v>
      </c>
      <c r="S434">
        <v>172</v>
      </c>
      <c r="T434">
        <v>27</v>
      </c>
      <c r="U434">
        <v>8</v>
      </c>
      <c r="V434" s="53" t="str">
        <f>IFERROR(
IF(tbl_abs[[#This Row],[Month of absence]]=0,"Unknown",
CHOOSE(tbl_abs[[#This Row],[Month of absence]],
"Jan","Feb","Mar","Apr","May","Jun","Jul","Aug","Sep","Oct","Nov","Dec")),"")</f>
        <v>Jul</v>
      </c>
      <c r="W434" s="53" t="str">
        <f>IFERROR(
IF(tbl_abs[[#This Row],[Age]]&lt;30,"&lt;30",
IF(tbl_abs[[#This Row],[Age]]&lt;40,"30–39",
IF(tbl_abs[[#This Row],[Age]]&lt;50,"40–49",
IF(tbl_abs[[#This Row],[Age]]&lt;60,"50–59",
"60+")))),"")</f>
        <v>&lt;30</v>
      </c>
      <c r="X434" s="53" t="str">
        <f>IFERROR(
IF(tbl_abs[[#This Row],[Distance from Residence to Work]]&lt;=5,"0–5",
IF(tbl_abs[[#This Row],[Distance from Residence to Work]]&lt;=10,"6–10",
IF(tbl_abs[[#This Row],[Distance from Residence to Work]]&lt;=20,"11–20",
"21+"))),"")</f>
        <v>21+</v>
      </c>
      <c r="Y434" s="53" t="str">
        <f>IFERROR(
IF(tbl_abs[[#This Row],[Body Mass Index]]&lt;18.5,"Underweight",
IF(tbl_abs[[#This Row],[Body Mass Index]]&lt;25,"Normal",
IF(tbl_abs[[#This Row],[Body Mass Index]]&lt;30,"Overweight",
"Obese"))),"")</f>
        <v>Overweight</v>
      </c>
      <c r="Z434" s="53" t="str">
        <f>IFERROR(
IF(tbl_abs[[#This Row],[Absenteeism time in hours]]&lt;=2,"0–2",
IF(tbl_abs[[#This Row],[Absenteeism time in hours]]&lt;=8,"3–8",
IF(tbl_abs[[#This Row],[Absenteeism time in hours]]&lt;=16,"9–16",
"17+"))),"")</f>
        <v>3–8</v>
      </c>
    </row>
    <row r="435" spans="1:26" ht="15" customHeight="1" x14ac:dyDescent="0.3">
      <c r="A435">
        <v>11</v>
      </c>
      <c r="B435">
        <v>22</v>
      </c>
      <c r="C435" s="1">
        <v>7</v>
      </c>
      <c r="D435">
        <v>2</v>
      </c>
      <c r="E435">
        <v>1</v>
      </c>
      <c r="F435">
        <v>289</v>
      </c>
      <c r="G435" s="1">
        <v>36</v>
      </c>
      <c r="H435">
        <v>13</v>
      </c>
      <c r="I435" s="1">
        <v>33</v>
      </c>
      <c r="J435" s="2">
        <v>230290</v>
      </c>
      <c r="K435">
        <v>92</v>
      </c>
      <c r="L435">
        <v>0</v>
      </c>
      <c r="M435">
        <v>1</v>
      </c>
      <c r="N435">
        <v>2</v>
      </c>
      <c r="O435">
        <v>1</v>
      </c>
      <c r="P435">
        <v>0</v>
      </c>
      <c r="Q435">
        <v>1</v>
      </c>
      <c r="R435">
        <v>90</v>
      </c>
      <c r="S435">
        <v>172</v>
      </c>
      <c r="T435">
        <v>30</v>
      </c>
      <c r="U435">
        <v>8</v>
      </c>
      <c r="V435" s="53" t="str">
        <f>IFERROR(
IF(tbl_abs[[#This Row],[Month of absence]]=0,"Unknown",
CHOOSE(tbl_abs[[#This Row],[Month of absence]],
"Jan","Feb","Mar","Apr","May","Jun","Jul","Aug","Sep","Oct","Nov","Dec")),"")</f>
        <v>Jul</v>
      </c>
      <c r="W435" s="53" t="str">
        <f>IFERROR(
IF(tbl_abs[[#This Row],[Age]]&lt;30,"&lt;30",
IF(tbl_abs[[#This Row],[Age]]&lt;40,"30–39",
IF(tbl_abs[[#This Row],[Age]]&lt;50,"40–49",
IF(tbl_abs[[#This Row],[Age]]&lt;60,"50–59",
"60+")))),"")</f>
        <v>30–39</v>
      </c>
      <c r="X435" s="53" t="str">
        <f>IFERROR(
IF(tbl_abs[[#This Row],[Distance from Residence to Work]]&lt;=5,"0–5",
IF(tbl_abs[[#This Row],[Distance from Residence to Work]]&lt;=10,"6–10",
IF(tbl_abs[[#This Row],[Distance from Residence to Work]]&lt;=20,"11–20",
"21+"))),"")</f>
        <v>21+</v>
      </c>
      <c r="Y435" s="53" t="str">
        <f>IFERROR(
IF(tbl_abs[[#This Row],[Body Mass Index]]&lt;18.5,"Underweight",
IF(tbl_abs[[#This Row],[Body Mass Index]]&lt;25,"Normal",
IF(tbl_abs[[#This Row],[Body Mass Index]]&lt;30,"Overweight",
"Obese"))),"")</f>
        <v>Obese</v>
      </c>
      <c r="Z435" s="53" t="str">
        <f>IFERROR(
IF(tbl_abs[[#This Row],[Absenteeism time in hours]]&lt;=2,"0–2",
IF(tbl_abs[[#This Row],[Absenteeism time in hours]]&lt;=8,"3–8",
IF(tbl_abs[[#This Row],[Absenteeism time in hours]]&lt;=16,"9–16",
"17+"))),"")</f>
        <v>3–8</v>
      </c>
    </row>
    <row r="436" spans="1:26" ht="15" customHeight="1" x14ac:dyDescent="0.3">
      <c r="A436">
        <v>5</v>
      </c>
      <c r="B436">
        <v>26</v>
      </c>
      <c r="C436" s="1">
        <v>7</v>
      </c>
      <c r="D436">
        <v>2</v>
      </c>
      <c r="E436">
        <v>1</v>
      </c>
      <c r="F436">
        <v>235</v>
      </c>
      <c r="G436" s="1">
        <v>20</v>
      </c>
      <c r="H436">
        <v>13</v>
      </c>
      <c r="I436" s="1">
        <v>43</v>
      </c>
      <c r="J436" s="2">
        <v>230290</v>
      </c>
      <c r="K436">
        <v>92</v>
      </c>
      <c r="L436">
        <v>0</v>
      </c>
      <c r="M436">
        <v>1</v>
      </c>
      <c r="N436">
        <v>1</v>
      </c>
      <c r="O436">
        <v>1</v>
      </c>
      <c r="P436">
        <v>0</v>
      </c>
      <c r="Q436">
        <v>0</v>
      </c>
      <c r="R436">
        <v>106</v>
      </c>
      <c r="S436">
        <v>167</v>
      </c>
      <c r="T436">
        <v>38</v>
      </c>
      <c r="U436">
        <v>8</v>
      </c>
      <c r="V436" s="53" t="str">
        <f>IFERROR(
IF(tbl_abs[[#This Row],[Month of absence]]=0,"Unknown",
CHOOSE(tbl_abs[[#This Row],[Month of absence]],
"Jan","Feb","Mar","Apr","May","Jun","Jul","Aug","Sep","Oct","Nov","Dec")),"")</f>
        <v>Jul</v>
      </c>
      <c r="W436" s="53" t="str">
        <f>IFERROR(
IF(tbl_abs[[#This Row],[Age]]&lt;30,"&lt;30",
IF(tbl_abs[[#This Row],[Age]]&lt;40,"30–39",
IF(tbl_abs[[#This Row],[Age]]&lt;50,"40–49",
IF(tbl_abs[[#This Row],[Age]]&lt;60,"50–59",
"60+")))),"")</f>
        <v>40–49</v>
      </c>
      <c r="X436" s="53" t="str">
        <f>IFERROR(
IF(tbl_abs[[#This Row],[Distance from Residence to Work]]&lt;=5,"0–5",
IF(tbl_abs[[#This Row],[Distance from Residence to Work]]&lt;=10,"6–10",
IF(tbl_abs[[#This Row],[Distance from Residence to Work]]&lt;=20,"11–20",
"21+"))),"")</f>
        <v>11–20</v>
      </c>
      <c r="Y436" s="53" t="str">
        <f>IFERROR(
IF(tbl_abs[[#This Row],[Body Mass Index]]&lt;18.5,"Underweight",
IF(tbl_abs[[#This Row],[Body Mass Index]]&lt;25,"Normal",
IF(tbl_abs[[#This Row],[Body Mass Index]]&lt;30,"Overweight",
"Obese"))),"")</f>
        <v>Obese</v>
      </c>
      <c r="Z436" s="53" t="str">
        <f>IFERROR(
IF(tbl_abs[[#This Row],[Absenteeism time in hours]]&lt;=2,"0–2",
IF(tbl_abs[[#This Row],[Absenteeism time in hours]]&lt;=8,"3–8",
IF(tbl_abs[[#This Row],[Absenteeism time in hours]]&lt;=16,"9–16",
"17+"))),"")</f>
        <v>3–8</v>
      </c>
    </row>
    <row r="437" spans="1:26" ht="15" customHeight="1" x14ac:dyDescent="0.3">
      <c r="A437">
        <v>24</v>
      </c>
      <c r="B437">
        <v>28</v>
      </c>
      <c r="C437" s="1">
        <v>7</v>
      </c>
      <c r="D437">
        <v>3</v>
      </c>
      <c r="E437">
        <v>1</v>
      </c>
      <c r="F437">
        <v>246</v>
      </c>
      <c r="G437" s="1">
        <v>25</v>
      </c>
      <c r="H437">
        <v>16</v>
      </c>
      <c r="I437" s="1">
        <v>41</v>
      </c>
      <c r="J437" s="2">
        <v>230290</v>
      </c>
      <c r="K437">
        <v>92</v>
      </c>
      <c r="L437">
        <v>0</v>
      </c>
      <c r="M437">
        <v>1</v>
      </c>
      <c r="N437">
        <v>0</v>
      </c>
      <c r="O437">
        <v>1</v>
      </c>
      <c r="P437">
        <v>0</v>
      </c>
      <c r="Q437">
        <v>0</v>
      </c>
      <c r="R437">
        <v>67</v>
      </c>
      <c r="S437">
        <v>170</v>
      </c>
      <c r="T437">
        <v>23</v>
      </c>
      <c r="U437">
        <v>2</v>
      </c>
      <c r="V437" s="53" t="str">
        <f>IFERROR(
IF(tbl_abs[[#This Row],[Month of absence]]=0,"Unknown",
CHOOSE(tbl_abs[[#This Row],[Month of absence]],
"Jan","Feb","Mar","Apr","May","Jun","Jul","Aug","Sep","Oct","Nov","Dec")),"")</f>
        <v>Jul</v>
      </c>
      <c r="W437" s="53" t="str">
        <f>IFERROR(
IF(tbl_abs[[#This Row],[Age]]&lt;30,"&lt;30",
IF(tbl_abs[[#This Row],[Age]]&lt;40,"30–39",
IF(tbl_abs[[#This Row],[Age]]&lt;50,"40–49",
IF(tbl_abs[[#This Row],[Age]]&lt;60,"50–59",
"60+")))),"")</f>
        <v>40–49</v>
      </c>
      <c r="X437" s="53" t="str">
        <f>IFERROR(
IF(tbl_abs[[#This Row],[Distance from Residence to Work]]&lt;=5,"0–5",
IF(tbl_abs[[#This Row],[Distance from Residence to Work]]&lt;=10,"6–10",
IF(tbl_abs[[#This Row],[Distance from Residence to Work]]&lt;=20,"11–20",
"21+"))),"")</f>
        <v>21+</v>
      </c>
      <c r="Y437" s="53" t="str">
        <f>IFERROR(
IF(tbl_abs[[#This Row],[Body Mass Index]]&lt;18.5,"Underweight",
IF(tbl_abs[[#This Row],[Body Mass Index]]&lt;25,"Normal",
IF(tbl_abs[[#This Row],[Body Mass Index]]&lt;30,"Overweight",
"Obese"))),"")</f>
        <v>Normal</v>
      </c>
      <c r="Z437" s="53" t="str">
        <f>IFERROR(
IF(tbl_abs[[#This Row],[Absenteeism time in hours]]&lt;=2,"0–2",
IF(tbl_abs[[#This Row],[Absenteeism time in hours]]&lt;=8,"3–8",
IF(tbl_abs[[#This Row],[Absenteeism time in hours]]&lt;=16,"9–16",
"17+"))),"")</f>
        <v>0–2</v>
      </c>
    </row>
    <row r="438" spans="1:26" ht="15" customHeight="1" x14ac:dyDescent="0.3">
      <c r="A438">
        <v>15</v>
      </c>
      <c r="B438">
        <v>28</v>
      </c>
      <c r="C438" s="1">
        <v>7</v>
      </c>
      <c r="D438">
        <v>5</v>
      </c>
      <c r="E438">
        <v>1</v>
      </c>
      <c r="F438">
        <v>291</v>
      </c>
      <c r="G438" s="1">
        <v>31</v>
      </c>
      <c r="H438">
        <v>12</v>
      </c>
      <c r="I438" s="1">
        <v>40</v>
      </c>
      <c r="J438" s="2">
        <v>230290</v>
      </c>
      <c r="K438">
        <v>92</v>
      </c>
      <c r="L438">
        <v>0</v>
      </c>
      <c r="M438">
        <v>1</v>
      </c>
      <c r="N438">
        <v>1</v>
      </c>
      <c r="O438">
        <v>1</v>
      </c>
      <c r="P438">
        <v>0</v>
      </c>
      <c r="Q438">
        <v>1</v>
      </c>
      <c r="R438">
        <v>73</v>
      </c>
      <c r="S438">
        <v>171</v>
      </c>
      <c r="T438">
        <v>25</v>
      </c>
      <c r="U438">
        <v>1</v>
      </c>
      <c r="V438" s="53" t="str">
        <f>IFERROR(
IF(tbl_abs[[#This Row],[Month of absence]]=0,"Unknown",
CHOOSE(tbl_abs[[#This Row],[Month of absence]],
"Jan","Feb","Mar","Apr","May","Jun","Jul","Aug","Sep","Oct","Nov","Dec")),"")</f>
        <v>Jul</v>
      </c>
      <c r="W438" s="53" t="str">
        <f>IFERROR(
IF(tbl_abs[[#This Row],[Age]]&lt;30,"&lt;30",
IF(tbl_abs[[#This Row],[Age]]&lt;40,"30–39",
IF(tbl_abs[[#This Row],[Age]]&lt;50,"40–49",
IF(tbl_abs[[#This Row],[Age]]&lt;60,"50–59",
"60+")))),"")</f>
        <v>40–49</v>
      </c>
      <c r="X438" s="53" t="str">
        <f>IFERROR(
IF(tbl_abs[[#This Row],[Distance from Residence to Work]]&lt;=5,"0–5",
IF(tbl_abs[[#This Row],[Distance from Residence to Work]]&lt;=10,"6–10",
IF(tbl_abs[[#This Row],[Distance from Residence to Work]]&lt;=20,"11–20",
"21+"))),"")</f>
        <v>21+</v>
      </c>
      <c r="Y438" s="53" t="str">
        <f>IFERROR(
IF(tbl_abs[[#This Row],[Body Mass Index]]&lt;18.5,"Underweight",
IF(tbl_abs[[#This Row],[Body Mass Index]]&lt;25,"Normal",
IF(tbl_abs[[#This Row],[Body Mass Index]]&lt;30,"Overweight",
"Obese"))),"")</f>
        <v>Overweight</v>
      </c>
      <c r="Z438" s="53" t="str">
        <f>IFERROR(
IF(tbl_abs[[#This Row],[Absenteeism time in hours]]&lt;=2,"0–2",
IF(tbl_abs[[#This Row],[Absenteeism time in hours]]&lt;=8,"3–8",
IF(tbl_abs[[#This Row],[Absenteeism time in hours]]&lt;=16,"9–16",
"17+"))),"")</f>
        <v>0–2</v>
      </c>
    </row>
    <row r="439" spans="1:26" ht="15" customHeight="1" x14ac:dyDescent="0.3">
      <c r="A439">
        <v>7</v>
      </c>
      <c r="B439">
        <v>23</v>
      </c>
      <c r="C439" s="1">
        <v>7</v>
      </c>
      <c r="D439">
        <v>5</v>
      </c>
      <c r="E439">
        <v>1</v>
      </c>
      <c r="F439">
        <v>279</v>
      </c>
      <c r="G439" s="1">
        <v>5</v>
      </c>
      <c r="H439">
        <v>14</v>
      </c>
      <c r="I439" s="1">
        <v>39</v>
      </c>
      <c r="J439" s="2">
        <v>230290</v>
      </c>
      <c r="K439">
        <v>92</v>
      </c>
      <c r="L439">
        <v>0</v>
      </c>
      <c r="M439">
        <v>1</v>
      </c>
      <c r="N439">
        <v>2</v>
      </c>
      <c r="O439">
        <v>1</v>
      </c>
      <c r="P439">
        <v>1</v>
      </c>
      <c r="Q439">
        <v>0</v>
      </c>
      <c r="R439">
        <v>68</v>
      </c>
      <c r="S439">
        <v>168</v>
      </c>
      <c r="T439">
        <v>24</v>
      </c>
      <c r="U439">
        <v>2</v>
      </c>
      <c r="V439" s="53" t="str">
        <f>IFERROR(
IF(tbl_abs[[#This Row],[Month of absence]]=0,"Unknown",
CHOOSE(tbl_abs[[#This Row],[Month of absence]],
"Jan","Feb","Mar","Apr","May","Jun","Jul","Aug","Sep","Oct","Nov","Dec")),"")</f>
        <v>Jul</v>
      </c>
      <c r="W439" s="53" t="str">
        <f>IFERROR(
IF(tbl_abs[[#This Row],[Age]]&lt;30,"&lt;30",
IF(tbl_abs[[#This Row],[Age]]&lt;40,"30–39",
IF(tbl_abs[[#This Row],[Age]]&lt;50,"40–49",
IF(tbl_abs[[#This Row],[Age]]&lt;60,"50–59",
"60+")))),"")</f>
        <v>30–39</v>
      </c>
      <c r="X439" s="53" t="str">
        <f>IFERROR(
IF(tbl_abs[[#This Row],[Distance from Residence to Work]]&lt;=5,"0–5",
IF(tbl_abs[[#This Row],[Distance from Residence to Work]]&lt;=10,"6–10",
IF(tbl_abs[[#This Row],[Distance from Residence to Work]]&lt;=20,"11–20",
"21+"))),"")</f>
        <v>0–5</v>
      </c>
      <c r="Y439" s="53" t="str">
        <f>IFERROR(
IF(tbl_abs[[#This Row],[Body Mass Index]]&lt;18.5,"Underweight",
IF(tbl_abs[[#This Row],[Body Mass Index]]&lt;25,"Normal",
IF(tbl_abs[[#This Row],[Body Mass Index]]&lt;30,"Overweight",
"Obese"))),"")</f>
        <v>Normal</v>
      </c>
      <c r="Z439" s="53" t="str">
        <f>IFERROR(
IF(tbl_abs[[#This Row],[Absenteeism time in hours]]&lt;=2,"0–2",
IF(tbl_abs[[#This Row],[Absenteeism time in hours]]&lt;=8,"3–8",
IF(tbl_abs[[#This Row],[Absenteeism time in hours]]&lt;=16,"9–16",
"17+"))),"")</f>
        <v>0–2</v>
      </c>
    </row>
    <row r="440" spans="1:26" ht="15" customHeight="1" x14ac:dyDescent="0.3">
      <c r="A440">
        <v>5</v>
      </c>
      <c r="B440">
        <v>26</v>
      </c>
      <c r="C440" s="1">
        <v>7</v>
      </c>
      <c r="D440">
        <v>4</v>
      </c>
      <c r="E440">
        <v>1</v>
      </c>
      <c r="F440">
        <v>235</v>
      </c>
      <c r="G440" s="1">
        <v>20</v>
      </c>
      <c r="H440">
        <v>13</v>
      </c>
      <c r="I440" s="1">
        <v>43</v>
      </c>
      <c r="J440" s="2">
        <v>264604</v>
      </c>
      <c r="K440">
        <v>93</v>
      </c>
      <c r="L440">
        <v>0</v>
      </c>
      <c r="M440">
        <v>1</v>
      </c>
      <c r="N440">
        <v>1</v>
      </c>
      <c r="O440">
        <v>1</v>
      </c>
      <c r="P440">
        <v>0</v>
      </c>
      <c r="Q440">
        <v>0</v>
      </c>
      <c r="R440">
        <v>106</v>
      </c>
      <c r="S440">
        <v>167</v>
      </c>
      <c r="T440">
        <v>38</v>
      </c>
      <c r="U440">
        <v>4</v>
      </c>
      <c r="V440" s="53" t="str">
        <f>IFERROR(
IF(tbl_abs[[#This Row],[Month of absence]]=0,"Unknown",
CHOOSE(tbl_abs[[#This Row],[Month of absence]],
"Jan","Feb","Mar","Apr","May","Jun","Jul","Aug","Sep","Oct","Nov","Dec")),"")</f>
        <v>Jul</v>
      </c>
      <c r="W440" s="53" t="str">
        <f>IFERROR(
IF(tbl_abs[[#This Row],[Age]]&lt;30,"&lt;30",
IF(tbl_abs[[#This Row],[Age]]&lt;40,"30–39",
IF(tbl_abs[[#This Row],[Age]]&lt;50,"40–49",
IF(tbl_abs[[#This Row],[Age]]&lt;60,"50–59",
"60+")))),"")</f>
        <v>40–49</v>
      </c>
      <c r="X440" s="53" t="str">
        <f>IFERROR(
IF(tbl_abs[[#This Row],[Distance from Residence to Work]]&lt;=5,"0–5",
IF(tbl_abs[[#This Row],[Distance from Residence to Work]]&lt;=10,"6–10",
IF(tbl_abs[[#This Row],[Distance from Residence to Work]]&lt;=20,"11–20",
"21+"))),"")</f>
        <v>11–20</v>
      </c>
      <c r="Y440" s="53" t="str">
        <f>IFERROR(
IF(tbl_abs[[#This Row],[Body Mass Index]]&lt;18.5,"Underweight",
IF(tbl_abs[[#This Row],[Body Mass Index]]&lt;25,"Normal",
IF(tbl_abs[[#This Row],[Body Mass Index]]&lt;30,"Overweight",
"Obese"))),"")</f>
        <v>Obese</v>
      </c>
      <c r="Z440" s="53" t="str">
        <f>IFERROR(
IF(tbl_abs[[#This Row],[Absenteeism time in hours]]&lt;=2,"0–2",
IF(tbl_abs[[#This Row],[Absenteeism time in hours]]&lt;=8,"3–8",
IF(tbl_abs[[#This Row],[Absenteeism time in hours]]&lt;=16,"9–16",
"17+"))),"")</f>
        <v>3–8</v>
      </c>
    </row>
    <row r="441" spans="1:26" ht="15" customHeight="1" x14ac:dyDescent="0.3">
      <c r="A441">
        <v>12</v>
      </c>
      <c r="B441">
        <v>19</v>
      </c>
      <c r="C441" s="1">
        <v>7</v>
      </c>
      <c r="D441">
        <v>6</v>
      </c>
      <c r="E441">
        <v>1</v>
      </c>
      <c r="F441">
        <v>233</v>
      </c>
      <c r="G441" s="1">
        <v>51</v>
      </c>
      <c r="H441">
        <v>1</v>
      </c>
      <c r="I441" s="1">
        <v>31</v>
      </c>
      <c r="J441" s="2">
        <v>264604</v>
      </c>
      <c r="K441">
        <v>93</v>
      </c>
      <c r="L441">
        <v>0</v>
      </c>
      <c r="M441">
        <v>2</v>
      </c>
      <c r="N441">
        <v>1</v>
      </c>
      <c r="O441">
        <v>1</v>
      </c>
      <c r="P441">
        <v>0</v>
      </c>
      <c r="Q441">
        <v>8</v>
      </c>
      <c r="R441">
        <v>68</v>
      </c>
      <c r="S441">
        <v>178</v>
      </c>
      <c r="T441">
        <v>21</v>
      </c>
      <c r="U441">
        <v>2</v>
      </c>
      <c r="V441" s="53" t="str">
        <f>IFERROR(
IF(tbl_abs[[#This Row],[Month of absence]]=0,"Unknown",
CHOOSE(tbl_abs[[#This Row],[Month of absence]],
"Jan","Feb","Mar","Apr","May","Jun","Jul","Aug","Sep","Oct","Nov","Dec")),"")</f>
        <v>Jul</v>
      </c>
      <c r="W441" s="53" t="str">
        <f>IFERROR(
IF(tbl_abs[[#This Row],[Age]]&lt;30,"&lt;30",
IF(tbl_abs[[#This Row],[Age]]&lt;40,"30–39",
IF(tbl_abs[[#This Row],[Age]]&lt;50,"40–49",
IF(tbl_abs[[#This Row],[Age]]&lt;60,"50–59",
"60+")))),"")</f>
        <v>30–39</v>
      </c>
      <c r="X441" s="53" t="str">
        <f>IFERROR(
IF(tbl_abs[[#This Row],[Distance from Residence to Work]]&lt;=5,"0–5",
IF(tbl_abs[[#This Row],[Distance from Residence to Work]]&lt;=10,"6–10",
IF(tbl_abs[[#This Row],[Distance from Residence to Work]]&lt;=20,"11–20",
"21+"))),"")</f>
        <v>21+</v>
      </c>
      <c r="Y441" s="53" t="str">
        <f>IFERROR(
IF(tbl_abs[[#This Row],[Body Mass Index]]&lt;18.5,"Underweight",
IF(tbl_abs[[#This Row],[Body Mass Index]]&lt;25,"Normal",
IF(tbl_abs[[#This Row],[Body Mass Index]]&lt;30,"Overweight",
"Obese"))),"")</f>
        <v>Normal</v>
      </c>
      <c r="Z441" s="53" t="str">
        <f>IFERROR(
IF(tbl_abs[[#This Row],[Absenteeism time in hours]]&lt;=2,"0–2",
IF(tbl_abs[[#This Row],[Absenteeism time in hours]]&lt;=8,"3–8",
IF(tbl_abs[[#This Row],[Absenteeism time in hours]]&lt;=16,"9–16",
"17+"))),"")</f>
        <v>0–2</v>
      </c>
    </row>
    <row r="442" spans="1:26" ht="15" customHeight="1" x14ac:dyDescent="0.3">
      <c r="A442">
        <v>9</v>
      </c>
      <c r="B442">
        <v>6</v>
      </c>
      <c r="C442" s="1">
        <v>7</v>
      </c>
      <c r="D442">
        <v>2</v>
      </c>
      <c r="E442">
        <v>1</v>
      </c>
      <c r="F442">
        <v>228</v>
      </c>
      <c r="G442" s="1">
        <v>14</v>
      </c>
      <c r="H442">
        <v>16</v>
      </c>
      <c r="I442" s="1">
        <v>58</v>
      </c>
      <c r="J442" s="2">
        <v>264604</v>
      </c>
      <c r="K442">
        <v>93</v>
      </c>
      <c r="L442">
        <v>0</v>
      </c>
      <c r="M442">
        <v>1</v>
      </c>
      <c r="N442">
        <v>2</v>
      </c>
      <c r="O442">
        <v>0</v>
      </c>
      <c r="P442">
        <v>0</v>
      </c>
      <c r="Q442">
        <v>1</v>
      </c>
      <c r="R442">
        <v>65</v>
      </c>
      <c r="S442">
        <v>172</v>
      </c>
      <c r="T442">
        <v>22</v>
      </c>
      <c r="U442">
        <v>8</v>
      </c>
      <c r="V442" s="53" t="str">
        <f>IFERROR(
IF(tbl_abs[[#This Row],[Month of absence]]=0,"Unknown",
CHOOSE(tbl_abs[[#This Row],[Month of absence]],
"Jan","Feb","Mar","Apr","May","Jun","Jul","Aug","Sep","Oct","Nov","Dec")),"")</f>
        <v>Jul</v>
      </c>
      <c r="W442" s="53" t="str">
        <f>IFERROR(
IF(tbl_abs[[#This Row],[Age]]&lt;30,"&lt;30",
IF(tbl_abs[[#This Row],[Age]]&lt;40,"30–39",
IF(tbl_abs[[#This Row],[Age]]&lt;50,"40–49",
IF(tbl_abs[[#This Row],[Age]]&lt;60,"50–59",
"60+")))),"")</f>
        <v>50–59</v>
      </c>
      <c r="X442" s="53" t="str">
        <f>IFERROR(
IF(tbl_abs[[#This Row],[Distance from Residence to Work]]&lt;=5,"0–5",
IF(tbl_abs[[#This Row],[Distance from Residence to Work]]&lt;=10,"6–10",
IF(tbl_abs[[#This Row],[Distance from Residence to Work]]&lt;=20,"11–20",
"21+"))),"")</f>
        <v>11–20</v>
      </c>
      <c r="Y442" s="53" t="str">
        <f>IFERROR(
IF(tbl_abs[[#This Row],[Body Mass Index]]&lt;18.5,"Underweight",
IF(tbl_abs[[#This Row],[Body Mass Index]]&lt;25,"Normal",
IF(tbl_abs[[#This Row],[Body Mass Index]]&lt;30,"Overweight",
"Obese"))),"")</f>
        <v>Normal</v>
      </c>
      <c r="Z442" s="53" t="str">
        <f>IFERROR(
IF(tbl_abs[[#This Row],[Absenteeism time in hours]]&lt;=2,"0–2",
IF(tbl_abs[[#This Row],[Absenteeism time in hours]]&lt;=8,"3–8",
IF(tbl_abs[[#This Row],[Absenteeism time in hours]]&lt;=16,"9–16",
"17+"))),"")</f>
        <v>3–8</v>
      </c>
    </row>
    <row r="443" spans="1:26" ht="15" customHeight="1" x14ac:dyDescent="0.3">
      <c r="A443">
        <v>34</v>
      </c>
      <c r="B443">
        <v>28</v>
      </c>
      <c r="C443" s="1">
        <v>7</v>
      </c>
      <c r="D443">
        <v>2</v>
      </c>
      <c r="E443">
        <v>1</v>
      </c>
      <c r="F443">
        <v>118</v>
      </c>
      <c r="G443" s="1">
        <v>10</v>
      </c>
      <c r="H443">
        <v>10</v>
      </c>
      <c r="I443" s="1">
        <v>37</v>
      </c>
      <c r="J443" s="2">
        <v>264604</v>
      </c>
      <c r="K443">
        <v>93</v>
      </c>
      <c r="L443">
        <v>0</v>
      </c>
      <c r="M443">
        <v>1</v>
      </c>
      <c r="N443">
        <v>0</v>
      </c>
      <c r="O443">
        <v>0</v>
      </c>
      <c r="P443">
        <v>0</v>
      </c>
      <c r="Q443">
        <v>0</v>
      </c>
      <c r="R443">
        <v>83</v>
      </c>
      <c r="S443">
        <v>172</v>
      </c>
      <c r="T443">
        <v>28</v>
      </c>
      <c r="U443">
        <v>4</v>
      </c>
      <c r="V443" s="53" t="str">
        <f>IFERROR(
IF(tbl_abs[[#This Row],[Month of absence]]=0,"Unknown",
CHOOSE(tbl_abs[[#This Row],[Month of absence]],
"Jan","Feb","Mar","Apr","May","Jun","Jul","Aug","Sep","Oct","Nov","Dec")),"")</f>
        <v>Jul</v>
      </c>
      <c r="W443" s="53" t="str">
        <f>IFERROR(
IF(tbl_abs[[#This Row],[Age]]&lt;30,"&lt;30",
IF(tbl_abs[[#This Row],[Age]]&lt;40,"30–39",
IF(tbl_abs[[#This Row],[Age]]&lt;50,"40–49",
IF(tbl_abs[[#This Row],[Age]]&lt;60,"50–59",
"60+")))),"")</f>
        <v>30–39</v>
      </c>
      <c r="X443" s="53" t="str">
        <f>IFERROR(
IF(tbl_abs[[#This Row],[Distance from Residence to Work]]&lt;=5,"0–5",
IF(tbl_abs[[#This Row],[Distance from Residence to Work]]&lt;=10,"6–10",
IF(tbl_abs[[#This Row],[Distance from Residence to Work]]&lt;=20,"11–20",
"21+"))),"")</f>
        <v>6–10</v>
      </c>
      <c r="Y443" s="53" t="str">
        <f>IFERROR(
IF(tbl_abs[[#This Row],[Body Mass Index]]&lt;18.5,"Underweight",
IF(tbl_abs[[#This Row],[Body Mass Index]]&lt;25,"Normal",
IF(tbl_abs[[#This Row],[Body Mass Index]]&lt;30,"Overweight",
"Obese"))),"")</f>
        <v>Overweight</v>
      </c>
      <c r="Z443" s="53" t="str">
        <f>IFERROR(
IF(tbl_abs[[#This Row],[Absenteeism time in hours]]&lt;=2,"0–2",
IF(tbl_abs[[#This Row],[Absenteeism time in hours]]&lt;=8,"3–8",
IF(tbl_abs[[#This Row],[Absenteeism time in hours]]&lt;=16,"9–16",
"17+"))),"")</f>
        <v>3–8</v>
      </c>
    </row>
    <row r="444" spans="1:26" ht="15" customHeight="1" x14ac:dyDescent="0.3">
      <c r="A444">
        <v>9</v>
      </c>
      <c r="B444">
        <v>6</v>
      </c>
      <c r="C444" s="1">
        <v>7</v>
      </c>
      <c r="D444">
        <v>3</v>
      </c>
      <c r="E444">
        <v>1</v>
      </c>
      <c r="F444">
        <v>228</v>
      </c>
      <c r="G444" s="1">
        <v>14</v>
      </c>
      <c r="H444">
        <v>16</v>
      </c>
      <c r="I444" s="1">
        <v>58</v>
      </c>
      <c r="J444" s="2">
        <v>264604</v>
      </c>
      <c r="K444">
        <v>93</v>
      </c>
      <c r="L444">
        <v>0</v>
      </c>
      <c r="M444">
        <v>1</v>
      </c>
      <c r="N444">
        <v>2</v>
      </c>
      <c r="O444">
        <v>0</v>
      </c>
      <c r="P444">
        <v>0</v>
      </c>
      <c r="Q444">
        <v>1</v>
      </c>
      <c r="R444">
        <v>65</v>
      </c>
      <c r="S444">
        <v>172</v>
      </c>
      <c r="T444">
        <v>22</v>
      </c>
      <c r="U444">
        <v>120</v>
      </c>
      <c r="V444" s="53" t="str">
        <f>IFERROR(
IF(tbl_abs[[#This Row],[Month of absence]]=0,"Unknown",
CHOOSE(tbl_abs[[#This Row],[Month of absence]],
"Jan","Feb","Mar","Apr","May","Jun","Jul","Aug","Sep","Oct","Nov","Dec")),"")</f>
        <v>Jul</v>
      </c>
      <c r="W444" s="53" t="str">
        <f>IFERROR(
IF(tbl_abs[[#This Row],[Age]]&lt;30,"&lt;30",
IF(tbl_abs[[#This Row],[Age]]&lt;40,"30–39",
IF(tbl_abs[[#This Row],[Age]]&lt;50,"40–49",
IF(tbl_abs[[#This Row],[Age]]&lt;60,"50–59",
"60+")))),"")</f>
        <v>50–59</v>
      </c>
      <c r="X444" s="53" t="str">
        <f>IFERROR(
IF(tbl_abs[[#This Row],[Distance from Residence to Work]]&lt;=5,"0–5",
IF(tbl_abs[[#This Row],[Distance from Residence to Work]]&lt;=10,"6–10",
IF(tbl_abs[[#This Row],[Distance from Residence to Work]]&lt;=20,"11–20",
"21+"))),"")</f>
        <v>11–20</v>
      </c>
      <c r="Y444" s="53" t="str">
        <f>IFERROR(
IF(tbl_abs[[#This Row],[Body Mass Index]]&lt;18.5,"Underweight",
IF(tbl_abs[[#This Row],[Body Mass Index]]&lt;25,"Normal",
IF(tbl_abs[[#This Row],[Body Mass Index]]&lt;30,"Overweight",
"Obese"))),"")</f>
        <v>Normal</v>
      </c>
      <c r="Z444" s="53" t="str">
        <f>IFERROR(
IF(tbl_abs[[#This Row],[Absenteeism time in hours]]&lt;=2,"0–2",
IF(tbl_abs[[#This Row],[Absenteeism time in hours]]&lt;=8,"3–8",
IF(tbl_abs[[#This Row],[Absenteeism time in hours]]&lt;=16,"9–16",
"17+"))),"")</f>
        <v>17+</v>
      </c>
    </row>
    <row r="445" spans="1:26" ht="15" customHeight="1" x14ac:dyDescent="0.3">
      <c r="A445">
        <v>6</v>
      </c>
      <c r="B445">
        <v>22</v>
      </c>
      <c r="C445" s="1">
        <v>7</v>
      </c>
      <c r="D445">
        <v>3</v>
      </c>
      <c r="E445">
        <v>1</v>
      </c>
      <c r="F445">
        <v>189</v>
      </c>
      <c r="G445" s="1">
        <v>29</v>
      </c>
      <c r="H445">
        <v>13</v>
      </c>
      <c r="I445" s="1">
        <v>33</v>
      </c>
      <c r="J445" s="2">
        <v>264604</v>
      </c>
      <c r="K445">
        <v>93</v>
      </c>
      <c r="L445">
        <v>0</v>
      </c>
      <c r="M445">
        <v>1</v>
      </c>
      <c r="N445">
        <v>2</v>
      </c>
      <c r="O445">
        <v>0</v>
      </c>
      <c r="P445">
        <v>0</v>
      </c>
      <c r="Q445">
        <v>2</v>
      </c>
      <c r="R445">
        <v>69</v>
      </c>
      <c r="S445">
        <v>167</v>
      </c>
      <c r="T445">
        <v>25</v>
      </c>
      <c r="U445">
        <v>16</v>
      </c>
      <c r="V445" s="53" t="str">
        <f>IFERROR(
IF(tbl_abs[[#This Row],[Month of absence]]=0,"Unknown",
CHOOSE(tbl_abs[[#This Row],[Month of absence]],
"Jan","Feb","Mar","Apr","May","Jun","Jul","Aug","Sep","Oct","Nov","Dec")),"")</f>
        <v>Jul</v>
      </c>
      <c r="W445" s="53" t="str">
        <f>IFERROR(
IF(tbl_abs[[#This Row],[Age]]&lt;30,"&lt;30",
IF(tbl_abs[[#This Row],[Age]]&lt;40,"30–39",
IF(tbl_abs[[#This Row],[Age]]&lt;50,"40–49",
IF(tbl_abs[[#This Row],[Age]]&lt;60,"50–59",
"60+")))),"")</f>
        <v>30–39</v>
      </c>
      <c r="X445" s="53" t="str">
        <f>IFERROR(
IF(tbl_abs[[#This Row],[Distance from Residence to Work]]&lt;=5,"0–5",
IF(tbl_abs[[#This Row],[Distance from Residence to Work]]&lt;=10,"6–10",
IF(tbl_abs[[#This Row],[Distance from Residence to Work]]&lt;=20,"11–20",
"21+"))),"")</f>
        <v>21+</v>
      </c>
      <c r="Y445" s="53" t="str">
        <f>IFERROR(
IF(tbl_abs[[#This Row],[Body Mass Index]]&lt;18.5,"Underweight",
IF(tbl_abs[[#This Row],[Body Mass Index]]&lt;25,"Normal",
IF(tbl_abs[[#This Row],[Body Mass Index]]&lt;30,"Overweight",
"Obese"))),"")</f>
        <v>Overweight</v>
      </c>
      <c r="Z445" s="53" t="str">
        <f>IFERROR(
IF(tbl_abs[[#This Row],[Absenteeism time in hours]]&lt;=2,"0–2",
IF(tbl_abs[[#This Row],[Absenteeism time in hours]]&lt;=8,"3–8",
IF(tbl_abs[[#This Row],[Absenteeism time in hours]]&lt;=16,"9–16",
"17+"))),"")</f>
        <v>9–16</v>
      </c>
    </row>
    <row r="446" spans="1:26" ht="15" customHeight="1" x14ac:dyDescent="0.3">
      <c r="A446">
        <v>34</v>
      </c>
      <c r="B446">
        <v>23</v>
      </c>
      <c r="C446" s="1">
        <v>7</v>
      </c>
      <c r="D446">
        <v>4</v>
      </c>
      <c r="E446">
        <v>1</v>
      </c>
      <c r="F446">
        <v>118</v>
      </c>
      <c r="G446" s="1">
        <v>10</v>
      </c>
      <c r="H446">
        <v>10</v>
      </c>
      <c r="I446" s="1">
        <v>37</v>
      </c>
      <c r="J446" s="2">
        <v>264604</v>
      </c>
      <c r="K446">
        <v>93</v>
      </c>
      <c r="L446">
        <v>0</v>
      </c>
      <c r="M446">
        <v>1</v>
      </c>
      <c r="N446">
        <v>0</v>
      </c>
      <c r="O446">
        <v>0</v>
      </c>
      <c r="P446">
        <v>0</v>
      </c>
      <c r="Q446">
        <v>0</v>
      </c>
      <c r="R446">
        <v>83</v>
      </c>
      <c r="S446">
        <v>172</v>
      </c>
      <c r="T446">
        <v>28</v>
      </c>
      <c r="U446">
        <v>2</v>
      </c>
      <c r="V446" s="53" t="str">
        <f>IFERROR(
IF(tbl_abs[[#This Row],[Month of absence]]=0,"Unknown",
CHOOSE(tbl_abs[[#This Row],[Month of absence]],
"Jan","Feb","Mar","Apr","May","Jun","Jul","Aug","Sep","Oct","Nov","Dec")),"")</f>
        <v>Jul</v>
      </c>
      <c r="W446" s="53" t="str">
        <f>IFERROR(
IF(tbl_abs[[#This Row],[Age]]&lt;30,"&lt;30",
IF(tbl_abs[[#This Row],[Age]]&lt;40,"30–39",
IF(tbl_abs[[#This Row],[Age]]&lt;50,"40–49",
IF(tbl_abs[[#This Row],[Age]]&lt;60,"50–59",
"60+")))),"")</f>
        <v>30–39</v>
      </c>
      <c r="X446" s="53" t="str">
        <f>IFERROR(
IF(tbl_abs[[#This Row],[Distance from Residence to Work]]&lt;=5,"0–5",
IF(tbl_abs[[#This Row],[Distance from Residence to Work]]&lt;=10,"6–10",
IF(tbl_abs[[#This Row],[Distance from Residence to Work]]&lt;=20,"11–20",
"21+"))),"")</f>
        <v>6–10</v>
      </c>
      <c r="Y446" s="53" t="str">
        <f>IFERROR(
IF(tbl_abs[[#This Row],[Body Mass Index]]&lt;18.5,"Underweight",
IF(tbl_abs[[#This Row],[Body Mass Index]]&lt;25,"Normal",
IF(tbl_abs[[#This Row],[Body Mass Index]]&lt;30,"Overweight",
"Obese"))),"")</f>
        <v>Overweight</v>
      </c>
      <c r="Z446" s="53" t="str">
        <f>IFERROR(
IF(tbl_abs[[#This Row],[Absenteeism time in hours]]&lt;=2,"0–2",
IF(tbl_abs[[#This Row],[Absenteeism time in hours]]&lt;=8,"3–8",
IF(tbl_abs[[#This Row],[Absenteeism time in hours]]&lt;=16,"9–16",
"17+"))),"")</f>
        <v>0–2</v>
      </c>
    </row>
    <row r="447" spans="1:26" ht="15" customHeight="1" x14ac:dyDescent="0.3">
      <c r="A447">
        <v>10</v>
      </c>
      <c r="B447">
        <v>22</v>
      </c>
      <c r="C447" s="1">
        <v>7</v>
      </c>
      <c r="D447">
        <v>4</v>
      </c>
      <c r="E447">
        <v>1</v>
      </c>
      <c r="F447">
        <v>361</v>
      </c>
      <c r="G447" s="1">
        <v>52</v>
      </c>
      <c r="H447">
        <v>3</v>
      </c>
      <c r="I447" s="1">
        <v>28</v>
      </c>
      <c r="J447" s="2">
        <v>264604</v>
      </c>
      <c r="K447">
        <v>93</v>
      </c>
      <c r="L447">
        <v>0</v>
      </c>
      <c r="M447">
        <v>1</v>
      </c>
      <c r="N447">
        <v>1</v>
      </c>
      <c r="O447">
        <v>1</v>
      </c>
      <c r="P447">
        <v>0</v>
      </c>
      <c r="Q447">
        <v>4</v>
      </c>
      <c r="R447">
        <v>80</v>
      </c>
      <c r="S447">
        <v>172</v>
      </c>
      <c r="T447">
        <v>27</v>
      </c>
      <c r="U447">
        <v>8</v>
      </c>
      <c r="V447" s="53" t="str">
        <f>IFERROR(
IF(tbl_abs[[#This Row],[Month of absence]]=0,"Unknown",
CHOOSE(tbl_abs[[#This Row],[Month of absence]],
"Jan","Feb","Mar","Apr","May","Jun","Jul","Aug","Sep","Oct","Nov","Dec")),"")</f>
        <v>Jul</v>
      </c>
      <c r="W447" s="53" t="str">
        <f>IFERROR(
IF(tbl_abs[[#This Row],[Age]]&lt;30,"&lt;30",
IF(tbl_abs[[#This Row],[Age]]&lt;40,"30–39",
IF(tbl_abs[[#This Row],[Age]]&lt;50,"40–49",
IF(tbl_abs[[#This Row],[Age]]&lt;60,"50–59",
"60+")))),"")</f>
        <v>&lt;30</v>
      </c>
      <c r="X447" s="53" t="str">
        <f>IFERROR(
IF(tbl_abs[[#This Row],[Distance from Residence to Work]]&lt;=5,"0–5",
IF(tbl_abs[[#This Row],[Distance from Residence to Work]]&lt;=10,"6–10",
IF(tbl_abs[[#This Row],[Distance from Residence to Work]]&lt;=20,"11–20",
"21+"))),"")</f>
        <v>21+</v>
      </c>
      <c r="Y447" s="53" t="str">
        <f>IFERROR(
IF(tbl_abs[[#This Row],[Body Mass Index]]&lt;18.5,"Underweight",
IF(tbl_abs[[#This Row],[Body Mass Index]]&lt;25,"Normal",
IF(tbl_abs[[#This Row],[Body Mass Index]]&lt;30,"Overweight",
"Obese"))),"")</f>
        <v>Overweight</v>
      </c>
      <c r="Z447" s="53" t="str">
        <f>IFERROR(
IF(tbl_abs[[#This Row],[Absenteeism time in hours]]&lt;=2,"0–2",
IF(tbl_abs[[#This Row],[Absenteeism time in hours]]&lt;=8,"3–8",
IF(tbl_abs[[#This Row],[Absenteeism time in hours]]&lt;=16,"9–16",
"17+"))),"")</f>
        <v>3–8</v>
      </c>
    </row>
    <row r="448" spans="1:26" ht="15" customHeight="1" x14ac:dyDescent="0.3">
      <c r="A448">
        <v>28</v>
      </c>
      <c r="B448">
        <v>22</v>
      </c>
      <c r="C448" s="1">
        <v>7</v>
      </c>
      <c r="D448">
        <v>4</v>
      </c>
      <c r="E448">
        <v>1</v>
      </c>
      <c r="F448">
        <v>225</v>
      </c>
      <c r="G448" s="1">
        <v>26</v>
      </c>
      <c r="H448">
        <v>9</v>
      </c>
      <c r="I448" s="1">
        <v>28</v>
      </c>
      <c r="J448" s="2">
        <v>264604</v>
      </c>
      <c r="K448">
        <v>93</v>
      </c>
      <c r="L448">
        <v>0</v>
      </c>
      <c r="M448">
        <v>1</v>
      </c>
      <c r="N448">
        <v>1</v>
      </c>
      <c r="O448">
        <v>0</v>
      </c>
      <c r="P448">
        <v>0</v>
      </c>
      <c r="Q448">
        <v>2</v>
      </c>
      <c r="R448">
        <v>69</v>
      </c>
      <c r="S448">
        <v>169</v>
      </c>
      <c r="T448">
        <v>24</v>
      </c>
      <c r="U448">
        <v>8</v>
      </c>
      <c r="V448" s="53" t="str">
        <f>IFERROR(
IF(tbl_abs[[#This Row],[Month of absence]]=0,"Unknown",
CHOOSE(tbl_abs[[#This Row],[Month of absence]],
"Jan","Feb","Mar","Apr","May","Jun","Jul","Aug","Sep","Oct","Nov","Dec")),"")</f>
        <v>Jul</v>
      </c>
      <c r="W448" s="53" t="str">
        <f>IFERROR(
IF(tbl_abs[[#This Row],[Age]]&lt;30,"&lt;30",
IF(tbl_abs[[#This Row],[Age]]&lt;40,"30–39",
IF(tbl_abs[[#This Row],[Age]]&lt;50,"40–49",
IF(tbl_abs[[#This Row],[Age]]&lt;60,"50–59",
"60+")))),"")</f>
        <v>&lt;30</v>
      </c>
      <c r="X448" s="53" t="str">
        <f>IFERROR(
IF(tbl_abs[[#This Row],[Distance from Residence to Work]]&lt;=5,"0–5",
IF(tbl_abs[[#This Row],[Distance from Residence to Work]]&lt;=10,"6–10",
IF(tbl_abs[[#This Row],[Distance from Residence to Work]]&lt;=20,"11–20",
"21+"))),"")</f>
        <v>21+</v>
      </c>
      <c r="Y448" s="53" t="str">
        <f>IFERROR(
IF(tbl_abs[[#This Row],[Body Mass Index]]&lt;18.5,"Underweight",
IF(tbl_abs[[#This Row],[Body Mass Index]]&lt;25,"Normal",
IF(tbl_abs[[#This Row],[Body Mass Index]]&lt;30,"Overweight",
"Obese"))),"")</f>
        <v>Normal</v>
      </c>
      <c r="Z448" s="53" t="str">
        <f>IFERROR(
IF(tbl_abs[[#This Row],[Absenteeism time in hours]]&lt;=2,"0–2",
IF(tbl_abs[[#This Row],[Absenteeism time in hours]]&lt;=8,"3–8",
IF(tbl_abs[[#This Row],[Absenteeism time in hours]]&lt;=16,"9–16",
"17+"))),"")</f>
        <v>3–8</v>
      </c>
    </row>
    <row r="449" spans="1:26" ht="15" customHeight="1" x14ac:dyDescent="0.3">
      <c r="A449">
        <v>13</v>
      </c>
      <c r="B449">
        <v>13</v>
      </c>
      <c r="C449" s="1">
        <v>7</v>
      </c>
      <c r="D449">
        <v>2</v>
      </c>
      <c r="E449">
        <v>1</v>
      </c>
      <c r="F449">
        <v>369</v>
      </c>
      <c r="G449" s="1">
        <v>17</v>
      </c>
      <c r="H449">
        <v>12</v>
      </c>
      <c r="I449" s="1">
        <v>31</v>
      </c>
      <c r="J449" s="2">
        <v>264604</v>
      </c>
      <c r="K449">
        <v>93</v>
      </c>
      <c r="L449">
        <v>0</v>
      </c>
      <c r="M449">
        <v>1</v>
      </c>
      <c r="N449">
        <v>3</v>
      </c>
      <c r="O449">
        <v>1</v>
      </c>
      <c r="P449">
        <v>0</v>
      </c>
      <c r="Q449">
        <v>0</v>
      </c>
      <c r="R449">
        <v>70</v>
      </c>
      <c r="S449">
        <v>169</v>
      </c>
      <c r="T449">
        <v>25</v>
      </c>
      <c r="U449">
        <v>80</v>
      </c>
      <c r="V449" s="53" t="str">
        <f>IFERROR(
IF(tbl_abs[[#This Row],[Month of absence]]=0,"Unknown",
CHOOSE(tbl_abs[[#This Row],[Month of absence]],
"Jan","Feb","Mar","Apr","May","Jun","Jul","Aug","Sep","Oct","Nov","Dec")),"")</f>
        <v>Jul</v>
      </c>
      <c r="W449" s="53" t="str">
        <f>IFERROR(
IF(tbl_abs[[#This Row],[Age]]&lt;30,"&lt;30",
IF(tbl_abs[[#This Row],[Age]]&lt;40,"30–39",
IF(tbl_abs[[#This Row],[Age]]&lt;50,"40–49",
IF(tbl_abs[[#This Row],[Age]]&lt;60,"50–59",
"60+")))),"")</f>
        <v>30–39</v>
      </c>
      <c r="X449" s="53" t="str">
        <f>IFERROR(
IF(tbl_abs[[#This Row],[Distance from Residence to Work]]&lt;=5,"0–5",
IF(tbl_abs[[#This Row],[Distance from Residence to Work]]&lt;=10,"6–10",
IF(tbl_abs[[#This Row],[Distance from Residence to Work]]&lt;=20,"11–20",
"21+"))),"")</f>
        <v>11–20</v>
      </c>
      <c r="Y449" s="53" t="str">
        <f>IFERROR(
IF(tbl_abs[[#This Row],[Body Mass Index]]&lt;18.5,"Underweight",
IF(tbl_abs[[#This Row],[Body Mass Index]]&lt;25,"Normal",
IF(tbl_abs[[#This Row],[Body Mass Index]]&lt;30,"Overweight",
"Obese"))),"")</f>
        <v>Overweight</v>
      </c>
      <c r="Z449" s="53" t="str">
        <f>IFERROR(
IF(tbl_abs[[#This Row],[Absenteeism time in hours]]&lt;=2,"0–2",
IF(tbl_abs[[#This Row],[Absenteeism time in hours]]&lt;=8,"3–8",
IF(tbl_abs[[#This Row],[Absenteeism time in hours]]&lt;=16,"9–16",
"17+"))),"")</f>
        <v>17+</v>
      </c>
    </row>
    <row r="450" spans="1:26" ht="15" customHeight="1" x14ac:dyDescent="0.3">
      <c r="A450">
        <v>11</v>
      </c>
      <c r="B450">
        <v>14</v>
      </c>
      <c r="C450" s="1">
        <v>7</v>
      </c>
      <c r="D450">
        <v>3</v>
      </c>
      <c r="E450">
        <v>1</v>
      </c>
      <c r="F450">
        <v>289</v>
      </c>
      <c r="G450" s="1">
        <v>36</v>
      </c>
      <c r="H450">
        <v>13</v>
      </c>
      <c r="I450" s="1">
        <v>33</v>
      </c>
      <c r="J450" s="2">
        <v>264604</v>
      </c>
      <c r="K450">
        <v>93</v>
      </c>
      <c r="L450">
        <v>0</v>
      </c>
      <c r="M450">
        <v>1</v>
      </c>
      <c r="N450">
        <v>2</v>
      </c>
      <c r="O450">
        <v>1</v>
      </c>
      <c r="P450">
        <v>0</v>
      </c>
      <c r="Q450">
        <v>1</v>
      </c>
      <c r="R450">
        <v>90</v>
      </c>
      <c r="S450">
        <v>172</v>
      </c>
      <c r="T450">
        <v>30</v>
      </c>
      <c r="U450">
        <v>8</v>
      </c>
      <c r="V450" s="53" t="str">
        <f>IFERROR(
IF(tbl_abs[[#This Row],[Month of absence]]=0,"Unknown",
CHOOSE(tbl_abs[[#This Row],[Month of absence]],
"Jan","Feb","Mar","Apr","May","Jun","Jul","Aug","Sep","Oct","Nov","Dec")),"")</f>
        <v>Jul</v>
      </c>
      <c r="W450" s="53" t="str">
        <f>IFERROR(
IF(tbl_abs[[#This Row],[Age]]&lt;30,"&lt;30",
IF(tbl_abs[[#This Row],[Age]]&lt;40,"30–39",
IF(tbl_abs[[#This Row],[Age]]&lt;50,"40–49",
IF(tbl_abs[[#This Row],[Age]]&lt;60,"50–59",
"60+")))),"")</f>
        <v>30–39</v>
      </c>
      <c r="X450" s="53" t="str">
        <f>IFERROR(
IF(tbl_abs[[#This Row],[Distance from Residence to Work]]&lt;=5,"0–5",
IF(tbl_abs[[#This Row],[Distance from Residence to Work]]&lt;=10,"6–10",
IF(tbl_abs[[#This Row],[Distance from Residence to Work]]&lt;=20,"11–20",
"21+"))),"")</f>
        <v>21+</v>
      </c>
      <c r="Y450" s="53" t="str">
        <f>IFERROR(
IF(tbl_abs[[#This Row],[Body Mass Index]]&lt;18.5,"Underweight",
IF(tbl_abs[[#This Row],[Body Mass Index]]&lt;25,"Normal",
IF(tbl_abs[[#This Row],[Body Mass Index]]&lt;30,"Overweight",
"Obese"))),"")</f>
        <v>Obese</v>
      </c>
      <c r="Z450" s="53" t="str">
        <f>IFERROR(
IF(tbl_abs[[#This Row],[Absenteeism time in hours]]&lt;=2,"0–2",
IF(tbl_abs[[#This Row],[Absenteeism time in hours]]&lt;=8,"3–8",
IF(tbl_abs[[#This Row],[Absenteeism time in hours]]&lt;=16,"9–16",
"17+"))),"")</f>
        <v>3–8</v>
      </c>
    </row>
    <row r="451" spans="1:26" ht="15" customHeight="1" x14ac:dyDescent="0.3">
      <c r="A451">
        <v>1</v>
      </c>
      <c r="B451">
        <v>11</v>
      </c>
      <c r="C451" s="1">
        <v>7</v>
      </c>
      <c r="D451">
        <v>3</v>
      </c>
      <c r="E451">
        <v>1</v>
      </c>
      <c r="F451">
        <v>235</v>
      </c>
      <c r="G451" s="1">
        <v>11</v>
      </c>
      <c r="H451">
        <v>14</v>
      </c>
      <c r="I451" s="1">
        <v>37</v>
      </c>
      <c r="J451" s="2">
        <v>264604</v>
      </c>
      <c r="K451">
        <v>93</v>
      </c>
      <c r="L451">
        <v>0</v>
      </c>
      <c r="M451">
        <v>3</v>
      </c>
      <c r="N451">
        <v>1</v>
      </c>
      <c r="O451">
        <v>0</v>
      </c>
      <c r="P451">
        <v>0</v>
      </c>
      <c r="Q451">
        <v>1</v>
      </c>
      <c r="R451">
        <v>88</v>
      </c>
      <c r="S451">
        <v>172</v>
      </c>
      <c r="T451">
        <v>29</v>
      </c>
      <c r="U451">
        <v>4</v>
      </c>
      <c r="V451" s="53" t="str">
        <f>IFERROR(
IF(tbl_abs[[#This Row],[Month of absence]]=0,"Unknown",
CHOOSE(tbl_abs[[#This Row],[Month of absence]],
"Jan","Feb","Mar","Apr","May","Jun","Jul","Aug","Sep","Oct","Nov","Dec")),"")</f>
        <v>Jul</v>
      </c>
      <c r="W451" s="53" t="str">
        <f>IFERROR(
IF(tbl_abs[[#This Row],[Age]]&lt;30,"&lt;30",
IF(tbl_abs[[#This Row],[Age]]&lt;40,"30–39",
IF(tbl_abs[[#This Row],[Age]]&lt;50,"40–49",
IF(tbl_abs[[#This Row],[Age]]&lt;60,"50–59",
"60+")))),"")</f>
        <v>30–39</v>
      </c>
      <c r="X451" s="53" t="str">
        <f>IFERROR(
IF(tbl_abs[[#This Row],[Distance from Residence to Work]]&lt;=5,"0–5",
IF(tbl_abs[[#This Row],[Distance from Residence to Work]]&lt;=10,"6–10",
IF(tbl_abs[[#This Row],[Distance from Residence to Work]]&lt;=20,"11–20",
"21+"))),"")</f>
        <v>11–20</v>
      </c>
      <c r="Y451" s="53" t="str">
        <f>IFERROR(
IF(tbl_abs[[#This Row],[Body Mass Index]]&lt;18.5,"Underweight",
IF(tbl_abs[[#This Row],[Body Mass Index]]&lt;25,"Normal",
IF(tbl_abs[[#This Row],[Body Mass Index]]&lt;30,"Overweight",
"Obese"))),"")</f>
        <v>Overweight</v>
      </c>
      <c r="Z451" s="53" t="str">
        <f>IFERROR(
IF(tbl_abs[[#This Row],[Absenteeism time in hours]]&lt;=2,"0–2",
IF(tbl_abs[[#This Row],[Absenteeism time in hours]]&lt;=8,"3–8",
IF(tbl_abs[[#This Row],[Absenteeism time in hours]]&lt;=16,"9–16",
"17+"))),"")</f>
        <v>3–8</v>
      </c>
    </row>
    <row r="452" spans="1:26" ht="15" customHeight="1" x14ac:dyDescent="0.3">
      <c r="A452">
        <v>33</v>
      </c>
      <c r="B452">
        <v>23</v>
      </c>
      <c r="C452" s="1">
        <v>8</v>
      </c>
      <c r="D452">
        <v>4</v>
      </c>
      <c r="E452">
        <v>1</v>
      </c>
      <c r="F452">
        <v>248</v>
      </c>
      <c r="G452" s="1">
        <v>25</v>
      </c>
      <c r="H452">
        <v>14</v>
      </c>
      <c r="I452" s="1">
        <v>47</v>
      </c>
      <c r="J452" s="2">
        <v>205917</v>
      </c>
      <c r="K452">
        <v>92</v>
      </c>
      <c r="L452">
        <v>0</v>
      </c>
      <c r="M452">
        <v>1</v>
      </c>
      <c r="N452">
        <v>2</v>
      </c>
      <c r="O452">
        <v>0</v>
      </c>
      <c r="P452">
        <v>0</v>
      </c>
      <c r="Q452">
        <v>1</v>
      </c>
      <c r="R452">
        <v>86</v>
      </c>
      <c r="S452">
        <v>165</v>
      </c>
      <c r="T452">
        <v>32</v>
      </c>
      <c r="U452">
        <v>2</v>
      </c>
      <c r="V452" s="53" t="str">
        <f>IFERROR(
IF(tbl_abs[[#This Row],[Month of absence]]=0,"Unknown",
CHOOSE(tbl_abs[[#This Row],[Month of absence]],
"Jan","Feb","Mar","Apr","May","Jun","Jul","Aug","Sep","Oct","Nov","Dec")),"")</f>
        <v>Aug</v>
      </c>
      <c r="W452" s="53" t="str">
        <f>IFERROR(
IF(tbl_abs[[#This Row],[Age]]&lt;30,"&lt;30",
IF(tbl_abs[[#This Row],[Age]]&lt;40,"30–39",
IF(tbl_abs[[#This Row],[Age]]&lt;50,"40–49",
IF(tbl_abs[[#This Row],[Age]]&lt;60,"50–59",
"60+")))),"")</f>
        <v>40–49</v>
      </c>
      <c r="X452" s="53" t="str">
        <f>IFERROR(
IF(tbl_abs[[#This Row],[Distance from Residence to Work]]&lt;=5,"0–5",
IF(tbl_abs[[#This Row],[Distance from Residence to Work]]&lt;=10,"6–10",
IF(tbl_abs[[#This Row],[Distance from Residence to Work]]&lt;=20,"11–20",
"21+"))),"")</f>
        <v>21+</v>
      </c>
      <c r="Y452" s="53" t="str">
        <f>IFERROR(
IF(tbl_abs[[#This Row],[Body Mass Index]]&lt;18.5,"Underweight",
IF(tbl_abs[[#This Row],[Body Mass Index]]&lt;25,"Normal",
IF(tbl_abs[[#This Row],[Body Mass Index]]&lt;30,"Overweight",
"Obese"))),"")</f>
        <v>Obese</v>
      </c>
      <c r="Z452" s="53" t="str">
        <f>IFERROR(
IF(tbl_abs[[#This Row],[Absenteeism time in hours]]&lt;=2,"0–2",
IF(tbl_abs[[#This Row],[Absenteeism time in hours]]&lt;=8,"3–8",
IF(tbl_abs[[#This Row],[Absenteeism time in hours]]&lt;=16,"9–16",
"17+"))),"")</f>
        <v>0–2</v>
      </c>
    </row>
    <row r="453" spans="1:26" ht="15" customHeight="1" x14ac:dyDescent="0.3">
      <c r="A453">
        <v>18</v>
      </c>
      <c r="B453">
        <v>10</v>
      </c>
      <c r="C453" s="1">
        <v>8</v>
      </c>
      <c r="D453">
        <v>4</v>
      </c>
      <c r="E453">
        <v>1</v>
      </c>
      <c r="F453">
        <v>330</v>
      </c>
      <c r="G453" s="1">
        <v>16</v>
      </c>
      <c r="H453">
        <v>4</v>
      </c>
      <c r="I453" s="1">
        <v>28</v>
      </c>
      <c r="J453" s="2">
        <v>205917</v>
      </c>
      <c r="K453">
        <v>92</v>
      </c>
      <c r="L453">
        <v>0</v>
      </c>
      <c r="M453">
        <v>2</v>
      </c>
      <c r="N453">
        <v>0</v>
      </c>
      <c r="O453">
        <v>0</v>
      </c>
      <c r="P453">
        <v>0</v>
      </c>
      <c r="Q453">
        <v>0</v>
      </c>
      <c r="R453">
        <v>84</v>
      </c>
      <c r="S453">
        <v>182</v>
      </c>
      <c r="T453">
        <v>25</v>
      </c>
      <c r="V453" s="53" t="str">
        <f>IFERROR(
IF(tbl_abs[[#This Row],[Month of absence]]=0,"Unknown",
CHOOSE(tbl_abs[[#This Row],[Month of absence]],
"Jan","Feb","Mar","Apr","May","Jun","Jul","Aug","Sep","Oct","Nov","Dec")),"")</f>
        <v>Aug</v>
      </c>
      <c r="W453" s="53" t="str">
        <f>IFERROR(
IF(tbl_abs[[#This Row],[Age]]&lt;30,"&lt;30",
IF(tbl_abs[[#This Row],[Age]]&lt;40,"30–39",
IF(tbl_abs[[#This Row],[Age]]&lt;50,"40–49",
IF(tbl_abs[[#This Row],[Age]]&lt;60,"50–59",
"60+")))),"")</f>
        <v>&lt;30</v>
      </c>
      <c r="X453" s="53" t="str">
        <f>IFERROR(
IF(tbl_abs[[#This Row],[Distance from Residence to Work]]&lt;=5,"0–5",
IF(tbl_abs[[#This Row],[Distance from Residence to Work]]&lt;=10,"6–10",
IF(tbl_abs[[#This Row],[Distance from Residence to Work]]&lt;=20,"11–20",
"21+"))),"")</f>
        <v>11–20</v>
      </c>
      <c r="Y453" s="53" t="str">
        <f>IFERROR(
IF(tbl_abs[[#This Row],[Body Mass Index]]&lt;18.5,"Underweight",
IF(tbl_abs[[#This Row],[Body Mass Index]]&lt;25,"Normal",
IF(tbl_abs[[#This Row],[Body Mass Index]]&lt;30,"Overweight",
"Obese"))),"")</f>
        <v>Overweight</v>
      </c>
      <c r="Z453" s="53" t="str">
        <f>IFERROR(
IF(tbl_abs[[#This Row],[Absenteeism time in hours]]&lt;=2,"0–2",
IF(tbl_abs[[#This Row],[Absenteeism time in hours]]&lt;=8,"3–8",
IF(tbl_abs[[#This Row],[Absenteeism time in hours]]&lt;=16,"9–16",
"17+"))),"")</f>
        <v>0–2</v>
      </c>
    </row>
    <row r="454" spans="1:26" ht="15" customHeight="1" x14ac:dyDescent="0.3">
      <c r="A454">
        <v>3</v>
      </c>
      <c r="B454">
        <v>11</v>
      </c>
      <c r="C454" s="1">
        <v>8</v>
      </c>
      <c r="D454">
        <v>2</v>
      </c>
      <c r="E454">
        <v>1</v>
      </c>
      <c r="F454">
        <v>179</v>
      </c>
      <c r="G454" s="1">
        <v>51</v>
      </c>
      <c r="H454">
        <v>18</v>
      </c>
      <c r="I454" s="1">
        <v>38</v>
      </c>
      <c r="J454" s="2">
        <v>205917</v>
      </c>
      <c r="K454">
        <v>92</v>
      </c>
      <c r="L454">
        <v>0</v>
      </c>
      <c r="M454">
        <v>1</v>
      </c>
      <c r="N454">
        <v>0</v>
      </c>
      <c r="O454">
        <v>1</v>
      </c>
      <c r="P454">
        <v>0</v>
      </c>
      <c r="Q454">
        <v>0</v>
      </c>
      <c r="R454">
        <v>89</v>
      </c>
      <c r="S454">
        <v>170</v>
      </c>
      <c r="T454">
        <v>31</v>
      </c>
      <c r="U454">
        <v>1</v>
      </c>
      <c r="V454" s="53" t="str">
        <f>IFERROR(
IF(tbl_abs[[#This Row],[Month of absence]]=0,"Unknown",
CHOOSE(tbl_abs[[#This Row],[Month of absence]],
"Jan","Feb","Mar","Apr","May","Jun","Jul","Aug","Sep","Oct","Nov","Dec")),"")</f>
        <v>Aug</v>
      </c>
      <c r="W454" s="53" t="str">
        <f>IFERROR(
IF(tbl_abs[[#This Row],[Age]]&lt;30,"&lt;30",
IF(tbl_abs[[#This Row],[Age]]&lt;40,"30–39",
IF(tbl_abs[[#This Row],[Age]]&lt;50,"40–49",
IF(tbl_abs[[#This Row],[Age]]&lt;60,"50–59",
"60+")))),"")</f>
        <v>30–39</v>
      </c>
      <c r="X454" s="53" t="str">
        <f>IFERROR(
IF(tbl_abs[[#This Row],[Distance from Residence to Work]]&lt;=5,"0–5",
IF(tbl_abs[[#This Row],[Distance from Residence to Work]]&lt;=10,"6–10",
IF(tbl_abs[[#This Row],[Distance from Residence to Work]]&lt;=20,"11–20",
"21+"))),"")</f>
        <v>21+</v>
      </c>
      <c r="Y454" s="53" t="str">
        <f>IFERROR(
IF(tbl_abs[[#This Row],[Body Mass Index]]&lt;18.5,"Underweight",
IF(tbl_abs[[#This Row],[Body Mass Index]]&lt;25,"Normal",
IF(tbl_abs[[#This Row],[Body Mass Index]]&lt;30,"Overweight",
"Obese"))),"")</f>
        <v>Obese</v>
      </c>
      <c r="Z454" s="53" t="str">
        <f>IFERROR(
IF(tbl_abs[[#This Row],[Absenteeism time in hours]]&lt;=2,"0–2",
IF(tbl_abs[[#This Row],[Absenteeism time in hours]]&lt;=8,"3–8",
IF(tbl_abs[[#This Row],[Absenteeism time in hours]]&lt;=16,"9–16",
"17+"))),"")</f>
        <v>0–2</v>
      </c>
    </row>
    <row r="455" spans="1:26" ht="15" customHeight="1" x14ac:dyDescent="0.3">
      <c r="A455">
        <v>10</v>
      </c>
      <c r="B455">
        <v>13</v>
      </c>
      <c r="C455" s="1">
        <v>8</v>
      </c>
      <c r="D455">
        <v>2</v>
      </c>
      <c r="E455">
        <v>1</v>
      </c>
      <c r="F455">
        <v>361</v>
      </c>
      <c r="G455" s="1">
        <v>52</v>
      </c>
      <c r="H455">
        <v>3</v>
      </c>
      <c r="I455" s="1">
        <v>28</v>
      </c>
      <c r="J455" s="2">
        <v>205917</v>
      </c>
      <c r="K455">
        <v>92</v>
      </c>
      <c r="L455">
        <v>0</v>
      </c>
      <c r="M455">
        <v>1</v>
      </c>
      <c r="N455">
        <v>1</v>
      </c>
      <c r="O455">
        <v>1</v>
      </c>
      <c r="P455">
        <v>0</v>
      </c>
      <c r="Q455">
        <v>4</v>
      </c>
      <c r="R455">
        <v>80</v>
      </c>
      <c r="S455">
        <v>172</v>
      </c>
      <c r="T455">
        <v>27</v>
      </c>
      <c r="U455">
        <v>40</v>
      </c>
      <c r="V455" s="53" t="str">
        <f>IFERROR(
IF(tbl_abs[[#This Row],[Month of absence]]=0,"Unknown",
CHOOSE(tbl_abs[[#This Row],[Month of absence]],
"Jan","Feb","Mar","Apr","May","Jun","Jul","Aug","Sep","Oct","Nov","Dec")),"")</f>
        <v>Aug</v>
      </c>
      <c r="W455" s="53" t="str">
        <f>IFERROR(
IF(tbl_abs[[#This Row],[Age]]&lt;30,"&lt;30",
IF(tbl_abs[[#This Row],[Age]]&lt;40,"30–39",
IF(tbl_abs[[#This Row],[Age]]&lt;50,"40–49",
IF(tbl_abs[[#This Row],[Age]]&lt;60,"50–59",
"60+")))),"")</f>
        <v>&lt;30</v>
      </c>
      <c r="X455" s="53" t="str">
        <f>IFERROR(
IF(tbl_abs[[#This Row],[Distance from Residence to Work]]&lt;=5,"0–5",
IF(tbl_abs[[#This Row],[Distance from Residence to Work]]&lt;=10,"6–10",
IF(tbl_abs[[#This Row],[Distance from Residence to Work]]&lt;=20,"11–20",
"21+"))),"")</f>
        <v>21+</v>
      </c>
      <c r="Y455" s="53" t="str">
        <f>IFERROR(
IF(tbl_abs[[#This Row],[Body Mass Index]]&lt;18.5,"Underweight",
IF(tbl_abs[[#This Row],[Body Mass Index]]&lt;25,"Normal",
IF(tbl_abs[[#This Row],[Body Mass Index]]&lt;30,"Overweight",
"Obese"))),"")</f>
        <v>Overweight</v>
      </c>
      <c r="Z455" s="53" t="str">
        <f>IFERROR(
IF(tbl_abs[[#This Row],[Absenteeism time in hours]]&lt;=2,"0–2",
IF(tbl_abs[[#This Row],[Absenteeism time in hours]]&lt;=8,"3–8",
IF(tbl_abs[[#This Row],[Absenteeism time in hours]]&lt;=16,"9–16",
"17+"))),"")</f>
        <v>17+</v>
      </c>
    </row>
    <row r="456" spans="1:26" ht="15" customHeight="1" x14ac:dyDescent="0.3">
      <c r="A456">
        <v>20</v>
      </c>
      <c r="B456">
        <v>28</v>
      </c>
      <c r="C456" s="1">
        <v>8</v>
      </c>
      <c r="D456">
        <v>6</v>
      </c>
      <c r="E456">
        <v>1</v>
      </c>
      <c r="F456">
        <v>260</v>
      </c>
      <c r="G456" s="1">
        <v>50</v>
      </c>
      <c r="H456">
        <v>11</v>
      </c>
      <c r="I456" s="1">
        <v>36</v>
      </c>
      <c r="J456" s="2">
        <v>205917</v>
      </c>
      <c r="K456">
        <v>92</v>
      </c>
      <c r="L456">
        <v>0</v>
      </c>
      <c r="M456">
        <v>1</v>
      </c>
      <c r="N456">
        <v>4</v>
      </c>
      <c r="O456">
        <v>1</v>
      </c>
      <c r="P456">
        <v>0</v>
      </c>
      <c r="Q456">
        <v>0</v>
      </c>
      <c r="R456">
        <v>65</v>
      </c>
      <c r="S456">
        <v>168</v>
      </c>
      <c r="T456">
        <v>23</v>
      </c>
      <c r="U456">
        <v>4</v>
      </c>
      <c r="V456" s="53" t="str">
        <f>IFERROR(
IF(tbl_abs[[#This Row],[Month of absence]]=0,"Unknown",
CHOOSE(tbl_abs[[#This Row],[Month of absence]],
"Jan","Feb","Mar","Apr","May","Jun","Jul","Aug","Sep","Oct","Nov","Dec")),"")</f>
        <v>Aug</v>
      </c>
      <c r="W456" s="53" t="str">
        <f>IFERROR(
IF(tbl_abs[[#This Row],[Age]]&lt;30,"&lt;30",
IF(tbl_abs[[#This Row],[Age]]&lt;40,"30–39",
IF(tbl_abs[[#This Row],[Age]]&lt;50,"40–49",
IF(tbl_abs[[#This Row],[Age]]&lt;60,"50–59",
"60+")))),"")</f>
        <v>30–39</v>
      </c>
      <c r="X456" s="53" t="str">
        <f>IFERROR(
IF(tbl_abs[[#This Row],[Distance from Residence to Work]]&lt;=5,"0–5",
IF(tbl_abs[[#This Row],[Distance from Residence to Work]]&lt;=10,"6–10",
IF(tbl_abs[[#This Row],[Distance from Residence to Work]]&lt;=20,"11–20",
"21+"))),"")</f>
        <v>21+</v>
      </c>
      <c r="Y456" s="53" t="str">
        <f>IFERROR(
IF(tbl_abs[[#This Row],[Body Mass Index]]&lt;18.5,"Underweight",
IF(tbl_abs[[#This Row],[Body Mass Index]]&lt;25,"Normal",
IF(tbl_abs[[#This Row],[Body Mass Index]]&lt;30,"Overweight",
"Obese"))),"")</f>
        <v>Normal</v>
      </c>
      <c r="Z456" s="53" t="str">
        <f>IFERROR(
IF(tbl_abs[[#This Row],[Absenteeism time in hours]]&lt;=2,"0–2",
IF(tbl_abs[[#This Row],[Absenteeism time in hours]]&lt;=8,"3–8",
IF(tbl_abs[[#This Row],[Absenteeism time in hours]]&lt;=16,"9–16",
"17+"))),"")</f>
        <v>3–8</v>
      </c>
    </row>
    <row r="457" spans="1:26" ht="15" customHeight="1" x14ac:dyDescent="0.3">
      <c r="A457">
        <v>11</v>
      </c>
      <c r="B457">
        <v>18</v>
      </c>
      <c r="C457" s="1">
        <v>8</v>
      </c>
      <c r="D457">
        <v>2</v>
      </c>
      <c r="E457">
        <v>1</v>
      </c>
      <c r="F457">
        <v>289</v>
      </c>
      <c r="G457" s="1">
        <v>36</v>
      </c>
      <c r="H457">
        <v>13</v>
      </c>
      <c r="I457" s="1">
        <v>33</v>
      </c>
      <c r="J457" s="2">
        <v>205917</v>
      </c>
      <c r="K457">
        <v>92</v>
      </c>
      <c r="L457">
        <v>0</v>
      </c>
      <c r="M457">
        <v>1</v>
      </c>
      <c r="N457">
        <v>2</v>
      </c>
      <c r="O457">
        <v>1</v>
      </c>
      <c r="P457">
        <v>0</v>
      </c>
      <c r="Q457">
        <v>1</v>
      </c>
      <c r="R457">
        <v>90</v>
      </c>
      <c r="S457">
        <v>172</v>
      </c>
      <c r="U457">
        <v>8</v>
      </c>
      <c r="V457" s="53" t="str">
        <f>IFERROR(
IF(tbl_abs[[#This Row],[Month of absence]]=0,"Unknown",
CHOOSE(tbl_abs[[#This Row],[Month of absence]],
"Jan","Feb","Mar","Apr","May","Jun","Jul","Aug","Sep","Oct","Nov","Dec")),"")</f>
        <v>Aug</v>
      </c>
      <c r="W457" s="53" t="str">
        <f>IFERROR(
IF(tbl_abs[[#This Row],[Age]]&lt;30,"&lt;30",
IF(tbl_abs[[#This Row],[Age]]&lt;40,"30–39",
IF(tbl_abs[[#This Row],[Age]]&lt;50,"40–49",
IF(tbl_abs[[#This Row],[Age]]&lt;60,"50–59",
"60+")))),"")</f>
        <v>30–39</v>
      </c>
      <c r="X457" s="53" t="str">
        <f>IFERROR(
IF(tbl_abs[[#This Row],[Distance from Residence to Work]]&lt;=5,"0–5",
IF(tbl_abs[[#This Row],[Distance from Residence to Work]]&lt;=10,"6–10",
IF(tbl_abs[[#This Row],[Distance from Residence to Work]]&lt;=20,"11–20",
"21+"))),"")</f>
        <v>21+</v>
      </c>
      <c r="Y457" s="53" t="str">
        <f>IFERROR(
IF(tbl_abs[[#This Row],[Body Mass Index]]&lt;18.5,"Underweight",
IF(tbl_abs[[#This Row],[Body Mass Index]]&lt;25,"Normal",
IF(tbl_abs[[#This Row],[Body Mass Index]]&lt;30,"Overweight",
"Obese"))),"")</f>
        <v>Underweight</v>
      </c>
      <c r="Z457" s="53" t="str">
        <f>IFERROR(
IF(tbl_abs[[#This Row],[Absenteeism time in hours]]&lt;=2,"0–2",
IF(tbl_abs[[#This Row],[Absenteeism time in hours]]&lt;=8,"3–8",
IF(tbl_abs[[#This Row],[Absenteeism time in hours]]&lt;=16,"9–16",
"17+"))),"")</f>
        <v>3–8</v>
      </c>
    </row>
    <row r="458" spans="1:26" ht="15" customHeight="1" x14ac:dyDescent="0.3">
      <c r="A458">
        <v>10</v>
      </c>
      <c r="B458">
        <v>25</v>
      </c>
      <c r="C458" s="1">
        <v>8</v>
      </c>
      <c r="D458">
        <v>2</v>
      </c>
      <c r="E458">
        <v>1</v>
      </c>
      <c r="F458">
        <v>361</v>
      </c>
      <c r="G458" s="1">
        <v>52</v>
      </c>
      <c r="H458">
        <v>3</v>
      </c>
      <c r="I458" s="1">
        <v>28</v>
      </c>
      <c r="J458" s="2">
        <v>205917</v>
      </c>
      <c r="K458">
        <v>92</v>
      </c>
      <c r="L458">
        <v>0</v>
      </c>
      <c r="M458">
        <v>1</v>
      </c>
      <c r="N458">
        <v>1</v>
      </c>
      <c r="O458">
        <v>1</v>
      </c>
      <c r="P458">
        <v>0</v>
      </c>
      <c r="Q458">
        <v>4</v>
      </c>
      <c r="R458">
        <v>80</v>
      </c>
      <c r="S458">
        <v>172</v>
      </c>
      <c r="T458">
        <v>27</v>
      </c>
      <c r="U458">
        <v>7</v>
      </c>
      <c r="V458" s="53" t="str">
        <f>IFERROR(
IF(tbl_abs[[#This Row],[Month of absence]]=0,"Unknown",
CHOOSE(tbl_abs[[#This Row],[Month of absence]],
"Jan","Feb","Mar","Apr","May","Jun","Jul","Aug","Sep","Oct","Nov","Dec")),"")</f>
        <v>Aug</v>
      </c>
      <c r="W458" s="53" t="str">
        <f>IFERROR(
IF(tbl_abs[[#This Row],[Age]]&lt;30,"&lt;30",
IF(tbl_abs[[#This Row],[Age]]&lt;40,"30–39",
IF(tbl_abs[[#This Row],[Age]]&lt;50,"40–49",
IF(tbl_abs[[#This Row],[Age]]&lt;60,"50–59",
"60+")))),"")</f>
        <v>&lt;30</v>
      </c>
      <c r="X458" s="53" t="str">
        <f>IFERROR(
IF(tbl_abs[[#This Row],[Distance from Residence to Work]]&lt;=5,"0–5",
IF(tbl_abs[[#This Row],[Distance from Residence to Work]]&lt;=10,"6–10",
IF(tbl_abs[[#This Row],[Distance from Residence to Work]]&lt;=20,"11–20",
"21+"))),"")</f>
        <v>21+</v>
      </c>
      <c r="Y458" s="53" t="str">
        <f>IFERROR(
IF(tbl_abs[[#This Row],[Body Mass Index]]&lt;18.5,"Underweight",
IF(tbl_abs[[#This Row],[Body Mass Index]]&lt;25,"Normal",
IF(tbl_abs[[#This Row],[Body Mass Index]]&lt;30,"Overweight",
"Obese"))),"")</f>
        <v>Overweight</v>
      </c>
      <c r="Z458" s="53" t="str">
        <f>IFERROR(
IF(tbl_abs[[#This Row],[Absenteeism time in hours]]&lt;=2,"0–2",
IF(tbl_abs[[#This Row],[Absenteeism time in hours]]&lt;=8,"3–8",
IF(tbl_abs[[#This Row],[Absenteeism time in hours]]&lt;=16,"9–16",
"17+"))),"")</f>
        <v>3–8</v>
      </c>
    </row>
    <row r="459" spans="1:26" ht="15" customHeight="1" x14ac:dyDescent="0.3">
      <c r="A459">
        <v>11</v>
      </c>
      <c r="B459">
        <v>23</v>
      </c>
      <c r="C459" s="1">
        <v>8</v>
      </c>
      <c r="D459">
        <v>3</v>
      </c>
      <c r="E459">
        <v>1</v>
      </c>
      <c r="F459">
        <v>289</v>
      </c>
      <c r="G459" s="1">
        <v>36</v>
      </c>
      <c r="H459">
        <v>13</v>
      </c>
      <c r="I459" s="1">
        <v>33</v>
      </c>
      <c r="J459" s="2">
        <v>205917</v>
      </c>
      <c r="K459">
        <v>92</v>
      </c>
      <c r="L459">
        <v>0</v>
      </c>
      <c r="M459">
        <v>1</v>
      </c>
      <c r="N459">
        <v>2</v>
      </c>
      <c r="O459">
        <v>1</v>
      </c>
      <c r="P459">
        <v>0</v>
      </c>
      <c r="Q459">
        <v>1</v>
      </c>
      <c r="R459">
        <v>90</v>
      </c>
      <c r="S459">
        <v>172</v>
      </c>
      <c r="T459">
        <v>30</v>
      </c>
      <c r="U459">
        <v>1</v>
      </c>
      <c r="V459" s="53" t="str">
        <f>IFERROR(
IF(tbl_abs[[#This Row],[Month of absence]]=0,"Unknown",
CHOOSE(tbl_abs[[#This Row],[Month of absence]],
"Jan","Feb","Mar","Apr","May","Jun","Jul","Aug","Sep","Oct","Nov","Dec")),"")</f>
        <v>Aug</v>
      </c>
      <c r="W459" s="53" t="str">
        <f>IFERROR(
IF(tbl_abs[[#This Row],[Age]]&lt;30,"&lt;30",
IF(tbl_abs[[#This Row],[Age]]&lt;40,"30–39",
IF(tbl_abs[[#This Row],[Age]]&lt;50,"40–49",
IF(tbl_abs[[#This Row],[Age]]&lt;60,"50–59",
"60+")))),"")</f>
        <v>30–39</v>
      </c>
      <c r="X459" s="53" t="str">
        <f>IFERROR(
IF(tbl_abs[[#This Row],[Distance from Residence to Work]]&lt;=5,"0–5",
IF(tbl_abs[[#This Row],[Distance from Residence to Work]]&lt;=10,"6–10",
IF(tbl_abs[[#This Row],[Distance from Residence to Work]]&lt;=20,"11–20",
"21+"))),"")</f>
        <v>21+</v>
      </c>
      <c r="Y459" s="53" t="str">
        <f>IFERROR(
IF(tbl_abs[[#This Row],[Body Mass Index]]&lt;18.5,"Underweight",
IF(tbl_abs[[#This Row],[Body Mass Index]]&lt;25,"Normal",
IF(tbl_abs[[#This Row],[Body Mass Index]]&lt;30,"Overweight",
"Obese"))),"")</f>
        <v>Obese</v>
      </c>
      <c r="Z459" s="53" t="str">
        <f>IFERROR(
IF(tbl_abs[[#This Row],[Absenteeism time in hours]]&lt;=2,"0–2",
IF(tbl_abs[[#This Row],[Absenteeism time in hours]]&lt;=8,"3–8",
IF(tbl_abs[[#This Row],[Absenteeism time in hours]]&lt;=16,"9–16",
"17+"))),"")</f>
        <v>0–2</v>
      </c>
    </row>
    <row r="460" spans="1:26" ht="15" customHeight="1" x14ac:dyDescent="0.3">
      <c r="A460">
        <v>30</v>
      </c>
      <c r="B460">
        <v>28</v>
      </c>
      <c r="C460" s="1">
        <v>8</v>
      </c>
      <c r="D460">
        <v>4</v>
      </c>
      <c r="E460">
        <v>1</v>
      </c>
      <c r="F460">
        <v>157</v>
      </c>
      <c r="G460" s="1">
        <v>27</v>
      </c>
      <c r="H460">
        <v>6</v>
      </c>
      <c r="I460" s="1">
        <v>29</v>
      </c>
      <c r="J460" s="2">
        <v>205917</v>
      </c>
      <c r="K460">
        <v>92</v>
      </c>
      <c r="L460">
        <v>0</v>
      </c>
      <c r="M460">
        <v>1</v>
      </c>
      <c r="N460">
        <v>0</v>
      </c>
      <c r="O460">
        <v>1</v>
      </c>
      <c r="P460">
        <v>1</v>
      </c>
      <c r="Q460">
        <v>0</v>
      </c>
      <c r="R460">
        <v>75</v>
      </c>
      <c r="S460">
        <v>185</v>
      </c>
      <c r="U460">
        <v>4</v>
      </c>
      <c r="V460" s="53" t="str">
        <f>IFERROR(
IF(tbl_abs[[#This Row],[Month of absence]]=0,"Unknown",
CHOOSE(tbl_abs[[#This Row],[Month of absence]],
"Jan","Feb","Mar","Apr","May","Jun","Jul","Aug","Sep","Oct","Nov","Dec")),"")</f>
        <v>Aug</v>
      </c>
      <c r="W460" s="53" t="str">
        <f>IFERROR(
IF(tbl_abs[[#This Row],[Age]]&lt;30,"&lt;30",
IF(tbl_abs[[#This Row],[Age]]&lt;40,"30–39",
IF(tbl_abs[[#This Row],[Age]]&lt;50,"40–49",
IF(tbl_abs[[#This Row],[Age]]&lt;60,"50–59",
"60+")))),"")</f>
        <v>&lt;30</v>
      </c>
      <c r="X460" s="53" t="str">
        <f>IFERROR(
IF(tbl_abs[[#This Row],[Distance from Residence to Work]]&lt;=5,"0–5",
IF(tbl_abs[[#This Row],[Distance from Residence to Work]]&lt;=10,"6–10",
IF(tbl_abs[[#This Row],[Distance from Residence to Work]]&lt;=20,"11–20",
"21+"))),"")</f>
        <v>21+</v>
      </c>
      <c r="Y460" s="53" t="str">
        <f>IFERROR(
IF(tbl_abs[[#This Row],[Body Mass Index]]&lt;18.5,"Underweight",
IF(tbl_abs[[#This Row],[Body Mass Index]]&lt;25,"Normal",
IF(tbl_abs[[#This Row],[Body Mass Index]]&lt;30,"Overweight",
"Obese"))),"")</f>
        <v>Underweight</v>
      </c>
      <c r="Z460" s="53" t="str">
        <f>IFERROR(
IF(tbl_abs[[#This Row],[Absenteeism time in hours]]&lt;=2,"0–2",
IF(tbl_abs[[#This Row],[Absenteeism time in hours]]&lt;=8,"3–8",
IF(tbl_abs[[#This Row],[Absenteeism time in hours]]&lt;=16,"9–16",
"17+"))),"")</f>
        <v>3–8</v>
      </c>
    </row>
    <row r="461" spans="1:26" ht="15" customHeight="1" x14ac:dyDescent="0.3">
      <c r="A461">
        <v>11</v>
      </c>
      <c r="B461">
        <v>18</v>
      </c>
      <c r="C461" s="1">
        <v>8</v>
      </c>
      <c r="D461">
        <v>4</v>
      </c>
      <c r="E461">
        <v>1</v>
      </c>
      <c r="F461">
        <v>289</v>
      </c>
      <c r="G461" s="1">
        <v>36</v>
      </c>
      <c r="H461">
        <v>13</v>
      </c>
      <c r="I461" s="1">
        <v>33</v>
      </c>
      <c r="J461" s="2">
        <v>205917</v>
      </c>
      <c r="K461">
        <v>92</v>
      </c>
      <c r="L461">
        <v>0</v>
      </c>
      <c r="M461">
        <v>1</v>
      </c>
      <c r="N461">
        <v>2</v>
      </c>
      <c r="O461">
        <v>1</v>
      </c>
      <c r="P461">
        <v>0</v>
      </c>
      <c r="Q461">
        <v>1</v>
      </c>
      <c r="R461">
        <v>90</v>
      </c>
      <c r="S461">
        <v>172</v>
      </c>
      <c r="T461">
        <v>30</v>
      </c>
      <c r="U461">
        <v>8</v>
      </c>
      <c r="V461" s="53" t="str">
        <f>IFERROR(
IF(tbl_abs[[#This Row],[Month of absence]]=0,"Unknown",
CHOOSE(tbl_abs[[#This Row],[Month of absence]],
"Jan","Feb","Mar","Apr","May","Jun","Jul","Aug","Sep","Oct","Nov","Dec")),"")</f>
        <v>Aug</v>
      </c>
      <c r="W461" s="53" t="str">
        <f>IFERROR(
IF(tbl_abs[[#This Row],[Age]]&lt;30,"&lt;30",
IF(tbl_abs[[#This Row],[Age]]&lt;40,"30–39",
IF(tbl_abs[[#This Row],[Age]]&lt;50,"40–49",
IF(tbl_abs[[#This Row],[Age]]&lt;60,"50–59",
"60+")))),"")</f>
        <v>30–39</v>
      </c>
      <c r="X461" s="53" t="str">
        <f>IFERROR(
IF(tbl_abs[[#This Row],[Distance from Residence to Work]]&lt;=5,"0–5",
IF(tbl_abs[[#This Row],[Distance from Residence to Work]]&lt;=10,"6–10",
IF(tbl_abs[[#This Row],[Distance from Residence to Work]]&lt;=20,"11–20",
"21+"))),"")</f>
        <v>21+</v>
      </c>
      <c r="Y461" s="53" t="str">
        <f>IFERROR(
IF(tbl_abs[[#This Row],[Body Mass Index]]&lt;18.5,"Underweight",
IF(tbl_abs[[#This Row],[Body Mass Index]]&lt;25,"Normal",
IF(tbl_abs[[#This Row],[Body Mass Index]]&lt;30,"Overweight",
"Obese"))),"")</f>
        <v>Obese</v>
      </c>
      <c r="Z461" s="53" t="str">
        <f>IFERROR(
IF(tbl_abs[[#This Row],[Absenteeism time in hours]]&lt;=2,"0–2",
IF(tbl_abs[[#This Row],[Absenteeism time in hours]]&lt;=8,"3–8",
IF(tbl_abs[[#This Row],[Absenteeism time in hours]]&lt;=16,"9–16",
"17+"))),"")</f>
        <v>3–8</v>
      </c>
    </row>
    <row r="462" spans="1:26" ht="15" customHeight="1" x14ac:dyDescent="0.3">
      <c r="A462">
        <v>3</v>
      </c>
      <c r="B462">
        <v>23</v>
      </c>
      <c r="C462" s="1">
        <v>8</v>
      </c>
      <c r="D462">
        <v>6</v>
      </c>
      <c r="E462">
        <v>1</v>
      </c>
      <c r="F462">
        <v>179</v>
      </c>
      <c r="G462" s="1">
        <v>51</v>
      </c>
      <c r="H462">
        <v>18</v>
      </c>
      <c r="I462" s="1">
        <v>38</v>
      </c>
      <c r="J462" s="2">
        <v>205917</v>
      </c>
      <c r="K462">
        <v>92</v>
      </c>
      <c r="L462">
        <v>0</v>
      </c>
      <c r="M462">
        <v>1</v>
      </c>
      <c r="N462">
        <v>0</v>
      </c>
      <c r="O462">
        <v>1</v>
      </c>
      <c r="P462">
        <v>0</v>
      </c>
      <c r="Q462">
        <v>0</v>
      </c>
      <c r="R462">
        <v>89</v>
      </c>
      <c r="S462">
        <v>170</v>
      </c>
      <c r="T462">
        <v>31</v>
      </c>
      <c r="U462">
        <v>2</v>
      </c>
      <c r="V462" s="53" t="str">
        <f>IFERROR(
IF(tbl_abs[[#This Row],[Month of absence]]=0,"Unknown",
CHOOSE(tbl_abs[[#This Row],[Month of absence]],
"Jan","Feb","Mar","Apr","May","Jun","Jul","Aug","Sep","Oct","Nov","Dec")),"")</f>
        <v>Aug</v>
      </c>
      <c r="W462" s="53" t="str">
        <f>IFERROR(
IF(tbl_abs[[#This Row],[Age]]&lt;30,"&lt;30",
IF(tbl_abs[[#This Row],[Age]]&lt;40,"30–39",
IF(tbl_abs[[#This Row],[Age]]&lt;50,"40–49",
IF(tbl_abs[[#This Row],[Age]]&lt;60,"50–59",
"60+")))),"")</f>
        <v>30–39</v>
      </c>
      <c r="X462" s="53" t="str">
        <f>IFERROR(
IF(tbl_abs[[#This Row],[Distance from Residence to Work]]&lt;=5,"0–5",
IF(tbl_abs[[#This Row],[Distance from Residence to Work]]&lt;=10,"6–10",
IF(tbl_abs[[#This Row],[Distance from Residence to Work]]&lt;=20,"11–20",
"21+"))),"")</f>
        <v>21+</v>
      </c>
      <c r="Y462" s="53" t="str">
        <f>IFERROR(
IF(tbl_abs[[#This Row],[Body Mass Index]]&lt;18.5,"Underweight",
IF(tbl_abs[[#This Row],[Body Mass Index]]&lt;25,"Normal",
IF(tbl_abs[[#This Row],[Body Mass Index]]&lt;30,"Overweight",
"Obese"))),"")</f>
        <v>Obese</v>
      </c>
      <c r="Z462" s="53" t="str">
        <f>IFERROR(
IF(tbl_abs[[#This Row],[Absenteeism time in hours]]&lt;=2,"0–2",
IF(tbl_abs[[#This Row],[Absenteeism time in hours]]&lt;=8,"3–8",
IF(tbl_abs[[#This Row],[Absenteeism time in hours]]&lt;=16,"9–16",
"17+"))),"")</f>
        <v>0–2</v>
      </c>
    </row>
    <row r="463" spans="1:26" ht="15" customHeight="1" x14ac:dyDescent="0.3">
      <c r="A463">
        <v>3</v>
      </c>
      <c r="B463">
        <v>18</v>
      </c>
      <c r="C463" s="1">
        <v>8</v>
      </c>
      <c r="D463">
        <v>2</v>
      </c>
      <c r="E463">
        <v>1</v>
      </c>
      <c r="F463">
        <v>179</v>
      </c>
      <c r="G463" s="1">
        <v>51</v>
      </c>
      <c r="H463">
        <v>18</v>
      </c>
      <c r="I463" s="1">
        <v>38</v>
      </c>
      <c r="J463" s="2">
        <v>205917</v>
      </c>
      <c r="K463">
        <v>92</v>
      </c>
      <c r="L463">
        <v>0</v>
      </c>
      <c r="M463">
        <v>1</v>
      </c>
      <c r="N463">
        <v>0</v>
      </c>
      <c r="O463">
        <v>1</v>
      </c>
      <c r="P463">
        <v>0</v>
      </c>
      <c r="Q463">
        <v>0</v>
      </c>
      <c r="R463">
        <v>89</v>
      </c>
      <c r="S463">
        <v>170</v>
      </c>
      <c r="T463">
        <v>31</v>
      </c>
      <c r="U463">
        <v>8</v>
      </c>
      <c r="V463" s="53" t="str">
        <f>IFERROR(
IF(tbl_abs[[#This Row],[Month of absence]]=0,"Unknown",
CHOOSE(tbl_abs[[#This Row],[Month of absence]],
"Jan","Feb","Mar","Apr","May","Jun","Jul","Aug","Sep","Oct","Nov","Dec")),"")</f>
        <v>Aug</v>
      </c>
      <c r="W463" s="53" t="str">
        <f>IFERROR(
IF(tbl_abs[[#This Row],[Age]]&lt;30,"&lt;30",
IF(tbl_abs[[#This Row],[Age]]&lt;40,"30–39",
IF(tbl_abs[[#This Row],[Age]]&lt;50,"40–49",
IF(tbl_abs[[#This Row],[Age]]&lt;60,"50–59",
"60+")))),"")</f>
        <v>30–39</v>
      </c>
      <c r="X463" s="53" t="str">
        <f>IFERROR(
IF(tbl_abs[[#This Row],[Distance from Residence to Work]]&lt;=5,"0–5",
IF(tbl_abs[[#This Row],[Distance from Residence to Work]]&lt;=10,"6–10",
IF(tbl_abs[[#This Row],[Distance from Residence to Work]]&lt;=20,"11–20",
"21+"))),"")</f>
        <v>21+</v>
      </c>
      <c r="Y463" s="53" t="str">
        <f>IFERROR(
IF(tbl_abs[[#This Row],[Body Mass Index]]&lt;18.5,"Underweight",
IF(tbl_abs[[#This Row],[Body Mass Index]]&lt;25,"Normal",
IF(tbl_abs[[#This Row],[Body Mass Index]]&lt;30,"Overweight",
"Obese"))),"")</f>
        <v>Obese</v>
      </c>
      <c r="Z463" s="53" t="str">
        <f>IFERROR(
IF(tbl_abs[[#This Row],[Absenteeism time in hours]]&lt;=2,"0–2",
IF(tbl_abs[[#This Row],[Absenteeism time in hours]]&lt;=8,"3–8",
IF(tbl_abs[[#This Row],[Absenteeism time in hours]]&lt;=16,"9–16",
"17+"))),"")</f>
        <v>3–8</v>
      </c>
    </row>
    <row r="464" spans="1:26" ht="15" customHeight="1" x14ac:dyDescent="0.3">
      <c r="A464">
        <v>2</v>
      </c>
      <c r="B464">
        <v>18</v>
      </c>
      <c r="C464" s="1">
        <v>8</v>
      </c>
      <c r="D464">
        <v>5</v>
      </c>
      <c r="E464">
        <v>1</v>
      </c>
      <c r="F464">
        <v>235</v>
      </c>
      <c r="G464" s="1">
        <v>29</v>
      </c>
      <c r="H464">
        <v>12</v>
      </c>
      <c r="I464" s="1">
        <v>48</v>
      </c>
      <c r="J464" s="2">
        <v>205917</v>
      </c>
      <c r="K464">
        <v>92</v>
      </c>
      <c r="L464">
        <v>0</v>
      </c>
      <c r="M464">
        <v>1</v>
      </c>
      <c r="N464">
        <v>1</v>
      </c>
      <c r="O464">
        <v>0</v>
      </c>
      <c r="P464">
        <v>1</v>
      </c>
      <c r="Q464">
        <v>5</v>
      </c>
      <c r="R464">
        <v>88</v>
      </c>
      <c r="S464">
        <v>163</v>
      </c>
      <c r="U464">
        <v>8</v>
      </c>
      <c r="V464" s="53" t="str">
        <f>IFERROR(
IF(tbl_abs[[#This Row],[Month of absence]]=0,"Unknown",
CHOOSE(tbl_abs[[#This Row],[Month of absence]],
"Jan","Feb","Mar","Apr","May","Jun","Jul","Aug","Sep","Oct","Nov","Dec")),"")</f>
        <v>Aug</v>
      </c>
      <c r="W464" s="53" t="str">
        <f>IFERROR(
IF(tbl_abs[[#This Row],[Age]]&lt;30,"&lt;30",
IF(tbl_abs[[#This Row],[Age]]&lt;40,"30–39",
IF(tbl_abs[[#This Row],[Age]]&lt;50,"40–49",
IF(tbl_abs[[#This Row],[Age]]&lt;60,"50–59",
"60+")))),"")</f>
        <v>40–49</v>
      </c>
      <c r="X464" s="53" t="str">
        <f>IFERROR(
IF(tbl_abs[[#This Row],[Distance from Residence to Work]]&lt;=5,"0–5",
IF(tbl_abs[[#This Row],[Distance from Residence to Work]]&lt;=10,"6–10",
IF(tbl_abs[[#This Row],[Distance from Residence to Work]]&lt;=20,"11–20",
"21+"))),"")</f>
        <v>21+</v>
      </c>
      <c r="Y464" s="53" t="str">
        <f>IFERROR(
IF(tbl_abs[[#This Row],[Body Mass Index]]&lt;18.5,"Underweight",
IF(tbl_abs[[#This Row],[Body Mass Index]]&lt;25,"Normal",
IF(tbl_abs[[#This Row],[Body Mass Index]]&lt;30,"Overweight",
"Obese"))),"")</f>
        <v>Underweight</v>
      </c>
      <c r="Z464" s="53" t="str">
        <f>IFERROR(
IF(tbl_abs[[#This Row],[Absenteeism time in hours]]&lt;=2,"0–2",
IF(tbl_abs[[#This Row],[Absenteeism time in hours]]&lt;=8,"3–8",
IF(tbl_abs[[#This Row],[Absenteeism time in hours]]&lt;=16,"9–16",
"17+"))),"")</f>
        <v>3–8</v>
      </c>
    </row>
    <row r="465" spans="1:26" ht="15" customHeight="1" x14ac:dyDescent="0.3">
      <c r="A465">
        <v>1</v>
      </c>
      <c r="B465">
        <v>23</v>
      </c>
      <c r="C465" s="1">
        <v>8</v>
      </c>
      <c r="D465">
        <v>5</v>
      </c>
      <c r="E465">
        <v>1</v>
      </c>
      <c r="G465" s="1">
        <v>11</v>
      </c>
      <c r="H465">
        <v>14</v>
      </c>
      <c r="I465" s="1">
        <v>37</v>
      </c>
      <c r="J465" s="2">
        <v>205917</v>
      </c>
      <c r="K465">
        <v>92</v>
      </c>
      <c r="L465">
        <v>0</v>
      </c>
      <c r="M465">
        <v>3</v>
      </c>
      <c r="N465">
        <v>1</v>
      </c>
      <c r="O465">
        <v>0</v>
      </c>
      <c r="P465">
        <v>0</v>
      </c>
      <c r="Q465">
        <v>1</v>
      </c>
      <c r="R465">
        <v>88</v>
      </c>
      <c r="S465">
        <v>172</v>
      </c>
      <c r="T465">
        <v>29</v>
      </c>
      <c r="U465">
        <v>4</v>
      </c>
      <c r="V465" s="53" t="str">
        <f>IFERROR(
IF(tbl_abs[[#This Row],[Month of absence]]=0,"Unknown",
CHOOSE(tbl_abs[[#This Row],[Month of absence]],
"Jan","Feb","Mar","Apr","May","Jun","Jul","Aug","Sep","Oct","Nov","Dec")),"")</f>
        <v>Aug</v>
      </c>
      <c r="W465" s="53" t="str">
        <f>IFERROR(
IF(tbl_abs[[#This Row],[Age]]&lt;30,"&lt;30",
IF(tbl_abs[[#This Row],[Age]]&lt;40,"30–39",
IF(tbl_abs[[#This Row],[Age]]&lt;50,"40–49",
IF(tbl_abs[[#This Row],[Age]]&lt;60,"50–59",
"60+")))),"")</f>
        <v>30–39</v>
      </c>
      <c r="X465" s="53" t="str">
        <f>IFERROR(
IF(tbl_abs[[#This Row],[Distance from Residence to Work]]&lt;=5,"0–5",
IF(tbl_abs[[#This Row],[Distance from Residence to Work]]&lt;=10,"6–10",
IF(tbl_abs[[#This Row],[Distance from Residence to Work]]&lt;=20,"11–20",
"21+"))),"")</f>
        <v>11–20</v>
      </c>
      <c r="Y465" s="53" t="str">
        <f>IFERROR(
IF(tbl_abs[[#This Row],[Body Mass Index]]&lt;18.5,"Underweight",
IF(tbl_abs[[#This Row],[Body Mass Index]]&lt;25,"Normal",
IF(tbl_abs[[#This Row],[Body Mass Index]]&lt;30,"Overweight",
"Obese"))),"")</f>
        <v>Overweight</v>
      </c>
      <c r="Z465" s="53" t="str">
        <f>IFERROR(
IF(tbl_abs[[#This Row],[Absenteeism time in hours]]&lt;=2,"0–2",
IF(tbl_abs[[#This Row],[Absenteeism time in hours]]&lt;=8,"3–8",
IF(tbl_abs[[#This Row],[Absenteeism time in hours]]&lt;=16,"9–16",
"17+"))),"")</f>
        <v>3–8</v>
      </c>
    </row>
    <row r="466" spans="1:26" ht="15" customHeight="1" x14ac:dyDescent="0.3">
      <c r="A466">
        <v>2</v>
      </c>
      <c r="B466">
        <v>18</v>
      </c>
      <c r="C466" s="1">
        <v>8</v>
      </c>
      <c r="D466">
        <v>2</v>
      </c>
      <c r="E466">
        <v>1</v>
      </c>
      <c r="F466">
        <v>235</v>
      </c>
      <c r="G466" s="1">
        <v>29</v>
      </c>
      <c r="H466">
        <v>12</v>
      </c>
      <c r="I466" s="1">
        <v>48</v>
      </c>
      <c r="J466" s="2">
        <v>205917</v>
      </c>
      <c r="K466">
        <v>92</v>
      </c>
      <c r="L466">
        <v>0</v>
      </c>
      <c r="M466">
        <v>1</v>
      </c>
      <c r="N466">
        <v>1</v>
      </c>
      <c r="O466">
        <v>0</v>
      </c>
      <c r="P466">
        <v>1</v>
      </c>
      <c r="Q466">
        <v>5</v>
      </c>
      <c r="R466">
        <v>88</v>
      </c>
      <c r="S466">
        <v>163</v>
      </c>
      <c r="T466">
        <v>33</v>
      </c>
      <c r="U466">
        <v>8</v>
      </c>
      <c r="V466" s="53" t="str">
        <f>IFERROR(
IF(tbl_abs[[#This Row],[Month of absence]]=0,"Unknown",
CHOOSE(tbl_abs[[#This Row],[Month of absence]],
"Jan","Feb","Mar","Apr","May","Jun","Jul","Aug","Sep","Oct","Nov","Dec")),"")</f>
        <v>Aug</v>
      </c>
      <c r="W466" s="53" t="str">
        <f>IFERROR(
IF(tbl_abs[[#This Row],[Age]]&lt;30,"&lt;30",
IF(tbl_abs[[#This Row],[Age]]&lt;40,"30–39",
IF(tbl_abs[[#This Row],[Age]]&lt;50,"40–49",
IF(tbl_abs[[#This Row],[Age]]&lt;60,"50–59",
"60+")))),"")</f>
        <v>40–49</v>
      </c>
      <c r="X466" s="53" t="str">
        <f>IFERROR(
IF(tbl_abs[[#This Row],[Distance from Residence to Work]]&lt;=5,"0–5",
IF(tbl_abs[[#This Row],[Distance from Residence to Work]]&lt;=10,"6–10",
IF(tbl_abs[[#This Row],[Distance from Residence to Work]]&lt;=20,"11–20",
"21+"))),"")</f>
        <v>21+</v>
      </c>
      <c r="Y466" s="53" t="str">
        <f>IFERROR(
IF(tbl_abs[[#This Row],[Body Mass Index]]&lt;18.5,"Underweight",
IF(tbl_abs[[#This Row],[Body Mass Index]]&lt;25,"Normal",
IF(tbl_abs[[#This Row],[Body Mass Index]]&lt;30,"Overweight",
"Obese"))),"")</f>
        <v>Obese</v>
      </c>
      <c r="Z466" s="53" t="str">
        <f>IFERROR(
IF(tbl_abs[[#This Row],[Absenteeism time in hours]]&lt;=2,"0–2",
IF(tbl_abs[[#This Row],[Absenteeism time in hours]]&lt;=8,"3–8",
IF(tbl_abs[[#This Row],[Absenteeism time in hours]]&lt;=16,"9–16",
"17+"))),"")</f>
        <v>3–8</v>
      </c>
    </row>
    <row r="467" spans="1:26" ht="15" customHeight="1" x14ac:dyDescent="0.3">
      <c r="A467">
        <v>3</v>
      </c>
      <c r="B467">
        <v>23</v>
      </c>
      <c r="C467" s="1">
        <v>8</v>
      </c>
      <c r="D467">
        <v>2</v>
      </c>
      <c r="E467">
        <v>1</v>
      </c>
      <c r="F467">
        <v>179</v>
      </c>
      <c r="G467" s="1">
        <v>51</v>
      </c>
      <c r="H467">
        <v>18</v>
      </c>
      <c r="I467" s="1">
        <v>38</v>
      </c>
      <c r="J467" s="2">
        <v>205917</v>
      </c>
      <c r="K467">
        <v>92</v>
      </c>
      <c r="L467">
        <v>0</v>
      </c>
      <c r="M467">
        <v>1</v>
      </c>
      <c r="N467">
        <v>0</v>
      </c>
      <c r="O467">
        <v>1</v>
      </c>
      <c r="P467">
        <v>0</v>
      </c>
      <c r="Q467">
        <v>0</v>
      </c>
      <c r="R467">
        <v>89</v>
      </c>
      <c r="S467">
        <v>170</v>
      </c>
      <c r="T467">
        <v>31</v>
      </c>
      <c r="U467">
        <v>2</v>
      </c>
      <c r="V467" s="53" t="str">
        <f>IFERROR(
IF(tbl_abs[[#This Row],[Month of absence]]=0,"Unknown",
CHOOSE(tbl_abs[[#This Row],[Month of absence]],
"Jan","Feb","Mar","Apr","May","Jun","Jul","Aug","Sep","Oct","Nov","Dec")),"")</f>
        <v>Aug</v>
      </c>
      <c r="W467" s="53" t="str">
        <f>IFERROR(
IF(tbl_abs[[#This Row],[Age]]&lt;30,"&lt;30",
IF(tbl_abs[[#This Row],[Age]]&lt;40,"30–39",
IF(tbl_abs[[#This Row],[Age]]&lt;50,"40–49",
IF(tbl_abs[[#This Row],[Age]]&lt;60,"50–59",
"60+")))),"")</f>
        <v>30–39</v>
      </c>
      <c r="X467" s="53" t="str">
        <f>IFERROR(
IF(tbl_abs[[#This Row],[Distance from Residence to Work]]&lt;=5,"0–5",
IF(tbl_abs[[#This Row],[Distance from Residence to Work]]&lt;=10,"6–10",
IF(tbl_abs[[#This Row],[Distance from Residence to Work]]&lt;=20,"11–20",
"21+"))),"")</f>
        <v>21+</v>
      </c>
      <c r="Y467" s="53" t="str">
        <f>IFERROR(
IF(tbl_abs[[#This Row],[Body Mass Index]]&lt;18.5,"Underweight",
IF(tbl_abs[[#This Row],[Body Mass Index]]&lt;25,"Normal",
IF(tbl_abs[[#This Row],[Body Mass Index]]&lt;30,"Overweight",
"Obese"))),"")</f>
        <v>Obese</v>
      </c>
      <c r="Z467" s="53" t="str">
        <f>IFERROR(
IF(tbl_abs[[#This Row],[Absenteeism time in hours]]&lt;=2,"0–2",
IF(tbl_abs[[#This Row],[Absenteeism time in hours]]&lt;=8,"3–8",
IF(tbl_abs[[#This Row],[Absenteeism time in hours]]&lt;=16,"9–16",
"17+"))),"")</f>
        <v>0–2</v>
      </c>
    </row>
    <row r="468" spans="1:26" ht="15" customHeight="1" x14ac:dyDescent="0.3">
      <c r="A468">
        <v>10</v>
      </c>
      <c r="B468">
        <v>23</v>
      </c>
      <c r="C468" s="1">
        <v>8</v>
      </c>
      <c r="D468">
        <v>2</v>
      </c>
      <c r="E468">
        <v>1</v>
      </c>
      <c r="F468">
        <v>361</v>
      </c>
      <c r="G468" s="1">
        <v>52</v>
      </c>
      <c r="H468">
        <v>3</v>
      </c>
      <c r="I468" s="1">
        <v>28</v>
      </c>
      <c r="J468" s="2">
        <v>205917</v>
      </c>
      <c r="K468">
        <v>92</v>
      </c>
      <c r="L468">
        <v>0</v>
      </c>
      <c r="M468">
        <v>1</v>
      </c>
      <c r="N468">
        <v>1</v>
      </c>
      <c r="O468">
        <v>1</v>
      </c>
      <c r="P468">
        <v>0</v>
      </c>
      <c r="Q468">
        <v>4</v>
      </c>
      <c r="R468">
        <v>80</v>
      </c>
      <c r="S468">
        <v>172</v>
      </c>
      <c r="T468">
        <v>27</v>
      </c>
      <c r="U468">
        <v>1</v>
      </c>
      <c r="V468" s="53" t="str">
        <f>IFERROR(
IF(tbl_abs[[#This Row],[Month of absence]]=0,"Unknown",
CHOOSE(tbl_abs[[#This Row],[Month of absence]],
"Jan","Feb","Mar","Apr","May","Jun","Jul","Aug","Sep","Oct","Nov","Dec")),"")</f>
        <v>Aug</v>
      </c>
      <c r="W468" s="53" t="str">
        <f>IFERROR(
IF(tbl_abs[[#This Row],[Age]]&lt;30,"&lt;30",
IF(tbl_abs[[#This Row],[Age]]&lt;40,"30–39",
IF(tbl_abs[[#This Row],[Age]]&lt;50,"40–49",
IF(tbl_abs[[#This Row],[Age]]&lt;60,"50–59",
"60+")))),"")</f>
        <v>&lt;30</v>
      </c>
      <c r="X468" s="53" t="str">
        <f>IFERROR(
IF(tbl_abs[[#This Row],[Distance from Residence to Work]]&lt;=5,"0–5",
IF(tbl_abs[[#This Row],[Distance from Residence to Work]]&lt;=10,"6–10",
IF(tbl_abs[[#This Row],[Distance from Residence to Work]]&lt;=20,"11–20",
"21+"))),"")</f>
        <v>21+</v>
      </c>
      <c r="Y468" s="53" t="str">
        <f>IFERROR(
IF(tbl_abs[[#This Row],[Body Mass Index]]&lt;18.5,"Underweight",
IF(tbl_abs[[#This Row],[Body Mass Index]]&lt;25,"Normal",
IF(tbl_abs[[#This Row],[Body Mass Index]]&lt;30,"Overweight",
"Obese"))),"")</f>
        <v>Overweight</v>
      </c>
      <c r="Z468" s="53" t="str">
        <f>IFERROR(
IF(tbl_abs[[#This Row],[Absenteeism time in hours]]&lt;=2,"0–2",
IF(tbl_abs[[#This Row],[Absenteeism time in hours]]&lt;=8,"3–8",
IF(tbl_abs[[#This Row],[Absenteeism time in hours]]&lt;=16,"9–16",
"17+"))),"")</f>
        <v>0–2</v>
      </c>
    </row>
    <row r="469" spans="1:26" ht="15" customHeight="1" x14ac:dyDescent="0.3">
      <c r="A469">
        <v>11</v>
      </c>
      <c r="B469">
        <v>24</v>
      </c>
      <c r="C469" s="1">
        <v>8</v>
      </c>
      <c r="D469">
        <v>3</v>
      </c>
      <c r="E469">
        <v>1</v>
      </c>
      <c r="F469">
        <v>289</v>
      </c>
      <c r="G469" s="1">
        <v>36</v>
      </c>
      <c r="H469">
        <v>13</v>
      </c>
      <c r="I469" s="1">
        <v>33</v>
      </c>
      <c r="J469" s="2">
        <v>205917</v>
      </c>
      <c r="K469">
        <v>92</v>
      </c>
      <c r="L469">
        <v>0</v>
      </c>
      <c r="M469">
        <v>1</v>
      </c>
      <c r="N469">
        <v>2</v>
      </c>
      <c r="O469">
        <v>1</v>
      </c>
      <c r="P469">
        <v>0</v>
      </c>
      <c r="Q469">
        <v>1</v>
      </c>
      <c r="R469">
        <v>90</v>
      </c>
      <c r="S469">
        <v>172</v>
      </c>
      <c r="T469">
        <v>30</v>
      </c>
      <c r="U469">
        <v>8</v>
      </c>
      <c r="V469" s="53" t="str">
        <f>IFERROR(
IF(tbl_abs[[#This Row],[Month of absence]]=0,"Unknown",
CHOOSE(tbl_abs[[#This Row],[Month of absence]],
"Jan","Feb","Mar","Apr","May","Jun","Jul","Aug","Sep","Oct","Nov","Dec")),"")</f>
        <v>Aug</v>
      </c>
      <c r="W469" s="53" t="str">
        <f>IFERROR(
IF(tbl_abs[[#This Row],[Age]]&lt;30,"&lt;30",
IF(tbl_abs[[#This Row],[Age]]&lt;40,"30–39",
IF(tbl_abs[[#This Row],[Age]]&lt;50,"40–49",
IF(tbl_abs[[#This Row],[Age]]&lt;60,"50–59",
"60+")))),"")</f>
        <v>30–39</v>
      </c>
      <c r="X469" s="53" t="str">
        <f>IFERROR(
IF(tbl_abs[[#This Row],[Distance from Residence to Work]]&lt;=5,"0–5",
IF(tbl_abs[[#This Row],[Distance from Residence to Work]]&lt;=10,"6–10",
IF(tbl_abs[[#This Row],[Distance from Residence to Work]]&lt;=20,"11–20",
"21+"))),"")</f>
        <v>21+</v>
      </c>
      <c r="Y469" s="53" t="str">
        <f>IFERROR(
IF(tbl_abs[[#This Row],[Body Mass Index]]&lt;18.5,"Underweight",
IF(tbl_abs[[#This Row],[Body Mass Index]]&lt;25,"Normal",
IF(tbl_abs[[#This Row],[Body Mass Index]]&lt;30,"Overweight",
"Obese"))),"")</f>
        <v>Obese</v>
      </c>
      <c r="Z469" s="53" t="str">
        <f>IFERROR(
IF(tbl_abs[[#This Row],[Absenteeism time in hours]]&lt;=2,"0–2",
IF(tbl_abs[[#This Row],[Absenteeism time in hours]]&lt;=8,"3–8",
IF(tbl_abs[[#This Row],[Absenteeism time in hours]]&lt;=16,"9–16",
"17+"))),"")</f>
        <v>3–8</v>
      </c>
    </row>
    <row r="470" spans="1:26" ht="15" customHeight="1" x14ac:dyDescent="0.3">
      <c r="A470">
        <v>19</v>
      </c>
      <c r="B470">
        <v>11</v>
      </c>
      <c r="C470" s="1">
        <v>8</v>
      </c>
      <c r="D470">
        <v>5</v>
      </c>
      <c r="E470">
        <v>1</v>
      </c>
      <c r="F470">
        <v>291</v>
      </c>
      <c r="G470" s="1">
        <v>50</v>
      </c>
      <c r="H470">
        <v>12</v>
      </c>
      <c r="I470" s="1">
        <v>32</v>
      </c>
      <c r="J470" s="2">
        <v>205917</v>
      </c>
      <c r="K470">
        <v>92</v>
      </c>
      <c r="L470">
        <v>0</v>
      </c>
      <c r="M470">
        <v>1</v>
      </c>
      <c r="N470">
        <v>0</v>
      </c>
      <c r="O470">
        <v>1</v>
      </c>
      <c r="P470">
        <v>0</v>
      </c>
      <c r="Q470">
        <v>0</v>
      </c>
      <c r="R470">
        <v>65</v>
      </c>
      <c r="S470">
        <v>169</v>
      </c>
      <c r="U470">
        <v>4</v>
      </c>
      <c r="V470" s="53" t="str">
        <f>IFERROR(
IF(tbl_abs[[#This Row],[Month of absence]]=0,"Unknown",
CHOOSE(tbl_abs[[#This Row],[Month of absence]],
"Jan","Feb","Mar","Apr","May","Jun","Jul","Aug","Sep","Oct","Nov","Dec")),"")</f>
        <v>Aug</v>
      </c>
      <c r="W470" s="53" t="str">
        <f>IFERROR(
IF(tbl_abs[[#This Row],[Age]]&lt;30,"&lt;30",
IF(tbl_abs[[#This Row],[Age]]&lt;40,"30–39",
IF(tbl_abs[[#This Row],[Age]]&lt;50,"40–49",
IF(tbl_abs[[#This Row],[Age]]&lt;60,"50–59",
"60+")))),"")</f>
        <v>30–39</v>
      </c>
      <c r="X470" s="53" t="str">
        <f>IFERROR(
IF(tbl_abs[[#This Row],[Distance from Residence to Work]]&lt;=5,"0–5",
IF(tbl_abs[[#This Row],[Distance from Residence to Work]]&lt;=10,"6–10",
IF(tbl_abs[[#This Row],[Distance from Residence to Work]]&lt;=20,"11–20",
"21+"))),"")</f>
        <v>21+</v>
      </c>
      <c r="Y470" s="53" t="str">
        <f>IFERROR(
IF(tbl_abs[[#This Row],[Body Mass Index]]&lt;18.5,"Underweight",
IF(tbl_abs[[#This Row],[Body Mass Index]]&lt;25,"Normal",
IF(tbl_abs[[#This Row],[Body Mass Index]]&lt;30,"Overweight",
"Obese"))),"")</f>
        <v>Underweight</v>
      </c>
      <c r="Z470" s="53" t="str">
        <f>IFERROR(
IF(tbl_abs[[#This Row],[Absenteeism time in hours]]&lt;=2,"0–2",
IF(tbl_abs[[#This Row],[Absenteeism time in hours]]&lt;=8,"3–8",
IF(tbl_abs[[#This Row],[Absenteeism time in hours]]&lt;=16,"9–16",
"17+"))),"")</f>
        <v>3–8</v>
      </c>
    </row>
    <row r="471" spans="1:26" ht="15" customHeight="1" x14ac:dyDescent="0.3">
      <c r="A471">
        <v>2</v>
      </c>
      <c r="B471">
        <v>28</v>
      </c>
      <c r="C471" s="1">
        <v>8</v>
      </c>
      <c r="D471">
        <v>6</v>
      </c>
      <c r="E471">
        <v>1</v>
      </c>
      <c r="F471">
        <v>235</v>
      </c>
      <c r="G471" s="1">
        <v>29</v>
      </c>
      <c r="H471">
        <v>12</v>
      </c>
      <c r="I471" s="1">
        <v>48</v>
      </c>
      <c r="J471" s="2">
        <v>205917</v>
      </c>
      <c r="K471">
        <v>92</v>
      </c>
      <c r="L471">
        <v>0</v>
      </c>
      <c r="M471">
        <v>1</v>
      </c>
      <c r="N471">
        <v>1</v>
      </c>
      <c r="O471">
        <v>0</v>
      </c>
      <c r="P471">
        <v>1</v>
      </c>
      <c r="Q471">
        <v>5</v>
      </c>
      <c r="R471">
        <v>88</v>
      </c>
      <c r="S471">
        <v>163</v>
      </c>
      <c r="T471">
        <v>33</v>
      </c>
      <c r="U471">
        <v>8</v>
      </c>
      <c r="V471" s="53" t="str">
        <f>IFERROR(
IF(tbl_abs[[#This Row],[Month of absence]]=0,"Unknown",
CHOOSE(tbl_abs[[#This Row],[Month of absence]],
"Jan","Feb","Mar","Apr","May","Jun","Jul","Aug","Sep","Oct","Nov","Dec")),"")</f>
        <v>Aug</v>
      </c>
      <c r="W471" s="53" t="str">
        <f>IFERROR(
IF(tbl_abs[[#This Row],[Age]]&lt;30,"&lt;30",
IF(tbl_abs[[#This Row],[Age]]&lt;40,"30–39",
IF(tbl_abs[[#This Row],[Age]]&lt;50,"40–49",
IF(tbl_abs[[#This Row],[Age]]&lt;60,"50–59",
"60+")))),"")</f>
        <v>40–49</v>
      </c>
      <c r="X471" s="53" t="str">
        <f>IFERROR(
IF(tbl_abs[[#This Row],[Distance from Residence to Work]]&lt;=5,"0–5",
IF(tbl_abs[[#This Row],[Distance from Residence to Work]]&lt;=10,"6–10",
IF(tbl_abs[[#This Row],[Distance from Residence to Work]]&lt;=20,"11–20",
"21+"))),"")</f>
        <v>21+</v>
      </c>
      <c r="Y471" s="53" t="str">
        <f>IFERROR(
IF(tbl_abs[[#This Row],[Body Mass Index]]&lt;18.5,"Underweight",
IF(tbl_abs[[#This Row],[Body Mass Index]]&lt;25,"Normal",
IF(tbl_abs[[#This Row],[Body Mass Index]]&lt;30,"Overweight",
"Obese"))),"")</f>
        <v>Obese</v>
      </c>
      <c r="Z471" s="53" t="str">
        <f>IFERROR(
IF(tbl_abs[[#This Row],[Absenteeism time in hours]]&lt;=2,"0–2",
IF(tbl_abs[[#This Row],[Absenteeism time in hours]]&lt;=8,"3–8",
IF(tbl_abs[[#This Row],[Absenteeism time in hours]]&lt;=16,"9–16",
"17+"))),"")</f>
        <v>3–8</v>
      </c>
    </row>
    <row r="472" spans="1:26" ht="15" customHeight="1" x14ac:dyDescent="0.3">
      <c r="A472">
        <v>20</v>
      </c>
      <c r="B472">
        <v>23</v>
      </c>
      <c r="C472" s="1">
        <v>8</v>
      </c>
      <c r="D472">
        <v>6</v>
      </c>
      <c r="E472">
        <v>1</v>
      </c>
      <c r="F472">
        <v>260</v>
      </c>
      <c r="G472" s="1">
        <v>50</v>
      </c>
      <c r="H472">
        <v>11</v>
      </c>
      <c r="I472" s="1">
        <v>36</v>
      </c>
      <c r="J472" s="2">
        <v>205917</v>
      </c>
      <c r="K472">
        <v>92</v>
      </c>
      <c r="L472">
        <v>0</v>
      </c>
      <c r="M472">
        <v>1</v>
      </c>
      <c r="N472">
        <v>4</v>
      </c>
      <c r="O472">
        <v>1</v>
      </c>
      <c r="P472">
        <v>0</v>
      </c>
      <c r="Q472">
        <v>0</v>
      </c>
      <c r="R472">
        <v>65</v>
      </c>
      <c r="S472">
        <v>168</v>
      </c>
      <c r="T472">
        <v>23</v>
      </c>
      <c r="U472">
        <v>4</v>
      </c>
      <c r="V472" s="53" t="str">
        <f>IFERROR(
IF(tbl_abs[[#This Row],[Month of absence]]=0,"Unknown",
CHOOSE(tbl_abs[[#This Row],[Month of absence]],
"Jan","Feb","Mar","Apr","May","Jun","Jul","Aug","Sep","Oct","Nov","Dec")),"")</f>
        <v>Aug</v>
      </c>
      <c r="W472" s="53" t="str">
        <f>IFERROR(
IF(tbl_abs[[#This Row],[Age]]&lt;30,"&lt;30",
IF(tbl_abs[[#This Row],[Age]]&lt;40,"30–39",
IF(tbl_abs[[#This Row],[Age]]&lt;50,"40–49",
IF(tbl_abs[[#This Row],[Age]]&lt;60,"50–59",
"60+")))),"")</f>
        <v>30–39</v>
      </c>
      <c r="X472" s="53" t="str">
        <f>IFERROR(
IF(tbl_abs[[#This Row],[Distance from Residence to Work]]&lt;=5,"0–5",
IF(tbl_abs[[#This Row],[Distance from Residence to Work]]&lt;=10,"6–10",
IF(tbl_abs[[#This Row],[Distance from Residence to Work]]&lt;=20,"11–20",
"21+"))),"")</f>
        <v>21+</v>
      </c>
      <c r="Y472" s="53" t="str">
        <f>IFERROR(
IF(tbl_abs[[#This Row],[Body Mass Index]]&lt;18.5,"Underweight",
IF(tbl_abs[[#This Row],[Body Mass Index]]&lt;25,"Normal",
IF(tbl_abs[[#This Row],[Body Mass Index]]&lt;30,"Overweight",
"Obese"))),"")</f>
        <v>Normal</v>
      </c>
      <c r="Z472" s="53" t="str">
        <f>IFERROR(
IF(tbl_abs[[#This Row],[Absenteeism time in hours]]&lt;=2,"0–2",
IF(tbl_abs[[#This Row],[Absenteeism time in hours]]&lt;=8,"3–8",
IF(tbl_abs[[#This Row],[Absenteeism time in hours]]&lt;=16,"9–16",
"17+"))),"")</f>
        <v>3–8</v>
      </c>
    </row>
    <row r="473" spans="1:26" ht="15" customHeight="1" x14ac:dyDescent="0.3">
      <c r="A473">
        <v>11</v>
      </c>
      <c r="B473">
        <v>19</v>
      </c>
      <c r="C473" s="1">
        <v>8</v>
      </c>
      <c r="D473">
        <v>6</v>
      </c>
      <c r="E473">
        <v>1</v>
      </c>
      <c r="F473">
        <v>289</v>
      </c>
      <c r="G473" s="1">
        <v>36</v>
      </c>
      <c r="H473">
        <v>13</v>
      </c>
      <c r="I473" s="1">
        <v>33</v>
      </c>
      <c r="J473" s="2">
        <v>265615</v>
      </c>
      <c r="K473">
        <v>94</v>
      </c>
      <c r="L473">
        <v>0</v>
      </c>
      <c r="M473">
        <v>1</v>
      </c>
      <c r="N473">
        <v>2</v>
      </c>
      <c r="O473">
        <v>1</v>
      </c>
      <c r="P473">
        <v>0</v>
      </c>
      <c r="Q473">
        <v>1</v>
      </c>
      <c r="R473">
        <v>90</v>
      </c>
      <c r="S473">
        <v>172</v>
      </c>
      <c r="T473">
        <v>30</v>
      </c>
      <c r="U473">
        <v>8</v>
      </c>
      <c r="V473" s="53" t="str">
        <f>IFERROR(
IF(tbl_abs[[#This Row],[Month of absence]]=0,"Unknown",
CHOOSE(tbl_abs[[#This Row],[Month of absence]],
"Jan","Feb","Mar","Apr","May","Jun","Jul","Aug","Sep","Oct","Nov","Dec")),"")</f>
        <v>Aug</v>
      </c>
      <c r="W473" s="53" t="str">
        <f>IFERROR(
IF(tbl_abs[[#This Row],[Age]]&lt;30,"&lt;30",
IF(tbl_abs[[#This Row],[Age]]&lt;40,"30–39",
IF(tbl_abs[[#This Row],[Age]]&lt;50,"40–49",
IF(tbl_abs[[#This Row],[Age]]&lt;60,"50–59",
"60+")))),"")</f>
        <v>30–39</v>
      </c>
      <c r="X473" s="53" t="str">
        <f>IFERROR(
IF(tbl_abs[[#This Row],[Distance from Residence to Work]]&lt;=5,"0–5",
IF(tbl_abs[[#This Row],[Distance from Residence to Work]]&lt;=10,"6–10",
IF(tbl_abs[[#This Row],[Distance from Residence to Work]]&lt;=20,"11–20",
"21+"))),"")</f>
        <v>21+</v>
      </c>
      <c r="Y473" s="53" t="str">
        <f>IFERROR(
IF(tbl_abs[[#This Row],[Body Mass Index]]&lt;18.5,"Underweight",
IF(tbl_abs[[#This Row],[Body Mass Index]]&lt;25,"Normal",
IF(tbl_abs[[#This Row],[Body Mass Index]]&lt;30,"Overweight",
"Obese"))),"")</f>
        <v>Obese</v>
      </c>
      <c r="Z473" s="53" t="str">
        <f>IFERROR(
IF(tbl_abs[[#This Row],[Absenteeism time in hours]]&lt;=2,"0–2",
IF(tbl_abs[[#This Row],[Absenteeism time in hours]]&lt;=8,"3–8",
IF(tbl_abs[[#This Row],[Absenteeism time in hours]]&lt;=16,"9–16",
"17+"))),"")</f>
        <v>3–8</v>
      </c>
    </row>
    <row r="474" spans="1:26" ht="15" customHeight="1" x14ac:dyDescent="0.3">
      <c r="A474">
        <v>30</v>
      </c>
      <c r="B474">
        <v>19</v>
      </c>
      <c r="C474" s="1">
        <v>8</v>
      </c>
      <c r="D474">
        <v>6</v>
      </c>
      <c r="E474">
        <v>1</v>
      </c>
      <c r="F474">
        <v>157</v>
      </c>
      <c r="G474" s="1">
        <v>27</v>
      </c>
      <c r="H474">
        <v>6</v>
      </c>
      <c r="I474" s="1">
        <v>29</v>
      </c>
      <c r="J474" s="2">
        <v>265615</v>
      </c>
      <c r="K474">
        <v>94</v>
      </c>
      <c r="L474">
        <v>0</v>
      </c>
      <c r="M474">
        <v>1</v>
      </c>
      <c r="N474">
        <v>0</v>
      </c>
      <c r="O474">
        <v>1</v>
      </c>
      <c r="P474">
        <v>1</v>
      </c>
      <c r="Q474">
        <v>0</v>
      </c>
      <c r="R474">
        <v>75</v>
      </c>
      <c r="S474">
        <v>185</v>
      </c>
      <c r="T474">
        <v>22</v>
      </c>
      <c r="U474">
        <v>3</v>
      </c>
      <c r="V474" s="53" t="str">
        <f>IFERROR(
IF(tbl_abs[[#This Row],[Month of absence]]=0,"Unknown",
CHOOSE(tbl_abs[[#This Row],[Month of absence]],
"Jan","Feb","Mar","Apr","May","Jun","Jul","Aug","Sep","Oct","Nov","Dec")),"")</f>
        <v>Aug</v>
      </c>
      <c r="W474" s="53" t="str">
        <f>IFERROR(
IF(tbl_abs[[#This Row],[Age]]&lt;30,"&lt;30",
IF(tbl_abs[[#This Row],[Age]]&lt;40,"30–39",
IF(tbl_abs[[#This Row],[Age]]&lt;50,"40–49",
IF(tbl_abs[[#This Row],[Age]]&lt;60,"50–59",
"60+")))),"")</f>
        <v>&lt;30</v>
      </c>
      <c r="X474" s="53" t="str">
        <f>IFERROR(
IF(tbl_abs[[#This Row],[Distance from Residence to Work]]&lt;=5,"0–5",
IF(tbl_abs[[#This Row],[Distance from Residence to Work]]&lt;=10,"6–10",
IF(tbl_abs[[#This Row],[Distance from Residence to Work]]&lt;=20,"11–20",
"21+"))),"")</f>
        <v>21+</v>
      </c>
      <c r="Y474" s="53" t="str">
        <f>IFERROR(
IF(tbl_abs[[#This Row],[Body Mass Index]]&lt;18.5,"Underweight",
IF(tbl_abs[[#This Row],[Body Mass Index]]&lt;25,"Normal",
IF(tbl_abs[[#This Row],[Body Mass Index]]&lt;30,"Overweight",
"Obese"))),"")</f>
        <v>Normal</v>
      </c>
      <c r="Z474" s="53" t="str">
        <f>IFERROR(
IF(tbl_abs[[#This Row],[Absenteeism time in hours]]&lt;=2,"0–2",
IF(tbl_abs[[#This Row],[Absenteeism time in hours]]&lt;=8,"3–8",
IF(tbl_abs[[#This Row],[Absenteeism time in hours]]&lt;=16,"9–16",
"17+"))),"")</f>
        <v>3–8</v>
      </c>
    </row>
    <row r="475" spans="1:26" ht="15" customHeight="1" x14ac:dyDescent="0.3">
      <c r="A475">
        <v>11</v>
      </c>
      <c r="B475">
        <v>23</v>
      </c>
      <c r="C475" s="1">
        <v>8</v>
      </c>
      <c r="D475">
        <v>2</v>
      </c>
      <c r="E475">
        <v>1</v>
      </c>
      <c r="F475">
        <v>289</v>
      </c>
      <c r="G475" s="1">
        <v>36</v>
      </c>
      <c r="H475">
        <v>13</v>
      </c>
      <c r="I475" s="1">
        <v>33</v>
      </c>
      <c r="J475" s="2">
        <v>265615</v>
      </c>
      <c r="K475">
        <v>94</v>
      </c>
      <c r="L475">
        <v>0</v>
      </c>
      <c r="M475">
        <v>1</v>
      </c>
      <c r="N475">
        <v>2</v>
      </c>
      <c r="O475">
        <v>1</v>
      </c>
      <c r="P475">
        <v>0</v>
      </c>
      <c r="Q475">
        <v>1</v>
      </c>
      <c r="R475">
        <v>90</v>
      </c>
      <c r="S475">
        <v>172</v>
      </c>
      <c r="T475">
        <v>30</v>
      </c>
      <c r="U475">
        <v>1</v>
      </c>
      <c r="V475" s="53" t="str">
        <f>IFERROR(
IF(tbl_abs[[#This Row],[Month of absence]]=0,"Unknown",
CHOOSE(tbl_abs[[#This Row],[Month of absence]],
"Jan","Feb","Mar","Apr","May","Jun","Jul","Aug","Sep","Oct","Nov","Dec")),"")</f>
        <v>Aug</v>
      </c>
      <c r="W475" s="53" t="str">
        <f>IFERROR(
IF(tbl_abs[[#This Row],[Age]]&lt;30,"&lt;30",
IF(tbl_abs[[#This Row],[Age]]&lt;40,"30–39",
IF(tbl_abs[[#This Row],[Age]]&lt;50,"40–49",
IF(tbl_abs[[#This Row],[Age]]&lt;60,"50–59",
"60+")))),"")</f>
        <v>30–39</v>
      </c>
      <c r="X475" s="53" t="str">
        <f>IFERROR(
IF(tbl_abs[[#This Row],[Distance from Residence to Work]]&lt;=5,"0–5",
IF(tbl_abs[[#This Row],[Distance from Residence to Work]]&lt;=10,"6–10",
IF(tbl_abs[[#This Row],[Distance from Residence to Work]]&lt;=20,"11–20",
"21+"))),"")</f>
        <v>21+</v>
      </c>
      <c r="Y475" s="53" t="str">
        <f>IFERROR(
IF(tbl_abs[[#This Row],[Body Mass Index]]&lt;18.5,"Underweight",
IF(tbl_abs[[#This Row],[Body Mass Index]]&lt;25,"Normal",
IF(tbl_abs[[#This Row],[Body Mass Index]]&lt;30,"Overweight",
"Obese"))),"")</f>
        <v>Obese</v>
      </c>
      <c r="Z475" s="53" t="str">
        <f>IFERROR(
IF(tbl_abs[[#This Row],[Absenteeism time in hours]]&lt;=2,"0–2",
IF(tbl_abs[[#This Row],[Absenteeism time in hours]]&lt;=8,"3–8",
IF(tbl_abs[[#This Row],[Absenteeism time in hours]]&lt;=16,"9–16",
"17+"))),"")</f>
        <v>0–2</v>
      </c>
    </row>
    <row r="476" spans="1:26" ht="15" customHeight="1" x14ac:dyDescent="0.3">
      <c r="A476">
        <v>9</v>
      </c>
      <c r="B476">
        <v>18</v>
      </c>
      <c r="C476" s="1">
        <v>8</v>
      </c>
      <c r="D476">
        <v>3</v>
      </c>
      <c r="E476">
        <v>1</v>
      </c>
      <c r="F476">
        <v>228</v>
      </c>
      <c r="G476" s="1">
        <v>14</v>
      </c>
      <c r="H476">
        <v>16</v>
      </c>
      <c r="I476" s="1">
        <v>58</v>
      </c>
      <c r="J476" s="2">
        <v>265615</v>
      </c>
      <c r="K476">
        <v>94</v>
      </c>
      <c r="L476">
        <v>0</v>
      </c>
      <c r="M476">
        <v>1</v>
      </c>
      <c r="N476">
        <v>2</v>
      </c>
      <c r="O476">
        <v>0</v>
      </c>
      <c r="P476">
        <v>0</v>
      </c>
      <c r="Q476">
        <v>1</v>
      </c>
      <c r="R476">
        <v>65</v>
      </c>
      <c r="S476">
        <v>172</v>
      </c>
      <c r="T476">
        <v>22</v>
      </c>
      <c r="U476">
        <v>8</v>
      </c>
      <c r="V476" s="53" t="str">
        <f>IFERROR(
IF(tbl_abs[[#This Row],[Month of absence]]=0,"Unknown",
CHOOSE(tbl_abs[[#This Row],[Month of absence]],
"Jan","Feb","Mar","Apr","May","Jun","Jul","Aug","Sep","Oct","Nov","Dec")),"")</f>
        <v>Aug</v>
      </c>
      <c r="W476" s="53" t="str">
        <f>IFERROR(
IF(tbl_abs[[#This Row],[Age]]&lt;30,"&lt;30",
IF(tbl_abs[[#This Row],[Age]]&lt;40,"30–39",
IF(tbl_abs[[#This Row],[Age]]&lt;50,"40–49",
IF(tbl_abs[[#This Row],[Age]]&lt;60,"50–59",
"60+")))),"")</f>
        <v>50–59</v>
      </c>
      <c r="X476" s="53" t="str">
        <f>IFERROR(
IF(tbl_abs[[#This Row],[Distance from Residence to Work]]&lt;=5,"0–5",
IF(tbl_abs[[#This Row],[Distance from Residence to Work]]&lt;=10,"6–10",
IF(tbl_abs[[#This Row],[Distance from Residence to Work]]&lt;=20,"11–20",
"21+"))),"")</f>
        <v>11–20</v>
      </c>
      <c r="Y476" s="53" t="str">
        <f>IFERROR(
IF(tbl_abs[[#This Row],[Body Mass Index]]&lt;18.5,"Underweight",
IF(tbl_abs[[#This Row],[Body Mass Index]]&lt;25,"Normal",
IF(tbl_abs[[#This Row],[Body Mass Index]]&lt;30,"Overweight",
"Obese"))),"")</f>
        <v>Normal</v>
      </c>
      <c r="Z476" s="53" t="str">
        <f>IFERROR(
IF(tbl_abs[[#This Row],[Absenteeism time in hours]]&lt;=2,"0–2",
IF(tbl_abs[[#This Row],[Absenteeism time in hours]]&lt;=8,"3–8",
IF(tbl_abs[[#This Row],[Absenteeism time in hours]]&lt;=16,"9–16",
"17+"))),"")</f>
        <v>3–8</v>
      </c>
    </row>
    <row r="477" spans="1:26" ht="15" customHeight="1" x14ac:dyDescent="0.3">
      <c r="A477">
        <v>26</v>
      </c>
      <c r="B477">
        <v>13</v>
      </c>
      <c r="C477" s="1">
        <v>8</v>
      </c>
      <c r="D477">
        <v>5</v>
      </c>
      <c r="E477">
        <v>1</v>
      </c>
      <c r="F477">
        <v>300</v>
      </c>
      <c r="G477" s="1">
        <v>26</v>
      </c>
      <c r="H477">
        <v>13</v>
      </c>
      <c r="I477" s="1">
        <v>43</v>
      </c>
      <c r="J477" s="2">
        <v>265615</v>
      </c>
      <c r="K477">
        <v>94</v>
      </c>
      <c r="L477">
        <v>0</v>
      </c>
      <c r="M477">
        <v>1</v>
      </c>
      <c r="N477">
        <v>2</v>
      </c>
      <c r="O477">
        <v>1</v>
      </c>
      <c r="P477">
        <v>1</v>
      </c>
      <c r="Q477">
        <v>1</v>
      </c>
      <c r="R477">
        <v>77</v>
      </c>
      <c r="S477">
        <v>175</v>
      </c>
      <c r="T477">
        <v>25</v>
      </c>
      <c r="U477">
        <v>1</v>
      </c>
      <c r="V477" s="53" t="str">
        <f>IFERROR(
IF(tbl_abs[[#This Row],[Month of absence]]=0,"Unknown",
CHOOSE(tbl_abs[[#This Row],[Month of absence]],
"Jan","Feb","Mar","Apr","May","Jun","Jul","Aug","Sep","Oct","Nov","Dec")),"")</f>
        <v>Aug</v>
      </c>
      <c r="W477" s="53" t="str">
        <f>IFERROR(
IF(tbl_abs[[#This Row],[Age]]&lt;30,"&lt;30",
IF(tbl_abs[[#This Row],[Age]]&lt;40,"30–39",
IF(tbl_abs[[#This Row],[Age]]&lt;50,"40–49",
IF(tbl_abs[[#This Row],[Age]]&lt;60,"50–59",
"60+")))),"")</f>
        <v>40–49</v>
      </c>
      <c r="X477" s="53" t="str">
        <f>IFERROR(
IF(tbl_abs[[#This Row],[Distance from Residence to Work]]&lt;=5,"0–5",
IF(tbl_abs[[#This Row],[Distance from Residence to Work]]&lt;=10,"6–10",
IF(tbl_abs[[#This Row],[Distance from Residence to Work]]&lt;=20,"11–20",
"21+"))),"")</f>
        <v>21+</v>
      </c>
      <c r="Y477" s="53" t="str">
        <f>IFERROR(
IF(tbl_abs[[#This Row],[Body Mass Index]]&lt;18.5,"Underweight",
IF(tbl_abs[[#This Row],[Body Mass Index]]&lt;25,"Normal",
IF(tbl_abs[[#This Row],[Body Mass Index]]&lt;30,"Overweight",
"Obese"))),"")</f>
        <v>Overweight</v>
      </c>
      <c r="Z477" s="53" t="str">
        <f>IFERROR(
IF(tbl_abs[[#This Row],[Absenteeism time in hours]]&lt;=2,"0–2",
IF(tbl_abs[[#This Row],[Absenteeism time in hours]]&lt;=8,"3–8",
IF(tbl_abs[[#This Row],[Absenteeism time in hours]]&lt;=16,"9–16",
"17+"))),"")</f>
        <v>0–2</v>
      </c>
    </row>
    <row r="478" spans="1:26" ht="15" customHeight="1" x14ac:dyDescent="0.3">
      <c r="A478">
        <v>26</v>
      </c>
      <c r="B478">
        <v>14</v>
      </c>
      <c r="C478" s="1">
        <v>8</v>
      </c>
      <c r="D478">
        <v>5</v>
      </c>
      <c r="E478">
        <v>1</v>
      </c>
      <c r="F478">
        <v>300</v>
      </c>
      <c r="G478" s="1">
        <v>26</v>
      </c>
      <c r="H478">
        <v>13</v>
      </c>
      <c r="I478" s="1">
        <v>43</v>
      </c>
      <c r="J478" s="2">
        <v>265615</v>
      </c>
      <c r="K478">
        <v>94</v>
      </c>
      <c r="L478">
        <v>0</v>
      </c>
      <c r="M478">
        <v>1</v>
      </c>
      <c r="N478">
        <v>2</v>
      </c>
      <c r="O478">
        <v>1</v>
      </c>
      <c r="P478">
        <v>1</v>
      </c>
      <c r="Q478">
        <v>1</v>
      </c>
      <c r="R478">
        <v>77</v>
      </c>
      <c r="S478">
        <v>175</v>
      </c>
      <c r="T478">
        <v>25</v>
      </c>
      <c r="U478">
        <v>2</v>
      </c>
      <c r="V478" s="53" t="str">
        <f>IFERROR(
IF(tbl_abs[[#This Row],[Month of absence]]=0,"Unknown",
CHOOSE(tbl_abs[[#This Row],[Month of absence]],
"Jan","Feb","Mar","Apr","May","Jun","Jul","Aug","Sep","Oct","Nov","Dec")),"")</f>
        <v>Aug</v>
      </c>
      <c r="W478" s="53" t="str">
        <f>IFERROR(
IF(tbl_abs[[#This Row],[Age]]&lt;30,"&lt;30",
IF(tbl_abs[[#This Row],[Age]]&lt;40,"30–39",
IF(tbl_abs[[#This Row],[Age]]&lt;50,"40–49",
IF(tbl_abs[[#This Row],[Age]]&lt;60,"50–59",
"60+")))),"")</f>
        <v>40–49</v>
      </c>
      <c r="X478" s="53" t="str">
        <f>IFERROR(
IF(tbl_abs[[#This Row],[Distance from Residence to Work]]&lt;=5,"0–5",
IF(tbl_abs[[#This Row],[Distance from Residence to Work]]&lt;=10,"6–10",
IF(tbl_abs[[#This Row],[Distance from Residence to Work]]&lt;=20,"11–20",
"21+"))),"")</f>
        <v>21+</v>
      </c>
      <c r="Y478" s="53" t="str">
        <f>IFERROR(
IF(tbl_abs[[#This Row],[Body Mass Index]]&lt;18.5,"Underweight",
IF(tbl_abs[[#This Row],[Body Mass Index]]&lt;25,"Normal",
IF(tbl_abs[[#This Row],[Body Mass Index]]&lt;30,"Overweight",
"Obese"))),"")</f>
        <v>Overweight</v>
      </c>
      <c r="Z478" s="53" t="str">
        <f>IFERROR(
IF(tbl_abs[[#This Row],[Absenteeism time in hours]]&lt;=2,"0–2",
IF(tbl_abs[[#This Row],[Absenteeism time in hours]]&lt;=8,"3–8",
IF(tbl_abs[[#This Row],[Absenteeism time in hours]]&lt;=16,"9–16",
"17+"))),"")</f>
        <v>0–2</v>
      </c>
    </row>
    <row r="479" spans="1:26" ht="15" customHeight="1" x14ac:dyDescent="0.3">
      <c r="A479">
        <v>20</v>
      </c>
      <c r="B479">
        <v>28</v>
      </c>
      <c r="C479" s="1">
        <v>8</v>
      </c>
      <c r="D479">
        <v>6</v>
      </c>
      <c r="E479">
        <v>1</v>
      </c>
      <c r="F479">
        <v>260</v>
      </c>
      <c r="G479" s="1">
        <v>50</v>
      </c>
      <c r="H479">
        <v>11</v>
      </c>
      <c r="I479" s="1">
        <v>36</v>
      </c>
      <c r="J479" s="2">
        <v>265615</v>
      </c>
      <c r="K479">
        <v>94</v>
      </c>
      <c r="L479">
        <v>0</v>
      </c>
      <c r="M479">
        <v>1</v>
      </c>
      <c r="N479">
        <v>4</v>
      </c>
      <c r="O479">
        <v>1</v>
      </c>
      <c r="P479">
        <v>0</v>
      </c>
      <c r="Q479">
        <v>0</v>
      </c>
      <c r="R479">
        <v>65</v>
      </c>
      <c r="S479">
        <v>168</v>
      </c>
      <c r="T479">
        <v>23</v>
      </c>
      <c r="U479">
        <v>4</v>
      </c>
      <c r="V479" s="53" t="str">
        <f>IFERROR(
IF(tbl_abs[[#This Row],[Month of absence]]=0,"Unknown",
CHOOSE(tbl_abs[[#This Row],[Month of absence]],
"Jan","Feb","Mar","Apr","May","Jun","Jul","Aug","Sep","Oct","Nov","Dec")),"")</f>
        <v>Aug</v>
      </c>
      <c r="W479" s="53" t="str">
        <f>IFERROR(
IF(tbl_abs[[#This Row],[Age]]&lt;30,"&lt;30",
IF(tbl_abs[[#This Row],[Age]]&lt;40,"30–39",
IF(tbl_abs[[#This Row],[Age]]&lt;50,"40–49",
IF(tbl_abs[[#This Row],[Age]]&lt;60,"50–59",
"60+")))),"")</f>
        <v>30–39</v>
      </c>
      <c r="X479" s="53" t="str">
        <f>IFERROR(
IF(tbl_abs[[#This Row],[Distance from Residence to Work]]&lt;=5,"0–5",
IF(tbl_abs[[#This Row],[Distance from Residence to Work]]&lt;=10,"6–10",
IF(tbl_abs[[#This Row],[Distance from Residence to Work]]&lt;=20,"11–20",
"21+"))),"")</f>
        <v>21+</v>
      </c>
      <c r="Y479" s="53" t="str">
        <f>IFERROR(
IF(tbl_abs[[#This Row],[Body Mass Index]]&lt;18.5,"Underweight",
IF(tbl_abs[[#This Row],[Body Mass Index]]&lt;25,"Normal",
IF(tbl_abs[[#This Row],[Body Mass Index]]&lt;30,"Overweight",
"Obese"))),"")</f>
        <v>Normal</v>
      </c>
      <c r="Z479" s="53" t="str">
        <f>IFERROR(
IF(tbl_abs[[#This Row],[Absenteeism time in hours]]&lt;=2,"0–2",
IF(tbl_abs[[#This Row],[Absenteeism time in hours]]&lt;=8,"3–8",
IF(tbl_abs[[#This Row],[Absenteeism time in hours]]&lt;=16,"9–16",
"17+"))),"")</f>
        <v>3–8</v>
      </c>
    </row>
    <row r="480" spans="1:26" ht="15" customHeight="1" x14ac:dyDescent="0.3">
      <c r="A480">
        <v>11</v>
      </c>
      <c r="B480">
        <v>23</v>
      </c>
      <c r="C480" s="1">
        <v>8</v>
      </c>
      <c r="D480">
        <v>3</v>
      </c>
      <c r="E480">
        <v>1</v>
      </c>
      <c r="F480">
        <v>289</v>
      </c>
      <c r="G480" s="1">
        <v>36</v>
      </c>
      <c r="H480">
        <v>13</v>
      </c>
      <c r="I480" s="1">
        <v>33</v>
      </c>
      <c r="J480" s="2">
        <v>265615</v>
      </c>
      <c r="K480">
        <v>94</v>
      </c>
      <c r="L480">
        <v>0</v>
      </c>
      <c r="M480">
        <v>1</v>
      </c>
      <c r="N480">
        <v>2</v>
      </c>
      <c r="O480">
        <v>1</v>
      </c>
      <c r="P480">
        <v>0</v>
      </c>
      <c r="Q480">
        <v>1</v>
      </c>
      <c r="R480">
        <v>90</v>
      </c>
      <c r="S480">
        <v>172</v>
      </c>
      <c r="T480">
        <v>30</v>
      </c>
      <c r="U480">
        <v>4</v>
      </c>
      <c r="V480" s="53" t="str">
        <f>IFERROR(
IF(tbl_abs[[#This Row],[Month of absence]]=0,"Unknown",
CHOOSE(tbl_abs[[#This Row],[Month of absence]],
"Jan","Feb","Mar","Apr","May","Jun","Jul","Aug","Sep","Oct","Nov","Dec")),"")</f>
        <v>Aug</v>
      </c>
      <c r="W480" s="53" t="str">
        <f>IFERROR(
IF(tbl_abs[[#This Row],[Age]]&lt;30,"&lt;30",
IF(tbl_abs[[#This Row],[Age]]&lt;40,"30–39",
IF(tbl_abs[[#This Row],[Age]]&lt;50,"40–49",
IF(tbl_abs[[#This Row],[Age]]&lt;60,"50–59",
"60+")))),"")</f>
        <v>30–39</v>
      </c>
      <c r="X480" s="53" t="str">
        <f>IFERROR(
IF(tbl_abs[[#This Row],[Distance from Residence to Work]]&lt;=5,"0–5",
IF(tbl_abs[[#This Row],[Distance from Residence to Work]]&lt;=10,"6–10",
IF(tbl_abs[[#This Row],[Distance from Residence to Work]]&lt;=20,"11–20",
"21+"))),"")</f>
        <v>21+</v>
      </c>
      <c r="Y480" s="53" t="str">
        <f>IFERROR(
IF(tbl_abs[[#This Row],[Body Mass Index]]&lt;18.5,"Underweight",
IF(tbl_abs[[#This Row],[Body Mass Index]]&lt;25,"Normal",
IF(tbl_abs[[#This Row],[Body Mass Index]]&lt;30,"Overweight",
"Obese"))),"")</f>
        <v>Obese</v>
      </c>
      <c r="Z480" s="53" t="str">
        <f>IFERROR(
IF(tbl_abs[[#This Row],[Absenteeism time in hours]]&lt;=2,"0–2",
IF(tbl_abs[[#This Row],[Absenteeism time in hours]]&lt;=8,"3–8",
IF(tbl_abs[[#This Row],[Absenteeism time in hours]]&lt;=16,"9–16",
"17+"))),"")</f>
        <v>3–8</v>
      </c>
    </row>
    <row r="481" spans="1:26" ht="15" customHeight="1" x14ac:dyDescent="0.3">
      <c r="A481">
        <v>33</v>
      </c>
      <c r="B481">
        <v>23</v>
      </c>
      <c r="C481" s="1">
        <v>8</v>
      </c>
      <c r="D481">
        <v>4</v>
      </c>
      <c r="E481">
        <v>1</v>
      </c>
      <c r="F481">
        <v>248</v>
      </c>
      <c r="G481" s="1">
        <v>25</v>
      </c>
      <c r="H481">
        <v>14</v>
      </c>
      <c r="I481" s="1">
        <v>47</v>
      </c>
      <c r="J481" s="2">
        <v>265615</v>
      </c>
      <c r="K481">
        <v>94</v>
      </c>
      <c r="L481">
        <v>0</v>
      </c>
      <c r="M481">
        <v>1</v>
      </c>
      <c r="N481">
        <v>2</v>
      </c>
      <c r="O481">
        <v>0</v>
      </c>
      <c r="P481">
        <v>0</v>
      </c>
      <c r="Q481">
        <v>1</v>
      </c>
      <c r="R481">
        <v>86</v>
      </c>
      <c r="S481">
        <v>165</v>
      </c>
      <c r="T481">
        <v>32</v>
      </c>
      <c r="U481">
        <v>1</v>
      </c>
      <c r="V481" s="53" t="str">
        <f>IFERROR(
IF(tbl_abs[[#This Row],[Month of absence]]=0,"Unknown",
CHOOSE(tbl_abs[[#This Row],[Month of absence]],
"Jan","Feb","Mar","Apr","May","Jun","Jul","Aug","Sep","Oct","Nov","Dec")),"")</f>
        <v>Aug</v>
      </c>
      <c r="W481" s="53" t="str">
        <f>IFERROR(
IF(tbl_abs[[#This Row],[Age]]&lt;30,"&lt;30",
IF(tbl_abs[[#This Row],[Age]]&lt;40,"30–39",
IF(tbl_abs[[#This Row],[Age]]&lt;50,"40–49",
IF(tbl_abs[[#This Row],[Age]]&lt;60,"50–59",
"60+")))),"")</f>
        <v>40–49</v>
      </c>
      <c r="X481" s="53" t="str">
        <f>IFERROR(
IF(tbl_abs[[#This Row],[Distance from Residence to Work]]&lt;=5,"0–5",
IF(tbl_abs[[#This Row],[Distance from Residence to Work]]&lt;=10,"6–10",
IF(tbl_abs[[#This Row],[Distance from Residence to Work]]&lt;=20,"11–20",
"21+"))),"")</f>
        <v>21+</v>
      </c>
      <c r="Y481" s="53" t="str">
        <f>IFERROR(
IF(tbl_abs[[#This Row],[Body Mass Index]]&lt;18.5,"Underweight",
IF(tbl_abs[[#This Row],[Body Mass Index]]&lt;25,"Normal",
IF(tbl_abs[[#This Row],[Body Mass Index]]&lt;30,"Overweight",
"Obese"))),"")</f>
        <v>Obese</v>
      </c>
      <c r="Z481" s="53" t="str">
        <f>IFERROR(
IF(tbl_abs[[#This Row],[Absenteeism time in hours]]&lt;=2,"0–2",
IF(tbl_abs[[#This Row],[Absenteeism time in hours]]&lt;=8,"3–8",
IF(tbl_abs[[#This Row],[Absenteeism time in hours]]&lt;=16,"9–16",
"17+"))),"")</f>
        <v>0–2</v>
      </c>
    </row>
    <row r="482" spans="1:26" ht="15" customHeight="1" x14ac:dyDescent="0.3">
      <c r="A482">
        <v>21</v>
      </c>
      <c r="B482">
        <v>11</v>
      </c>
      <c r="C482" s="1">
        <v>8</v>
      </c>
      <c r="D482">
        <v>5</v>
      </c>
      <c r="E482">
        <v>1</v>
      </c>
      <c r="F482">
        <v>268</v>
      </c>
      <c r="G482" s="1">
        <v>11</v>
      </c>
      <c r="H482">
        <v>8</v>
      </c>
      <c r="I482" s="1">
        <v>33</v>
      </c>
      <c r="J482" s="2">
        <v>265615</v>
      </c>
      <c r="K482">
        <v>94</v>
      </c>
      <c r="L482">
        <v>0</v>
      </c>
      <c r="M482">
        <v>2</v>
      </c>
      <c r="N482">
        <v>0</v>
      </c>
      <c r="O482">
        <v>0</v>
      </c>
      <c r="P482">
        <v>0</v>
      </c>
      <c r="Q482">
        <v>0</v>
      </c>
      <c r="R482">
        <v>79</v>
      </c>
      <c r="S482">
        <v>178</v>
      </c>
      <c r="T482">
        <v>25</v>
      </c>
      <c r="U482">
        <v>8</v>
      </c>
      <c r="V482" s="53" t="str">
        <f>IFERROR(
IF(tbl_abs[[#This Row],[Month of absence]]=0,"Unknown",
CHOOSE(tbl_abs[[#This Row],[Month of absence]],
"Jan","Feb","Mar","Apr","May","Jun","Jul","Aug","Sep","Oct","Nov","Dec")),"")</f>
        <v>Aug</v>
      </c>
      <c r="W482" s="53" t="str">
        <f>IFERROR(
IF(tbl_abs[[#This Row],[Age]]&lt;30,"&lt;30",
IF(tbl_abs[[#This Row],[Age]]&lt;40,"30–39",
IF(tbl_abs[[#This Row],[Age]]&lt;50,"40–49",
IF(tbl_abs[[#This Row],[Age]]&lt;60,"50–59",
"60+")))),"")</f>
        <v>30–39</v>
      </c>
      <c r="X482" s="53" t="str">
        <f>IFERROR(
IF(tbl_abs[[#This Row],[Distance from Residence to Work]]&lt;=5,"0–5",
IF(tbl_abs[[#This Row],[Distance from Residence to Work]]&lt;=10,"6–10",
IF(tbl_abs[[#This Row],[Distance from Residence to Work]]&lt;=20,"11–20",
"21+"))),"")</f>
        <v>11–20</v>
      </c>
      <c r="Y482" s="53" t="str">
        <f>IFERROR(
IF(tbl_abs[[#This Row],[Body Mass Index]]&lt;18.5,"Underweight",
IF(tbl_abs[[#This Row],[Body Mass Index]]&lt;25,"Normal",
IF(tbl_abs[[#This Row],[Body Mass Index]]&lt;30,"Overweight",
"Obese"))),"")</f>
        <v>Overweight</v>
      </c>
      <c r="Z482" s="53" t="str">
        <f>IFERROR(
IF(tbl_abs[[#This Row],[Absenteeism time in hours]]&lt;=2,"0–2",
IF(tbl_abs[[#This Row],[Absenteeism time in hours]]&lt;=8,"3–8",
IF(tbl_abs[[#This Row],[Absenteeism time in hours]]&lt;=16,"9–16",
"17+"))),"")</f>
        <v>3–8</v>
      </c>
    </row>
    <row r="483" spans="1:26" ht="15" customHeight="1" x14ac:dyDescent="0.3">
      <c r="A483">
        <v>22</v>
      </c>
      <c r="B483">
        <v>23</v>
      </c>
      <c r="C483" s="1">
        <v>8</v>
      </c>
      <c r="D483">
        <v>5</v>
      </c>
      <c r="E483">
        <v>1</v>
      </c>
      <c r="F483">
        <v>179</v>
      </c>
      <c r="G483" s="1">
        <v>26</v>
      </c>
      <c r="H483">
        <v>9</v>
      </c>
      <c r="I483" s="1">
        <v>30</v>
      </c>
      <c r="J483" s="2">
        <v>265615</v>
      </c>
      <c r="K483">
        <v>94</v>
      </c>
      <c r="L483">
        <v>0</v>
      </c>
      <c r="M483">
        <v>3</v>
      </c>
      <c r="N483">
        <v>0</v>
      </c>
      <c r="O483">
        <v>0</v>
      </c>
      <c r="P483">
        <v>0</v>
      </c>
      <c r="Q483">
        <v>0</v>
      </c>
      <c r="R483">
        <v>56</v>
      </c>
      <c r="S483">
        <v>171</v>
      </c>
      <c r="T483">
        <v>19</v>
      </c>
      <c r="U483">
        <v>1</v>
      </c>
      <c r="V483" s="53" t="str">
        <f>IFERROR(
IF(tbl_abs[[#This Row],[Month of absence]]=0,"Unknown",
CHOOSE(tbl_abs[[#This Row],[Month of absence]],
"Jan","Feb","Mar","Apr","May","Jun","Jul","Aug","Sep","Oct","Nov","Dec")),"")</f>
        <v>Aug</v>
      </c>
      <c r="W483" s="53" t="str">
        <f>IFERROR(
IF(tbl_abs[[#This Row],[Age]]&lt;30,"&lt;30",
IF(tbl_abs[[#This Row],[Age]]&lt;40,"30–39",
IF(tbl_abs[[#This Row],[Age]]&lt;50,"40–49",
IF(tbl_abs[[#This Row],[Age]]&lt;60,"50–59",
"60+")))),"")</f>
        <v>30–39</v>
      </c>
      <c r="X483" s="53" t="str">
        <f>IFERROR(
IF(tbl_abs[[#This Row],[Distance from Residence to Work]]&lt;=5,"0–5",
IF(tbl_abs[[#This Row],[Distance from Residence to Work]]&lt;=10,"6–10",
IF(tbl_abs[[#This Row],[Distance from Residence to Work]]&lt;=20,"11–20",
"21+"))),"")</f>
        <v>21+</v>
      </c>
      <c r="Y483" s="53" t="str">
        <f>IFERROR(
IF(tbl_abs[[#This Row],[Body Mass Index]]&lt;18.5,"Underweight",
IF(tbl_abs[[#This Row],[Body Mass Index]]&lt;25,"Normal",
IF(tbl_abs[[#This Row],[Body Mass Index]]&lt;30,"Overweight",
"Obese"))),"")</f>
        <v>Normal</v>
      </c>
      <c r="Z483" s="53" t="str">
        <f>IFERROR(
IF(tbl_abs[[#This Row],[Absenteeism time in hours]]&lt;=2,"0–2",
IF(tbl_abs[[#This Row],[Absenteeism time in hours]]&lt;=8,"3–8",
IF(tbl_abs[[#This Row],[Absenteeism time in hours]]&lt;=16,"9–16",
"17+"))),"")</f>
        <v>0–2</v>
      </c>
    </row>
    <row r="484" spans="1:26" ht="15" customHeight="1" x14ac:dyDescent="0.3">
      <c r="A484">
        <v>36</v>
      </c>
      <c r="B484">
        <v>13</v>
      </c>
      <c r="C484" s="1">
        <v>8</v>
      </c>
      <c r="D484">
        <v>5</v>
      </c>
      <c r="E484">
        <v>1</v>
      </c>
      <c r="F484">
        <v>118</v>
      </c>
      <c r="G484" s="1">
        <v>13</v>
      </c>
      <c r="H484">
        <v>18</v>
      </c>
      <c r="I484" s="1">
        <v>50</v>
      </c>
      <c r="J484" s="2">
        <v>265615</v>
      </c>
      <c r="K484">
        <v>94</v>
      </c>
      <c r="L484">
        <v>0</v>
      </c>
      <c r="M484">
        <v>1</v>
      </c>
      <c r="N484">
        <v>1</v>
      </c>
      <c r="O484">
        <v>1</v>
      </c>
      <c r="P484">
        <v>0</v>
      </c>
      <c r="Q484">
        <v>0</v>
      </c>
      <c r="R484">
        <v>98</v>
      </c>
      <c r="S484">
        <v>178</v>
      </c>
      <c r="T484">
        <v>31</v>
      </c>
      <c r="U484">
        <v>3</v>
      </c>
      <c r="V484" s="53" t="str">
        <f>IFERROR(
IF(tbl_abs[[#This Row],[Month of absence]]=0,"Unknown",
CHOOSE(tbl_abs[[#This Row],[Month of absence]],
"Jan","Feb","Mar","Apr","May","Jun","Jul","Aug","Sep","Oct","Nov","Dec")),"")</f>
        <v>Aug</v>
      </c>
      <c r="W484" s="53" t="str">
        <f>IFERROR(
IF(tbl_abs[[#This Row],[Age]]&lt;30,"&lt;30",
IF(tbl_abs[[#This Row],[Age]]&lt;40,"30–39",
IF(tbl_abs[[#This Row],[Age]]&lt;50,"40–49",
IF(tbl_abs[[#This Row],[Age]]&lt;60,"50–59",
"60+")))),"")</f>
        <v>50–59</v>
      </c>
      <c r="X484" s="53" t="str">
        <f>IFERROR(
IF(tbl_abs[[#This Row],[Distance from Residence to Work]]&lt;=5,"0–5",
IF(tbl_abs[[#This Row],[Distance from Residence to Work]]&lt;=10,"6–10",
IF(tbl_abs[[#This Row],[Distance from Residence to Work]]&lt;=20,"11–20",
"21+"))),"")</f>
        <v>11–20</v>
      </c>
      <c r="Y484" s="53" t="str">
        <f>IFERROR(
IF(tbl_abs[[#This Row],[Body Mass Index]]&lt;18.5,"Underweight",
IF(tbl_abs[[#This Row],[Body Mass Index]]&lt;25,"Normal",
IF(tbl_abs[[#This Row],[Body Mass Index]]&lt;30,"Overweight",
"Obese"))),"")</f>
        <v>Obese</v>
      </c>
      <c r="Z484" s="53" t="str">
        <f>IFERROR(
IF(tbl_abs[[#This Row],[Absenteeism time in hours]]&lt;=2,"0–2",
IF(tbl_abs[[#This Row],[Absenteeism time in hours]]&lt;=8,"3–8",
IF(tbl_abs[[#This Row],[Absenteeism time in hours]]&lt;=16,"9–16",
"17+"))),"")</f>
        <v>3–8</v>
      </c>
    </row>
    <row r="485" spans="1:26" ht="15" customHeight="1" x14ac:dyDescent="0.3">
      <c r="A485">
        <v>33</v>
      </c>
      <c r="B485">
        <v>25</v>
      </c>
      <c r="C485" s="1">
        <v>8</v>
      </c>
      <c r="D485">
        <v>2</v>
      </c>
      <c r="E485">
        <v>1</v>
      </c>
      <c r="F485">
        <v>248</v>
      </c>
      <c r="G485" s="1">
        <v>25</v>
      </c>
      <c r="H485">
        <v>14</v>
      </c>
      <c r="I485" s="1">
        <v>47</v>
      </c>
      <c r="J485" s="2">
        <v>265615</v>
      </c>
      <c r="K485">
        <v>94</v>
      </c>
      <c r="L485">
        <v>0</v>
      </c>
      <c r="M485">
        <v>1</v>
      </c>
      <c r="N485">
        <v>2</v>
      </c>
      <c r="O485">
        <v>0</v>
      </c>
      <c r="P485">
        <v>0</v>
      </c>
      <c r="Q485">
        <v>1</v>
      </c>
      <c r="R485">
        <v>86</v>
      </c>
      <c r="S485">
        <v>165</v>
      </c>
      <c r="T485">
        <v>32</v>
      </c>
      <c r="U485">
        <v>2</v>
      </c>
      <c r="V485" s="53" t="str">
        <f>IFERROR(
IF(tbl_abs[[#This Row],[Month of absence]]=0,"Unknown",
CHOOSE(tbl_abs[[#This Row],[Month of absence]],
"Jan","Feb","Mar","Apr","May","Jun","Jul","Aug","Sep","Oct","Nov","Dec")),"")</f>
        <v>Aug</v>
      </c>
      <c r="W485" s="53" t="str">
        <f>IFERROR(
IF(tbl_abs[[#This Row],[Age]]&lt;30,"&lt;30",
IF(tbl_abs[[#This Row],[Age]]&lt;40,"30–39",
IF(tbl_abs[[#This Row],[Age]]&lt;50,"40–49",
IF(tbl_abs[[#This Row],[Age]]&lt;60,"50–59",
"60+")))),"")</f>
        <v>40–49</v>
      </c>
      <c r="X485" s="53" t="str">
        <f>IFERROR(
IF(tbl_abs[[#This Row],[Distance from Residence to Work]]&lt;=5,"0–5",
IF(tbl_abs[[#This Row],[Distance from Residence to Work]]&lt;=10,"6–10",
IF(tbl_abs[[#This Row],[Distance from Residence to Work]]&lt;=20,"11–20",
"21+"))),"")</f>
        <v>21+</v>
      </c>
      <c r="Y485" s="53" t="str">
        <f>IFERROR(
IF(tbl_abs[[#This Row],[Body Mass Index]]&lt;18.5,"Underweight",
IF(tbl_abs[[#This Row],[Body Mass Index]]&lt;25,"Normal",
IF(tbl_abs[[#This Row],[Body Mass Index]]&lt;30,"Overweight",
"Obese"))),"")</f>
        <v>Obese</v>
      </c>
      <c r="Z485" s="53" t="str">
        <f>IFERROR(
IF(tbl_abs[[#This Row],[Absenteeism time in hours]]&lt;=2,"0–2",
IF(tbl_abs[[#This Row],[Absenteeism time in hours]]&lt;=8,"3–8",
IF(tbl_abs[[#This Row],[Absenteeism time in hours]]&lt;=16,"9–16",
"17+"))),"")</f>
        <v>0–2</v>
      </c>
    </row>
    <row r="486" spans="1:26" ht="15" customHeight="1" x14ac:dyDescent="0.3">
      <c r="A486">
        <v>1</v>
      </c>
      <c r="B486">
        <v>23</v>
      </c>
      <c r="C486" s="1">
        <v>8</v>
      </c>
      <c r="D486">
        <v>3</v>
      </c>
      <c r="E486">
        <v>1</v>
      </c>
      <c r="F486">
        <v>235</v>
      </c>
      <c r="G486" s="1">
        <v>11</v>
      </c>
      <c r="H486">
        <v>14</v>
      </c>
      <c r="I486" s="1">
        <v>37</v>
      </c>
      <c r="J486" s="2">
        <v>265615</v>
      </c>
      <c r="K486">
        <v>94</v>
      </c>
      <c r="L486">
        <v>0</v>
      </c>
      <c r="M486">
        <v>3</v>
      </c>
      <c r="N486">
        <v>1</v>
      </c>
      <c r="O486">
        <v>0</v>
      </c>
      <c r="P486">
        <v>0</v>
      </c>
      <c r="Q486">
        <v>1</v>
      </c>
      <c r="R486">
        <v>88</v>
      </c>
      <c r="S486">
        <v>172</v>
      </c>
      <c r="T486">
        <v>29</v>
      </c>
      <c r="U486">
        <v>1</v>
      </c>
      <c r="V486" s="53" t="str">
        <f>IFERROR(
IF(tbl_abs[[#This Row],[Month of absence]]=0,"Unknown",
CHOOSE(tbl_abs[[#This Row],[Month of absence]],
"Jan","Feb","Mar","Apr","May","Jun","Jul","Aug","Sep","Oct","Nov","Dec")),"")</f>
        <v>Aug</v>
      </c>
      <c r="W486" s="53" t="str">
        <f>IFERROR(
IF(tbl_abs[[#This Row],[Age]]&lt;30,"&lt;30",
IF(tbl_abs[[#This Row],[Age]]&lt;40,"30–39",
IF(tbl_abs[[#This Row],[Age]]&lt;50,"40–49",
IF(tbl_abs[[#This Row],[Age]]&lt;60,"50–59",
"60+")))),"")</f>
        <v>30–39</v>
      </c>
      <c r="X486" s="53" t="str">
        <f>IFERROR(
IF(tbl_abs[[#This Row],[Distance from Residence to Work]]&lt;=5,"0–5",
IF(tbl_abs[[#This Row],[Distance from Residence to Work]]&lt;=10,"6–10",
IF(tbl_abs[[#This Row],[Distance from Residence to Work]]&lt;=20,"11–20",
"21+"))),"")</f>
        <v>11–20</v>
      </c>
      <c r="Y486" s="53" t="str">
        <f>IFERROR(
IF(tbl_abs[[#This Row],[Body Mass Index]]&lt;18.5,"Underweight",
IF(tbl_abs[[#This Row],[Body Mass Index]]&lt;25,"Normal",
IF(tbl_abs[[#This Row],[Body Mass Index]]&lt;30,"Overweight",
"Obese"))),"")</f>
        <v>Overweight</v>
      </c>
      <c r="Z486" s="53" t="str">
        <f>IFERROR(
IF(tbl_abs[[#This Row],[Absenteeism time in hours]]&lt;=2,"0–2",
IF(tbl_abs[[#This Row],[Absenteeism time in hours]]&lt;=8,"3–8",
IF(tbl_abs[[#This Row],[Absenteeism time in hours]]&lt;=16,"9–16",
"17+"))),"")</f>
        <v>0–2</v>
      </c>
    </row>
    <row r="487" spans="1:26" ht="15" customHeight="1" x14ac:dyDescent="0.3">
      <c r="A487">
        <v>36</v>
      </c>
      <c r="B487">
        <v>23</v>
      </c>
      <c r="C487" s="1">
        <v>8</v>
      </c>
      <c r="D487">
        <v>5</v>
      </c>
      <c r="E487">
        <v>1</v>
      </c>
      <c r="F487">
        <v>118</v>
      </c>
      <c r="G487" s="1">
        <v>13</v>
      </c>
      <c r="H487">
        <v>18</v>
      </c>
      <c r="I487" s="1">
        <v>50</v>
      </c>
      <c r="J487" s="2">
        <v>265615</v>
      </c>
      <c r="K487">
        <v>94</v>
      </c>
      <c r="L487">
        <v>0</v>
      </c>
      <c r="M487">
        <v>1</v>
      </c>
      <c r="N487">
        <v>1</v>
      </c>
      <c r="O487">
        <v>1</v>
      </c>
      <c r="P487">
        <v>0</v>
      </c>
      <c r="Q487">
        <v>0</v>
      </c>
      <c r="R487">
        <v>98</v>
      </c>
      <c r="S487">
        <v>178</v>
      </c>
      <c r="T487">
        <v>31</v>
      </c>
      <c r="U487">
        <v>1</v>
      </c>
      <c r="V487" s="53" t="str">
        <f>IFERROR(
IF(tbl_abs[[#This Row],[Month of absence]]=0,"Unknown",
CHOOSE(tbl_abs[[#This Row],[Month of absence]],
"Jan","Feb","Mar","Apr","May","Jun","Jul","Aug","Sep","Oct","Nov","Dec")),"")</f>
        <v>Aug</v>
      </c>
      <c r="W487" s="53" t="str">
        <f>IFERROR(
IF(tbl_abs[[#This Row],[Age]]&lt;30,"&lt;30",
IF(tbl_abs[[#This Row],[Age]]&lt;40,"30–39",
IF(tbl_abs[[#This Row],[Age]]&lt;50,"40–49",
IF(tbl_abs[[#This Row],[Age]]&lt;60,"50–59",
"60+")))),"")</f>
        <v>50–59</v>
      </c>
      <c r="X487" s="53" t="str">
        <f>IFERROR(
IF(tbl_abs[[#This Row],[Distance from Residence to Work]]&lt;=5,"0–5",
IF(tbl_abs[[#This Row],[Distance from Residence to Work]]&lt;=10,"6–10",
IF(tbl_abs[[#This Row],[Distance from Residence to Work]]&lt;=20,"11–20",
"21+"))),"")</f>
        <v>11–20</v>
      </c>
      <c r="Y487" s="53" t="str">
        <f>IFERROR(
IF(tbl_abs[[#This Row],[Body Mass Index]]&lt;18.5,"Underweight",
IF(tbl_abs[[#This Row],[Body Mass Index]]&lt;25,"Normal",
IF(tbl_abs[[#This Row],[Body Mass Index]]&lt;30,"Overweight",
"Obese"))),"")</f>
        <v>Obese</v>
      </c>
      <c r="Z487" s="53" t="str">
        <f>IFERROR(
IF(tbl_abs[[#This Row],[Absenteeism time in hours]]&lt;=2,"0–2",
IF(tbl_abs[[#This Row],[Absenteeism time in hours]]&lt;=8,"3–8",
IF(tbl_abs[[#This Row],[Absenteeism time in hours]]&lt;=16,"9–16",
"17+"))),"")</f>
        <v>0–2</v>
      </c>
    </row>
    <row r="488" spans="1:26" ht="15" customHeight="1" x14ac:dyDescent="0.3">
      <c r="A488">
        <v>1</v>
      </c>
      <c r="B488">
        <v>19</v>
      </c>
      <c r="C488" s="1">
        <v>8</v>
      </c>
      <c r="D488">
        <v>5</v>
      </c>
      <c r="E488">
        <v>1</v>
      </c>
      <c r="F488">
        <v>235</v>
      </c>
      <c r="G488" s="1">
        <v>11</v>
      </c>
      <c r="H488">
        <v>14</v>
      </c>
      <c r="I488" s="1">
        <v>37</v>
      </c>
      <c r="J488" s="2">
        <v>265615</v>
      </c>
      <c r="K488">
        <v>94</v>
      </c>
      <c r="L488">
        <v>0</v>
      </c>
      <c r="M488">
        <v>3</v>
      </c>
      <c r="N488">
        <v>1</v>
      </c>
      <c r="O488">
        <v>0</v>
      </c>
      <c r="R488">
        <v>88</v>
      </c>
      <c r="S488">
        <v>172</v>
      </c>
      <c r="T488">
        <v>29</v>
      </c>
      <c r="U488">
        <v>8</v>
      </c>
      <c r="V488" s="53" t="str">
        <f>IFERROR(
IF(tbl_abs[[#This Row],[Month of absence]]=0,"Unknown",
CHOOSE(tbl_abs[[#This Row],[Month of absence]],
"Jan","Feb","Mar","Apr","May","Jun","Jul","Aug","Sep","Oct","Nov","Dec")),"")</f>
        <v>Aug</v>
      </c>
      <c r="W488" s="53" t="str">
        <f>IFERROR(
IF(tbl_abs[[#This Row],[Age]]&lt;30,"&lt;30",
IF(tbl_abs[[#This Row],[Age]]&lt;40,"30–39",
IF(tbl_abs[[#This Row],[Age]]&lt;50,"40–49",
IF(tbl_abs[[#This Row],[Age]]&lt;60,"50–59",
"60+")))),"")</f>
        <v>30–39</v>
      </c>
      <c r="X488" s="53" t="str">
        <f>IFERROR(
IF(tbl_abs[[#This Row],[Distance from Residence to Work]]&lt;=5,"0–5",
IF(tbl_abs[[#This Row],[Distance from Residence to Work]]&lt;=10,"6–10",
IF(tbl_abs[[#This Row],[Distance from Residence to Work]]&lt;=20,"11–20",
"21+"))),"")</f>
        <v>11–20</v>
      </c>
      <c r="Y488" s="53" t="str">
        <f>IFERROR(
IF(tbl_abs[[#This Row],[Body Mass Index]]&lt;18.5,"Underweight",
IF(tbl_abs[[#This Row],[Body Mass Index]]&lt;25,"Normal",
IF(tbl_abs[[#This Row],[Body Mass Index]]&lt;30,"Overweight",
"Obese"))),"")</f>
        <v>Overweight</v>
      </c>
      <c r="Z488" s="53" t="str">
        <f>IFERROR(
IF(tbl_abs[[#This Row],[Absenteeism time in hours]]&lt;=2,"0–2",
IF(tbl_abs[[#This Row],[Absenteeism time in hours]]&lt;=8,"3–8",
IF(tbl_abs[[#This Row],[Absenteeism time in hours]]&lt;=16,"9–16",
"17+"))),"")</f>
        <v>3–8</v>
      </c>
    </row>
    <row r="489" spans="1:26" ht="15" customHeight="1" x14ac:dyDescent="0.3">
      <c r="A489">
        <v>10</v>
      </c>
      <c r="B489">
        <v>8</v>
      </c>
      <c r="C489" s="1">
        <v>8</v>
      </c>
      <c r="D489">
        <v>3</v>
      </c>
      <c r="E489">
        <v>1</v>
      </c>
      <c r="F489">
        <v>361</v>
      </c>
      <c r="G489" s="1">
        <v>52</v>
      </c>
      <c r="H489">
        <v>3</v>
      </c>
      <c r="I489" s="1">
        <v>28</v>
      </c>
      <c r="J489" s="2">
        <v>265615</v>
      </c>
      <c r="K489">
        <v>94</v>
      </c>
      <c r="N489">
        <v>1</v>
      </c>
      <c r="O489">
        <v>1</v>
      </c>
      <c r="P489">
        <v>0</v>
      </c>
      <c r="Q489">
        <v>4</v>
      </c>
      <c r="R489">
        <v>80</v>
      </c>
      <c r="T489">
        <v>27</v>
      </c>
      <c r="U489">
        <v>8</v>
      </c>
      <c r="V489" s="53" t="str">
        <f>IFERROR(
IF(tbl_abs[[#This Row],[Month of absence]]=0,"Unknown",
CHOOSE(tbl_abs[[#This Row],[Month of absence]],
"Jan","Feb","Mar","Apr","May","Jun","Jul","Aug","Sep","Oct","Nov","Dec")),"")</f>
        <v>Aug</v>
      </c>
      <c r="W489" s="53" t="str">
        <f>IFERROR(
IF(tbl_abs[[#This Row],[Age]]&lt;30,"&lt;30",
IF(tbl_abs[[#This Row],[Age]]&lt;40,"30–39",
IF(tbl_abs[[#This Row],[Age]]&lt;50,"40–49",
IF(tbl_abs[[#This Row],[Age]]&lt;60,"50–59",
"60+")))),"")</f>
        <v>&lt;30</v>
      </c>
      <c r="X489" s="53" t="str">
        <f>IFERROR(
IF(tbl_abs[[#This Row],[Distance from Residence to Work]]&lt;=5,"0–5",
IF(tbl_abs[[#This Row],[Distance from Residence to Work]]&lt;=10,"6–10",
IF(tbl_abs[[#This Row],[Distance from Residence to Work]]&lt;=20,"11–20",
"21+"))),"")</f>
        <v>21+</v>
      </c>
      <c r="Y489" s="53" t="str">
        <f>IFERROR(
IF(tbl_abs[[#This Row],[Body Mass Index]]&lt;18.5,"Underweight",
IF(tbl_abs[[#This Row],[Body Mass Index]]&lt;25,"Normal",
IF(tbl_abs[[#This Row],[Body Mass Index]]&lt;30,"Overweight",
"Obese"))),"")</f>
        <v>Overweight</v>
      </c>
      <c r="Z489" s="53" t="str">
        <f>IFERROR(
IF(tbl_abs[[#This Row],[Absenteeism time in hours]]&lt;=2,"0–2",
IF(tbl_abs[[#This Row],[Absenteeism time in hours]]&lt;=8,"3–8",
IF(tbl_abs[[#This Row],[Absenteeism time in hours]]&lt;=16,"9–16",
"17+"))),"")</f>
        <v>3–8</v>
      </c>
    </row>
    <row r="490" spans="1:26" ht="15" customHeight="1" x14ac:dyDescent="0.3">
      <c r="A490">
        <v>27</v>
      </c>
      <c r="B490">
        <v>6</v>
      </c>
      <c r="C490" s="1">
        <v>8</v>
      </c>
      <c r="D490">
        <v>4</v>
      </c>
      <c r="E490">
        <v>1</v>
      </c>
      <c r="F490">
        <v>184</v>
      </c>
      <c r="G490" s="1">
        <v>42</v>
      </c>
      <c r="H490">
        <v>7</v>
      </c>
      <c r="I490" s="1">
        <v>27</v>
      </c>
      <c r="J490" s="2">
        <v>265615</v>
      </c>
      <c r="K490">
        <v>94</v>
      </c>
      <c r="L490">
        <v>0</v>
      </c>
      <c r="M490">
        <v>1</v>
      </c>
      <c r="N490">
        <v>0</v>
      </c>
      <c r="O490">
        <v>0</v>
      </c>
      <c r="P490">
        <v>0</v>
      </c>
      <c r="Q490">
        <v>0</v>
      </c>
      <c r="R490">
        <v>58</v>
      </c>
      <c r="S490">
        <v>167</v>
      </c>
      <c r="T490">
        <v>21</v>
      </c>
      <c r="V490" s="53" t="str">
        <f>IFERROR(
IF(tbl_abs[[#This Row],[Month of absence]]=0,"Unknown",
CHOOSE(tbl_abs[[#This Row],[Month of absence]],
"Jan","Feb","Mar","Apr","May","Jun","Jul","Aug","Sep","Oct","Nov","Dec")),"")</f>
        <v>Aug</v>
      </c>
      <c r="W490" s="53" t="str">
        <f>IFERROR(
IF(tbl_abs[[#This Row],[Age]]&lt;30,"&lt;30",
IF(tbl_abs[[#This Row],[Age]]&lt;40,"30–39",
IF(tbl_abs[[#This Row],[Age]]&lt;50,"40–49",
IF(tbl_abs[[#This Row],[Age]]&lt;60,"50–59",
"60+")))),"")</f>
        <v>&lt;30</v>
      </c>
      <c r="X490" s="53" t="str">
        <f>IFERROR(
IF(tbl_abs[[#This Row],[Distance from Residence to Work]]&lt;=5,"0–5",
IF(tbl_abs[[#This Row],[Distance from Residence to Work]]&lt;=10,"6–10",
IF(tbl_abs[[#This Row],[Distance from Residence to Work]]&lt;=20,"11–20",
"21+"))),"")</f>
        <v>21+</v>
      </c>
      <c r="Y490" s="53" t="str">
        <f>IFERROR(
IF(tbl_abs[[#This Row],[Body Mass Index]]&lt;18.5,"Underweight",
IF(tbl_abs[[#This Row],[Body Mass Index]]&lt;25,"Normal",
IF(tbl_abs[[#This Row],[Body Mass Index]]&lt;30,"Overweight",
"Obese"))),"")</f>
        <v>Normal</v>
      </c>
      <c r="Z490" s="53" t="str">
        <f>IFERROR(
IF(tbl_abs[[#This Row],[Absenteeism time in hours]]&lt;=2,"0–2",
IF(tbl_abs[[#This Row],[Absenteeism time in hours]]&lt;=8,"3–8",
IF(tbl_abs[[#This Row],[Absenteeism time in hours]]&lt;=16,"9–16",
"17+"))),"")</f>
        <v>0–2</v>
      </c>
    </row>
    <row r="491" spans="1:26" ht="15" customHeight="1" x14ac:dyDescent="0.3">
      <c r="A491">
        <v>3</v>
      </c>
      <c r="B491">
        <v>25</v>
      </c>
      <c r="C491" s="1">
        <v>8</v>
      </c>
      <c r="D491">
        <v>5</v>
      </c>
      <c r="E491">
        <v>1</v>
      </c>
      <c r="F491">
        <v>179</v>
      </c>
      <c r="G491" s="1">
        <v>51</v>
      </c>
      <c r="H491">
        <v>18</v>
      </c>
      <c r="I491" s="1">
        <v>38</v>
      </c>
      <c r="J491" s="2">
        <v>249797</v>
      </c>
      <c r="K491">
        <v>93</v>
      </c>
      <c r="L491">
        <v>0</v>
      </c>
      <c r="M491">
        <v>1</v>
      </c>
      <c r="N491">
        <v>0</v>
      </c>
      <c r="O491">
        <v>1</v>
      </c>
      <c r="P491">
        <v>0</v>
      </c>
      <c r="Q491">
        <v>0</v>
      </c>
      <c r="R491">
        <v>89</v>
      </c>
      <c r="S491">
        <v>170</v>
      </c>
      <c r="T491">
        <v>31</v>
      </c>
      <c r="U491">
        <v>4</v>
      </c>
      <c r="V491" s="53" t="str">
        <f>IFERROR(
IF(tbl_abs[[#This Row],[Month of absence]]=0,"Unknown",
CHOOSE(tbl_abs[[#This Row],[Month of absence]],
"Jan","Feb","Mar","Apr","May","Jun","Jul","Aug","Sep","Oct","Nov","Dec")),"")</f>
        <v>Aug</v>
      </c>
      <c r="W491" s="53" t="str">
        <f>IFERROR(
IF(tbl_abs[[#This Row],[Age]]&lt;30,"&lt;30",
IF(tbl_abs[[#This Row],[Age]]&lt;40,"30–39",
IF(tbl_abs[[#This Row],[Age]]&lt;50,"40–49",
IF(tbl_abs[[#This Row],[Age]]&lt;60,"50–59",
"60+")))),"")</f>
        <v>30–39</v>
      </c>
      <c r="X491" s="53" t="str">
        <f>IFERROR(
IF(tbl_abs[[#This Row],[Distance from Residence to Work]]&lt;=5,"0–5",
IF(tbl_abs[[#This Row],[Distance from Residence to Work]]&lt;=10,"6–10",
IF(tbl_abs[[#This Row],[Distance from Residence to Work]]&lt;=20,"11–20",
"21+"))),"")</f>
        <v>21+</v>
      </c>
      <c r="Y491" s="53" t="str">
        <f>IFERROR(
IF(tbl_abs[[#This Row],[Body Mass Index]]&lt;18.5,"Underweight",
IF(tbl_abs[[#This Row],[Body Mass Index]]&lt;25,"Normal",
IF(tbl_abs[[#This Row],[Body Mass Index]]&lt;30,"Overweight",
"Obese"))),"")</f>
        <v>Obese</v>
      </c>
      <c r="Z491" s="53" t="str">
        <f>IFERROR(
IF(tbl_abs[[#This Row],[Absenteeism time in hours]]&lt;=2,"0–2",
IF(tbl_abs[[#This Row],[Absenteeism time in hours]]&lt;=8,"3–8",
IF(tbl_abs[[#This Row],[Absenteeism time in hours]]&lt;=16,"9–16",
"17+"))),"")</f>
        <v>3–8</v>
      </c>
    </row>
    <row r="492" spans="1:26" ht="15" customHeight="1" x14ac:dyDescent="0.3">
      <c r="A492">
        <v>17</v>
      </c>
      <c r="B492">
        <v>25</v>
      </c>
      <c r="C492" s="1">
        <v>8</v>
      </c>
      <c r="D492">
        <v>2</v>
      </c>
      <c r="E492">
        <v>1</v>
      </c>
      <c r="F492">
        <v>179</v>
      </c>
      <c r="G492" s="1">
        <v>22</v>
      </c>
      <c r="H492">
        <v>17</v>
      </c>
      <c r="I492" s="1">
        <v>40</v>
      </c>
      <c r="J492" s="2">
        <v>249797</v>
      </c>
      <c r="K492">
        <v>93</v>
      </c>
      <c r="L492">
        <v>0</v>
      </c>
      <c r="M492">
        <v>2</v>
      </c>
      <c r="N492">
        <v>2</v>
      </c>
      <c r="O492">
        <v>0</v>
      </c>
      <c r="P492">
        <v>1</v>
      </c>
      <c r="Q492">
        <v>0</v>
      </c>
      <c r="R492">
        <v>63</v>
      </c>
      <c r="S492">
        <v>170</v>
      </c>
      <c r="T492">
        <v>22</v>
      </c>
      <c r="U492">
        <v>1</v>
      </c>
      <c r="V492" s="53" t="str">
        <f>IFERROR(
IF(tbl_abs[[#This Row],[Month of absence]]=0,"Unknown",
CHOOSE(tbl_abs[[#This Row],[Month of absence]],
"Jan","Feb","Mar","Apr","May","Jun","Jul","Aug","Sep","Oct","Nov","Dec")),"")</f>
        <v>Aug</v>
      </c>
      <c r="W492" s="53" t="str">
        <f>IFERROR(
IF(tbl_abs[[#This Row],[Age]]&lt;30,"&lt;30",
IF(tbl_abs[[#This Row],[Age]]&lt;40,"30–39",
IF(tbl_abs[[#This Row],[Age]]&lt;50,"40–49",
IF(tbl_abs[[#This Row],[Age]]&lt;60,"50–59",
"60+")))),"")</f>
        <v>40–49</v>
      </c>
      <c r="X492" s="53" t="str">
        <f>IFERROR(
IF(tbl_abs[[#This Row],[Distance from Residence to Work]]&lt;=5,"0–5",
IF(tbl_abs[[#This Row],[Distance from Residence to Work]]&lt;=10,"6–10",
IF(tbl_abs[[#This Row],[Distance from Residence to Work]]&lt;=20,"11–20",
"21+"))),"")</f>
        <v>21+</v>
      </c>
      <c r="Y492" s="53" t="str">
        <f>IFERROR(
IF(tbl_abs[[#This Row],[Body Mass Index]]&lt;18.5,"Underweight",
IF(tbl_abs[[#This Row],[Body Mass Index]]&lt;25,"Normal",
IF(tbl_abs[[#This Row],[Body Mass Index]]&lt;30,"Overweight",
"Obese"))),"")</f>
        <v>Normal</v>
      </c>
      <c r="Z492" s="53" t="str">
        <f>IFERROR(
IF(tbl_abs[[#This Row],[Absenteeism time in hours]]&lt;=2,"0–2",
IF(tbl_abs[[#This Row],[Absenteeism time in hours]]&lt;=8,"3–8",
IF(tbl_abs[[#This Row],[Absenteeism time in hours]]&lt;=16,"9–16",
"17+"))),"")</f>
        <v>0–2</v>
      </c>
    </row>
    <row r="493" spans="1:26" ht="15" customHeight="1" x14ac:dyDescent="0.3">
      <c r="A493">
        <v>24</v>
      </c>
      <c r="B493">
        <v>28</v>
      </c>
      <c r="C493" s="1">
        <v>8</v>
      </c>
      <c r="D493">
        <v>3</v>
      </c>
      <c r="E493">
        <v>1</v>
      </c>
      <c r="F493">
        <v>246</v>
      </c>
      <c r="G493" s="1">
        <v>25</v>
      </c>
      <c r="H493">
        <v>16</v>
      </c>
      <c r="I493" s="1">
        <v>41</v>
      </c>
      <c r="J493" s="2">
        <v>249797</v>
      </c>
      <c r="K493">
        <v>93</v>
      </c>
      <c r="L493">
        <v>0</v>
      </c>
      <c r="M493">
        <v>1</v>
      </c>
      <c r="N493">
        <v>0</v>
      </c>
      <c r="O493">
        <v>1</v>
      </c>
      <c r="P493">
        <v>0</v>
      </c>
      <c r="Q493">
        <v>0</v>
      </c>
      <c r="R493">
        <v>67</v>
      </c>
      <c r="S493">
        <v>170</v>
      </c>
      <c r="T493">
        <v>23</v>
      </c>
      <c r="U493">
        <v>4</v>
      </c>
      <c r="V493" s="53" t="str">
        <f>IFERROR(
IF(tbl_abs[[#This Row],[Month of absence]]=0,"Unknown",
CHOOSE(tbl_abs[[#This Row],[Month of absence]],
"Jan","Feb","Mar","Apr","May","Jun","Jul","Aug","Sep","Oct","Nov","Dec")),"")</f>
        <v>Aug</v>
      </c>
      <c r="W493" s="53" t="str">
        <f>IFERROR(
IF(tbl_abs[[#This Row],[Age]]&lt;30,"&lt;30",
IF(tbl_abs[[#This Row],[Age]]&lt;40,"30–39",
IF(tbl_abs[[#This Row],[Age]]&lt;50,"40–49",
IF(tbl_abs[[#This Row],[Age]]&lt;60,"50–59",
"60+")))),"")</f>
        <v>40–49</v>
      </c>
      <c r="X493" s="53" t="str">
        <f>IFERROR(
IF(tbl_abs[[#This Row],[Distance from Residence to Work]]&lt;=5,"0–5",
IF(tbl_abs[[#This Row],[Distance from Residence to Work]]&lt;=10,"6–10",
IF(tbl_abs[[#This Row],[Distance from Residence to Work]]&lt;=20,"11–20",
"21+"))),"")</f>
        <v>21+</v>
      </c>
      <c r="Y493" s="53" t="str">
        <f>IFERROR(
IF(tbl_abs[[#This Row],[Body Mass Index]]&lt;18.5,"Underweight",
IF(tbl_abs[[#This Row],[Body Mass Index]]&lt;25,"Normal",
IF(tbl_abs[[#This Row],[Body Mass Index]]&lt;30,"Overweight",
"Obese"))),"")</f>
        <v>Normal</v>
      </c>
      <c r="Z493" s="53" t="str">
        <f>IFERROR(
IF(tbl_abs[[#This Row],[Absenteeism time in hours]]&lt;=2,"0–2",
IF(tbl_abs[[#This Row],[Absenteeism time in hours]]&lt;=8,"3–8",
IF(tbl_abs[[#This Row],[Absenteeism time in hours]]&lt;=16,"9–16",
"17+"))),"")</f>
        <v>3–8</v>
      </c>
    </row>
    <row r="494" spans="1:26" ht="15" customHeight="1" x14ac:dyDescent="0.3">
      <c r="A494">
        <v>34</v>
      </c>
      <c r="B494">
        <v>28</v>
      </c>
      <c r="C494" s="1">
        <v>8</v>
      </c>
      <c r="D494">
        <v>3</v>
      </c>
      <c r="E494">
        <v>1</v>
      </c>
      <c r="F494">
        <v>118</v>
      </c>
      <c r="G494" s="1">
        <v>10</v>
      </c>
      <c r="H494">
        <v>10</v>
      </c>
      <c r="I494" s="1">
        <v>37</v>
      </c>
      <c r="J494" s="2">
        <v>249797</v>
      </c>
      <c r="K494">
        <v>93</v>
      </c>
      <c r="L494">
        <v>0</v>
      </c>
      <c r="M494">
        <v>1</v>
      </c>
      <c r="N494">
        <v>0</v>
      </c>
      <c r="O494">
        <v>0</v>
      </c>
      <c r="P494">
        <v>0</v>
      </c>
      <c r="Q494">
        <v>0</v>
      </c>
      <c r="R494">
        <v>83</v>
      </c>
      <c r="S494">
        <v>172</v>
      </c>
      <c r="T494">
        <v>28</v>
      </c>
      <c r="U494">
        <v>4</v>
      </c>
      <c r="V494" s="53" t="str">
        <f>IFERROR(
IF(tbl_abs[[#This Row],[Month of absence]]=0,"Unknown",
CHOOSE(tbl_abs[[#This Row],[Month of absence]],
"Jan","Feb","Mar","Apr","May","Jun","Jul","Aug","Sep","Oct","Nov","Dec")),"")</f>
        <v>Aug</v>
      </c>
      <c r="W494" s="53" t="str">
        <f>IFERROR(
IF(tbl_abs[[#This Row],[Age]]&lt;30,"&lt;30",
IF(tbl_abs[[#This Row],[Age]]&lt;40,"30–39",
IF(tbl_abs[[#This Row],[Age]]&lt;50,"40–49",
IF(tbl_abs[[#This Row],[Age]]&lt;60,"50–59",
"60+")))),"")</f>
        <v>30–39</v>
      </c>
      <c r="X494" s="53" t="str">
        <f>IFERROR(
IF(tbl_abs[[#This Row],[Distance from Residence to Work]]&lt;=5,"0–5",
IF(tbl_abs[[#This Row],[Distance from Residence to Work]]&lt;=10,"6–10",
IF(tbl_abs[[#This Row],[Distance from Residence to Work]]&lt;=20,"11–20",
"21+"))),"")</f>
        <v>6–10</v>
      </c>
      <c r="Y494" s="53" t="str">
        <f>IFERROR(
IF(tbl_abs[[#This Row],[Body Mass Index]]&lt;18.5,"Underweight",
IF(tbl_abs[[#This Row],[Body Mass Index]]&lt;25,"Normal",
IF(tbl_abs[[#This Row],[Body Mass Index]]&lt;30,"Overweight",
"Obese"))),"")</f>
        <v>Overweight</v>
      </c>
      <c r="Z494" s="53" t="str">
        <f>IFERROR(
IF(tbl_abs[[#This Row],[Absenteeism time in hours]]&lt;=2,"0–2",
IF(tbl_abs[[#This Row],[Absenteeism time in hours]]&lt;=8,"3–8",
IF(tbl_abs[[#This Row],[Absenteeism time in hours]]&lt;=16,"9–16",
"17+"))),"")</f>
        <v>3–8</v>
      </c>
    </row>
    <row r="495" spans="1:26" ht="15" customHeight="1" x14ac:dyDescent="0.3">
      <c r="A495">
        <v>11</v>
      </c>
      <c r="B495">
        <v>26</v>
      </c>
      <c r="C495" s="1">
        <v>8</v>
      </c>
      <c r="D495">
        <v>3</v>
      </c>
      <c r="E495">
        <v>1</v>
      </c>
      <c r="F495">
        <v>289</v>
      </c>
      <c r="G495" s="1">
        <v>36</v>
      </c>
      <c r="H495">
        <v>13</v>
      </c>
      <c r="I495" s="1">
        <v>33</v>
      </c>
      <c r="J495" s="2">
        <v>249797</v>
      </c>
      <c r="K495">
        <v>93</v>
      </c>
      <c r="L495">
        <v>0</v>
      </c>
      <c r="M495">
        <v>1</v>
      </c>
      <c r="N495">
        <v>2</v>
      </c>
      <c r="O495">
        <v>1</v>
      </c>
      <c r="P495">
        <v>0</v>
      </c>
      <c r="Q495">
        <v>1</v>
      </c>
      <c r="R495">
        <v>90</v>
      </c>
      <c r="S495">
        <v>172</v>
      </c>
      <c r="T495">
        <v>30</v>
      </c>
      <c r="U495">
        <v>8</v>
      </c>
      <c r="V495" s="53" t="str">
        <f>IFERROR(
IF(tbl_abs[[#This Row],[Month of absence]]=0,"Unknown",
CHOOSE(tbl_abs[[#This Row],[Month of absence]],
"Jan","Feb","Mar","Apr","May","Jun","Jul","Aug","Sep","Oct","Nov","Dec")),"")</f>
        <v>Aug</v>
      </c>
      <c r="W495" s="53" t="str">
        <f>IFERROR(
IF(tbl_abs[[#This Row],[Age]]&lt;30,"&lt;30",
IF(tbl_abs[[#This Row],[Age]]&lt;40,"30–39",
IF(tbl_abs[[#This Row],[Age]]&lt;50,"40–49",
IF(tbl_abs[[#This Row],[Age]]&lt;60,"50–59",
"60+")))),"")</f>
        <v>30–39</v>
      </c>
      <c r="X495" s="53" t="str">
        <f>IFERROR(
IF(tbl_abs[[#This Row],[Distance from Residence to Work]]&lt;=5,"0–5",
IF(tbl_abs[[#This Row],[Distance from Residence to Work]]&lt;=10,"6–10",
IF(tbl_abs[[#This Row],[Distance from Residence to Work]]&lt;=20,"11–20",
"21+"))),"")</f>
        <v>21+</v>
      </c>
      <c r="Y495" s="53" t="str">
        <f>IFERROR(
IF(tbl_abs[[#This Row],[Body Mass Index]]&lt;18.5,"Underweight",
IF(tbl_abs[[#This Row],[Body Mass Index]]&lt;25,"Normal",
IF(tbl_abs[[#This Row],[Body Mass Index]]&lt;30,"Overweight",
"Obese"))),"")</f>
        <v>Obese</v>
      </c>
      <c r="Z495" s="53" t="str">
        <f>IFERROR(
IF(tbl_abs[[#This Row],[Absenteeism time in hours]]&lt;=2,"0–2",
IF(tbl_abs[[#This Row],[Absenteeism time in hours]]&lt;=8,"3–8",
IF(tbl_abs[[#This Row],[Absenteeism time in hours]]&lt;=16,"9–16",
"17+"))),"")</f>
        <v>3–8</v>
      </c>
    </row>
    <row r="496" spans="1:26" ht="15" customHeight="1" x14ac:dyDescent="0.3">
      <c r="A496">
        <v>5</v>
      </c>
      <c r="B496">
        <v>26</v>
      </c>
      <c r="C496" s="1">
        <v>8</v>
      </c>
      <c r="D496">
        <v>3</v>
      </c>
      <c r="E496">
        <v>1</v>
      </c>
      <c r="F496">
        <v>235</v>
      </c>
      <c r="G496" s="1">
        <v>20</v>
      </c>
      <c r="H496">
        <v>13</v>
      </c>
      <c r="I496" s="1">
        <v>43</v>
      </c>
      <c r="J496" s="2">
        <v>249797</v>
      </c>
      <c r="K496">
        <v>93</v>
      </c>
      <c r="L496">
        <v>0</v>
      </c>
      <c r="M496">
        <v>1</v>
      </c>
      <c r="N496">
        <v>1</v>
      </c>
      <c r="O496">
        <v>1</v>
      </c>
      <c r="P496">
        <v>0</v>
      </c>
      <c r="Q496">
        <v>0</v>
      </c>
      <c r="R496">
        <v>106</v>
      </c>
      <c r="S496">
        <v>167</v>
      </c>
      <c r="T496">
        <v>38</v>
      </c>
      <c r="U496">
        <v>8</v>
      </c>
      <c r="V496" s="53" t="str">
        <f>IFERROR(
IF(tbl_abs[[#This Row],[Month of absence]]=0,"Unknown",
CHOOSE(tbl_abs[[#This Row],[Month of absence]],
"Jan","Feb","Mar","Apr","May","Jun","Jul","Aug","Sep","Oct","Nov","Dec")),"")</f>
        <v>Aug</v>
      </c>
      <c r="W496" s="53" t="str">
        <f>IFERROR(
IF(tbl_abs[[#This Row],[Age]]&lt;30,"&lt;30",
IF(tbl_abs[[#This Row],[Age]]&lt;40,"30–39",
IF(tbl_abs[[#This Row],[Age]]&lt;50,"40–49",
IF(tbl_abs[[#This Row],[Age]]&lt;60,"50–59",
"60+")))),"")</f>
        <v>40–49</v>
      </c>
      <c r="X496" s="53" t="str">
        <f>IFERROR(
IF(tbl_abs[[#This Row],[Distance from Residence to Work]]&lt;=5,"0–5",
IF(tbl_abs[[#This Row],[Distance from Residence to Work]]&lt;=10,"6–10",
IF(tbl_abs[[#This Row],[Distance from Residence to Work]]&lt;=20,"11–20",
"21+"))),"")</f>
        <v>11–20</v>
      </c>
      <c r="Y496" s="53" t="str">
        <f>IFERROR(
IF(tbl_abs[[#This Row],[Body Mass Index]]&lt;18.5,"Underweight",
IF(tbl_abs[[#This Row],[Body Mass Index]]&lt;25,"Normal",
IF(tbl_abs[[#This Row],[Body Mass Index]]&lt;30,"Overweight",
"Obese"))),"")</f>
        <v>Obese</v>
      </c>
      <c r="Z496" s="53" t="str">
        <f>IFERROR(
IF(tbl_abs[[#This Row],[Absenteeism time in hours]]&lt;=2,"0–2",
IF(tbl_abs[[#This Row],[Absenteeism time in hours]]&lt;=8,"3–8",
IF(tbl_abs[[#This Row],[Absenteeism time in hours]]&lt;=16,"9–16",
"17+"))),"")</f>
        <v>3–8</v>
      </c>
    </row>
    <row r="497" spans="1:26" ht="15" customHeight="1" x14ac:dyDescent="0.3">
      <c r="A497">
        <v>15</v>
      </c>
      <c r="B497">
        <v>28</v>
      </c>
      <c r="C497" s="1">
        <v>8</v>
      </c>
      <c r="D497">
        <v>5</v>
      </c>
      <c r="E497">
        <v>1</v>
      </c>
      <c r="F497">
        <v>291</v>
      </c>
      <c r="G497" s="1">
        <v>31</v>
      </c>
      <c r="H497">
        <v>12</v>
      </c>
      <c r="I497" s="1">
        <v>40</v>
      </c>
      <c r="J497" s="2">
        <v>249797</v>
      </c>
      <c r="K497">
        <v>93</v>
      </c>
      <c r="L497">
        <v>0</v>
      </c>
      <c r="M497">
        <v>1</v>
      </c>
      <c r="N497">
        <v>1</v>
      </c>
      <c r="O497">
        <v>1</v>
      </c>
      <c r="P497">
        <v>0</v>
      </c>
      <c r="Q497">
        <v>1</v>
      </c>
      <c r="R497">
        <v>73</v>
      </c>
      <c r="S497">
        <v>171</v>
      </c>
      <c r="T497">
        <v>25</v>
      </c>
      <c r="U497">
        <v>4</v>
      </c>
      <c r="V497" s="53" t="str">
        <f>IFERROR(
IF(tbl_abs[[#This Row],[Month of absence]]=0,"Unknown",
CHOOSE(tbl_abs[[#This Row],[Month of absence]],
"Jan","Feb","Mar","Apr","May","Jun","Jul","Aug","Sep","Oct","Nov","Dec")),"")</f>
        <v>Aug</v>
      </c>
      <c r="W497" s="53" t="str">
        <f>IFERROR(
IF(tbl_abs[[#This Row],[Age]]&lt;30,"&lt;30",
IF(tbl_abs[[#This Row],[Age]]&lt;40,"30–39",
IF(tbl_abs[[#This Row],[Age]]&lt;50,"40–49",
IF(tbl_abs[[#This Row],[Age]]&lt;60,"50–59",
"60+")))),"")</f>
        <v>40–49</v>
      </c>
      <c r="X497" s="53" t="str">
        <f>IFERROR(
IF(tbl_abs[[#This Row],[Distance from Residence to Work]]&lt;=5,"0–5",
IF(tbl_abs[[#This Row],[Distance from Residence to Work]]&lt;=10,"6–10",
IF(tbl_abs[[#This Row],[Distance from Residence to Work]]&lt;=20,"11–20",
"21+"))),"")</f>
        <v>21+</v>
      </c>
      <c r="Y497" s="53" t="str">
        <f>IFERROR(
IF(tbl_abs[[#This Row],[Body Mass Index]]&lt;18.5,"Underweight",
IF(tbl_abs[[#This Row],[Body Mass Index]]&lt;25,"Normal",
IF(tbl_abs[[#This Row],[Body Mass Index]]&lt;30,"Overweight",
"Obese"))),"")</f>
        <v>Overweight</v>
      </c>
      <c r="Z497" s="53" t="str">
        <f>IFERROR(
IF(tbl_abs[[#This Row],[Absenteeism time in hours]]&lt;=2,"0–2",
IF(tbl_abs[[#This Row],[Absenteeism time in hours]]&lt;=8,"3–8",
IF(tbl_abs[[#This Row],[Absenteeism time in hours]]&lt;=16,"9–16",
"17+"))),"")</f>
        <v>3–8</v>
      </c>
    </row>
    <row r="498" spans="1:26" ht="15" customHeight="1" x14ac:dyDescent="0.3">
      <c r="A498">
        <v>3</v>
      </c>
      <c r="B498">
        <v>25</v>
      </c>
      <c r="C498" s="1">
        <v>8</v>
      </c>
      <c r="D498">
        <v>2</v>
      </c>
      <c r="E498">
        <v>1</v>
      </c>
      <c r="F498">
        <v>179</v>
      </c>
      <c r="G498" s="1">
        <v>51</v>
      </c>
      <c r="H498">
        <v>18</v>
      </c>
      <c r="I498" s="1">
        <v>38</v>
      </c>
      <c r="J498" s="2">
        <v>249797</v>
      </c>
      <c r="K498">
        <v>93</v>
      </c>
      <c r="L498">
        <v>0</v>
      </c>
      <c r="M498">
        <v>1</v>
      </c>
      <c r="N498">
        <v>0</v>
      </c>
      <c r="O498">
        <v>1</v>
      </c>
      <c r="P498">
        <v>0</v>
      </c>
      <c r="Q498">
        <v>0</v>
      </c>
      <c r="R498">
        <v>89</v>
      </c>
      <c r="S498">
        <v>170</v>
      </c>
      <c r="T498">
        <v>31</v>
      </c>
      <c r="U498">
        <v>4</v>
      </c>
      <c r="V498" s="53" t="str">
        <f>IFERROR(
IF(tbl_abs[[#This Row],[Month of absence]]=0,"Unknown",
CHOOSE(tbl_abs[[#This Row],[Month of absence]],
"Jan","Feb","Mar","Apr","May","Jun","Jul","Aug","Sep","Oct","Nov","Dec")),"")</f>
        <v>Aug</v>
      </c>
      <c r="W498" s="53" t="str">
        <f>IFERROR(
IF(tbl_abs[[#This Row],[Age]]&lt;30,"&lt;30",
IF(tbl_abs[[#This Row],[Age]]&lt;40,"30–39",
IF(tbl_abs[[#This Row],[Age]]&lt;50,"40–49",
IF(tbl_abs[[#This Row],[Age]]&lt;60,"50–59",
"60+")))),"")</f>
        <v>30–39</v>
      </c>
      <c r="X498" s="53" t="str">
        <f>IFERROR(
IF(tbl_abs[[#This Row],[Distance from Residence to Work]]&lt;=5,"0–5",
IF(tbl_abs[[#This Row],[Distance from Residence to Work]]&lt;=10,"6–10",
IF(tbl_abs[[#This Row],[Distance from Residence to Work]]&lt;=20,"11–20",
"21+"))),"")</f>
        <v>21+</v>
      </c>
      <c r="Y498" s="53" t="str">
        <f>IFERROR(
IF(tbl_abs[[#This Row],[Body Mass Index]]&lt;18.5,"Underweight",
IF(tbl_abs[[#This Row],[Body Mass Index]]&lt;25,"Normal",
IF(tbl_abs[[#This Row],[Body Mass Index]]&lt;30,"Overweight",
"Obese"))),"")</f>
        <v>Obese</v>
      </c>
      <c r="Z498" s="53" t="str">
        <f>IFERROR(
IF(tbl_abs[[#This Row],[Absenteeism time in hours]]&lt;=2,"0–2",
IF(tbl_abs[[#This Row],[Absenteeism time in hours]]&lt;=8,"3–8",
IF(tbl_abs[[#This Row],[Absenteeism time in hours]]&lt;=16,"9–16",
"17+"))),"")</f>
        <v>3–8</v>
      </c>
    </row>
    <row r="499" spans="1:26" ht="15" customHeight="1" x14ac:dyDescent="0.3">
      <c r="A499">
        <v>17</v>
      </c>
      <c r="B499">
        <v>25</v>
      </c>
      <c r="C499" s="1">
        <v>8</v>
      </c>
      <c r="D499">
        <v>3</v>
      </c>
      <c r="E499">
        <v>1</v>
      </c>
      <c r="F499">
        <v>179</v>
      </c>
      <c r="G499" s="1">
        <v>22</v>
      </c>
      <c r="H499">
        <v>17</v>
      </c>
      <c r="I499" s="1">
        <v>40</v>
      </c>
      <c r="J499" s="2">
        <v>249797</v>
      </c>
      <c r="K499">
        <v>93</v>
      </c>
      <c r="L499">
        <v>0</v>
      </c>
      <c r="M499">
        <v>2</v>
      </c>
      <c r="N499">
        <v>2</v>
      </c>
      <c r="O499">
        <v>0</v>
      </c>
      <c r="P499">
        <v>1</v>
      </c>
      <c r="Q499">
        <v>0</v>
      </c>
      <c r="R499">
        <v>63</v>
      </c>
      <c r="S499">
        <v>170</v>
      </c>
      <c r="T499">
        <v>22</v>
      </c>
      <c r="U499">
        <v>8</v>
      </c>
      <c r="V499" s="53" t="str">
        <f>IFERROR(
IF(tbl_abs[[#This Row],[Month of absence]]=0,"Unknown",
CHOOSE(tbl_abs[[#This Row],[Month of absence]],
"Jan","Feb","Mar","Apr","May","Jun","Jul","Aug","Sep","Oct","Nov","Dec")),"")</f>
        <v>Aug</v>
      </c>
      <c r="W499" s="53" t="str">
        <f>IFERROR(
IF(tbl_abs[[#This Row],[Age]]&lt;30,"&lt;30",
IF(tbl_abs[[#This Row],[Age]]&lt;40,"30–39",
IF(tbl_abs[[#This Row],[Age]]&lt;50,"40–49",
IF(tbl_abs[[#This Row],[Age]]&lt;60,"50–59",
"60+")))),"")</f>
        <v>40–49</v>
      </c>
      <c r="X499" s="53" t="str">
        <f>IFERROR(
IF(tbl_abs[[#This Row],[Distance from Residence to Work]]&lt;=5,"0–5",
IF(tbl_abs[[#This Row],[Distance from Residence to Work]]&lt;=10,"6–10",
IF(tbl_abs[[#This Row],[Distance from Residence to Work]]&lt;=20,"11–20",
"21+"))),"")</f>
        <v>21+</v>
      </c>
      <c r="Y499" s="53" t="str">
        <f>IFERROR(
IF(tbl_abs[[#This Row],[Body Mass Index]]&lt;18.5,"Underweight",
IF(tbl_abs[[#This Row],[Body Mass Index]]&lt;25,"Normal",
IF(tbl_abs[[#This Row],[Body Mass Index]]&lt;30,"Overweight",
"Obese"))),"")</f>
        <v>Normal</v>
      </c>
      <c r="Z499" s="53" t="str">
        <f>IFERROR(
IF(tbl_abs[[#This Row],[Absenteeism time in hours]]&lt;=2,"0–2",
IF(tbl_abs[[#This Row],[Absenteeism time in hours]]&lt;=8,"3–8",
IF(tbl_abs[[#This Row],[Absenteeism time in hours]]&lt;=16,"9–16",
"17+"))),"")</f>
        <v>3–8</v>
      </c>
    </row>
    <row r="500" spans="1:26" ht="15" customHeight="1" x14ac:dyDescent="0.3">
      <c r="A500">
        <v>18</v>
      </c>
      <c r="B500">
        <v>23</v>
      </c>
      <c r="C500" s="1">
        <v>8</v>
      </c>
      <c r="D500">
        <v>5</v>
      </c>
      <c r="E500">
        <v>1</v>
      </c>
      <c r="F500">
        <v>330</v>
      </c>
      <c r="G500" s="1">
        <v>16</v>
      </c>
      <c r="H500">
        <v>4</v>
      </c>
      <c r="I500" s="1">
        <v>28</v>
      </c>
      <c r="J500" s="2">
        <v>249797</v>
      </c>
      <c r="K500">
        <v>93</v>
      </c>
      <c r="L500">
        <v>0</v>
      </c>
      <c r="M500">
        <v>2</v>
      </c>
      <c r="N500">
        <v>0</v>
      </c>
      <c r="O500">
        <v>0</v>
      </c>
      <c r="P500">
        <v>0</v>
      </c>
      <c r="Q500">
        <v>0</v>
      </c>
      <c r="R500">
        <v>84</v>
      </c>
      <c r="S500">
        <v>182</v>
      </c>
      <c r="T500">
        <v>25</v>
      </c>
      <c r="U500">
        <v>16</v>
      </c>
      <c r="V500" s="53" t="str">
        <f>IFERROR(
IF(tbl_abs[[#This Row],[Month of absence]]=0,"Unknown",
CHOOSE(tbl_abs[[#This Row],[Month of absence]],
"Jan","Feb","Mar","Apr","May","Jun","Jul","Aug","Sep","Oct","Nov","Dec")),"")</f>
        <v>Aug</v>
      </c>
      <c r="W500" s="53" t="str">
        <f>IFERROR(
IF(tbl_abs[[#This Row],[Age]]&lt;30,"&lt;30",
IF(tbl_abs[[#This Row],[Age]]&lt;40,"30–39",
IF(tbl_abs[[#This Row],[Age]]&lt;50,"40–49",
IF(tbl_abs[[#This Row],[Age]]&lt;60,"50–59",
"60+")))),"")</f>
        <v>&lt;30</v>
      </c>
      <c r="X500" s="53" t="str">
        <f>IFERROR(
IF(tbl_abs[[#This Row],[Distance from Residence to Work]]&lt;=5,"0–5",
IF(tbl_abs[[#This Row],[Distance from Residence to Work]]&lt;=10,"6–10",
IF(tbl_abs[[#This Row],[Distance from Residence to Work]]&lt;=20,"11–20",
"21+"))),"")</f>
        <v>11–20</v>
      </c>
      <c r="Y500" s="53" t="str">
        <f>IFERROR(
IF(tbl_abs[[#This Row],[Body Mass Index]]&lt;18.5,"Underweight",
IF(tbl_abs[[#This Row],[Body Mass Index]]&lt;25,"Normal",
IF(tbl_abs[[#This Row],[Body Mass Index]]&lt;30,"Overweight",
"Obese"))),"")</f>
        <v>Overweight</v>
      </c>
      <c r="Z500" s="53" t="str">
        <f>IFERROR(
IF(tbl_abs[[#This Row],[Absenteeism time in hours]]&lt;=2,"0–2",
IF(tbl_abs[[#This Row],[Absenteeism time in hours]]&lt;=8,"3–8",
IF(tbl_abs[[#This Row],[Absenteeism time in hours]]&lt;=16,"9–16",
"17+"))),"")</f>
        <v>9–16</v>
      </c>
    </row>
    <row r="501" spans="1:26" ht="15" customHeight="1" x14ac:dyDescent="0.3">
      <c r="A501">
        <v>1</v>
      </c>
      <c r="B501">
        <v>23</v>
      </c>
      <c r="C501" s="1">
        <v>8</v>
      </c>
      <c r="D501">
        <v>3</v>
      </c>
      <c r="E501">
        <v>1</v>
      </c>
      <c r="F501">
        <v>235</v>
      </c>
      <c r="G501" s="1">
        <v>11</v>
      </c>
      <c r="H501">
        <v>14</v>
      </c>
      <c r="I501" s="1">
        <v>37</v>
      </c>
      <c r="J501" s="2">
        <v>249797</v>
      </c>
      <c r="K501">
        <v>93</v>
      </c>
      <c r="L501">
        <v>0</v>
      </c>
      <c r="M501">
        <v>3</v>
      </c>
      <c r="N501">
        <v>1</v>
      </c>
      <c r="O501">
        <v>0</v>
      </c>
      <c r="P501">
        <v>0</v>
      </c>
      <c r="Q501">
        <v>1</v>
      </c>
      <c r="R501">
        <v>88</v>
      </c>
      <c r="S501">
        <v>172</v>
      </c>
      <c r="T501">
        <v>29</v>
      </c>
      <c r="U501">
        <v>4</v>
      </c>
      <c r="V501" s="53" t="str">
        <f>IFERROR(
IF(tbl_abs[[#This Row],[Month of absence]]=0,"Unknown",
CHOOSE(tbl_abs[[#This Row],[Month of absence]],
"Jan","Feb","Mar","Apr","May","Jun","Jul","Aug","Sep","Oct","Nov","Dec")),"")</f>
        <v>Aug</v>
      </c>
      <c r="W501" s="53" t="str">
        <f>IFERROR(
IF(tbl_abs[[#This Row],[Age]]&lt;30,"&lt;30",
IF(tbl_abs[[#This Row],[Age]]&lt;40,"30–39",
IF(tbl_abs[[#This Row],[Age]]&lt;50,"40–49",
IF(tbl_abs[[#This Row],[Age]]&lt;60,"50–59",
"60+")))),"")</f>
        <v>30–39</v>
      </c>
      <c r="X501" s="53" t="str">
        <f>IFERROR(
IF(tbl_abs[[#This Row],[Distance from Residence to Work]]&lt;=5,"0–5",
IF(tbl_abs[[#This Row],[Distance from Residence to Work]]&lt;=10,"6–10",
IF(tbl_abs[[#This Row],[Distance from Residence to Work]]&lt;=20,"11–20",
"21+"))),"")</f>
        <v>11–20</v>
      </c>
      <c r="Y501" s="53" t="str">
        <f>IFERROR(
IF(tbl_abs[[#This Row],[Body Mass Index]]&lt;18.5,"Underweight",
IF(tbl_abs[[#This Row],[Body Mass Index]]&lt;25,"Normal",
IF(tbl_abs[[#This Row],[Body Mass Index]]&lt;30,"Overweight",
"Obese"))),"")</f>
        <v>Overweight</v>
      </c>
      <c r="Z501" s="53" t="str">
        <f>IFERROR(
IF(tbl_abs[[#This Row],[Absenteeism time in hours]]&lt;=2,"0–2",
IF(tbl_abs[[#This Row],[Absenteeism time in hours]]&lt;=8,"3–8",
IF(tbl_abs[[#This Row],[Absenteeism time in hours]]&lt;=16,"9–16",
"17+"))),"")</f>
        <v>3–8</v>
      </c>
    </row>
    <row r="502" spans="1:26" ht="15" customHeight="1" x14ac:dyDescent="0.3">
      <c r="A502">
        <v>24</v>
      </c>
      <c r="B502">
        <v>28</v>
      </c>
      <c r="C502" s="1">
        <v>8</v>
      </c>
      <c r="D502">
        <v>3</v>
      </c>
      <c r="E502">
        <v>1</v>
      </c>
      <c r="F502">
        <v>246</v>
      </c>
      <c r="G502" s="1">
        <v>25</v>
      </c>
      <c r="H502">
        <v>16</v>
      </c>
      <c r="I502" s="1">
        <v>41</v>
      </c>
      <c r="J502" s="2">
        <v>249797</v>
      </c>
      <c r="K502">
        <v>93</v>
      </c>
      <c r="L502">
        <v>0</v>
      </c>
      <c r="M502">
        <v>1</v>
      </c>
      <c r="N502">
        <v>0</v>
      </c>
      <c r="O502">
        <v>1</v>
      </c>
      <c r="P502">
        <v>0</v>
      </c>
      <c r="Q502">
        <v>0</v>
      </c>
      <c r="R502">
        <v>67</v>
      </c>
      <c r="S502">
        <v>170</v>
      </c>
      <c r="T502">
        <v>23</v>
      </c>
      <c r="U502">
        <v>1</v>
      </c>
      <c r="V502" s="53" t="str">
        <f>IFERROR(
IF(tbl_abs[[#This Row],[Month of absence]]=0,"Unknown",
CHOOSE(tbl_abs[[#This Row],[Month of absence]],
"Jan","Feb","Mar","Apr","May","Jun","Jul","Aug","Sep","Oct","Nov","Dec")),"")</f>
        <v>Aug</v>
      </c>
      <c r="W502" s="53" t="str">
        <f>IFERROR(
IF(tbl_abs[[#This Row],[Age]]&lt;30,"&lt;30",
IF(tbl_abs[[#This Row],[Age]]&lt;40,"30–39",
IF(tbl_abs[[#This Row],[Age]]&lt;50,"40–49",
IF(tbl_abs[[#This Row],[Age]]&lt;60,"50–59",
"60+")))),"")</f>
        <v>40–49</v>
      </c>
      <c r="X502" s="53" t="str">
        <f>IFERROR(
IF(tbl_abs[[#This Row],[Distance from Residence to Work]]&lt;=5,"0–5",
IF(tbl_abs[[#This Row],[Distance from Residence to Work]]&lt;=10,"6–10",
IF(tbl_abs[[#This Row],[Distance from Residence to Work]]&lt;=20,"11–20",
"21+"))),"")</f>
        <v>21+</v>
      </c>
      <c r="Y502" s="53" t="str">
        <f>IFERROR(
IF(tbl_abs[[#This Row],[Body Mass Index]]&lt;18.5,"Underweight",
IF(tbl_abs[[#This Row],[Body Mass Index]]&lt;25,"Normal",
IF(tbl_abs[[#This Row],[Body Mass Index]]&lt;30,"Overweight",
"Obese"))),"")</f>
        <v>Normal</v>
      </c>
      <c r="Z502" s="53" t="str">
        <f>IFERROR(
IF(tbl_abs[[#This Row],[Absenteeism time in hours]]&lt;=2,"0–2",
IF(tbl_abs[[#This Row],[Absenteeism time in hours]]&lt;=8,"3–8",
IF(tbl_abs[[#This Row],[Absenteeism time in hours]]&lt;=16,"9–16",
"17+"))),"")</f>
        <v>0–2</v>
      </c>
    </row>
    <row r="503" spans="1:26" ht="15" customHeight="1" x14ac:dyDescent="0.3">
      <c r="A503">
        <v>34</v>
      </c>
      <c r="B503">
        <v>28</v>
      </c>
      <c r="C503" s="1">
        <v>8</v>
      </c>
      <c r="D503">
        <v>3</v>
      </c>
      <c r="E503">
        <v>1</v>
      </c>
      <c r="F503">
        <v>118</v>
      </c>
      <c r="G503" s="1">
        <v>10</v>
      </c>
      <c r="H503">
        <v>10</v>
      </c>
      <c r="I503" s="1">
        <v>37</v>
      </c>
      <c r="J503" s="2">
        <v>249797</v>
      </c>
      <c r="K503">
        <v>93</v>
      </c>
      <c r="L503">
        <v>0</v>
      </c>
      <c r="M503">
        <v>1</v>
      </c>
      <c r="N503">
        <v>0</v>
      </c>
      <c r="O503">
        <v>0</v>
      </c>
      <c r="P503">
        <v>0</v>
      </c>
      <c r="Q503">
        <v>0</v>
      </c>
      <c r="R503">
        <v>83</v>
      </c>
      <c r="S503">
        <v>172</v>
      </c>
      <c r="T503">
        <v>28</v>
      </c>
      <c r="U503">
        <v>5</v>
      </c>
      <c r="V503" s="53" t="str">
        <f>IFERROR(
IF(tbl_abs[[#This Row],[Month of absence]]=0,"Unknown",
CHOOSE(tbl_abs[[#This Row],[Month of absence]],
"Jan","Feb","Mar","Apr","May","Jun","Jul","Aug","Sep","Oct","Nov","Dec")),"")</f>
        <v>Aug</v>
      </c>
      <c r="W503" s="53" t="str">
        <f>IFERROR(
IF(tbl_abs[[#This Row],[Age]]&lt;30,"&lt;30",
IF(tbl_abs[[#This Row],[Age]]&lt;40,"30–39",
IF(tbl_abs[[#This Row],[Age]]&lt;50,"40–49",
IF(tbl_abs[[#This Row],[Age]]&lt;60,"50–59",
"60+")))),"")</f>
        <v>30–39</v>
      </c>
      <c r="X503" s="53" t="str">
        <f>IFERROR(
IF(tbl_abs[[#This Row],[Distance from Residence to Work]]&lt;=5,"0–5",
IF(tbl_abs[[#This Row],[Distance from Residence to Work]]&lt;=10,"6–10",
IF(tbl_abs[[#This Row],[Distance from Residence to Work]]&lt;=20,"11–20",
"21+"))),"")</f>
        <v>6–10</v>
      </c>
      <c r="Y503" s="53" t="str">
        <f>IFERROR(
IF(tbl_abs[[#This Row],[Body Mass Index]]&lt;18.5,"Underweight",
IF(tbl_abs[[#This Row],[Body Mass Index]]&lt;25,"Normal",
IF(tbl_abs[[#This Row],[Body Mass Index]]&lt;30,"Overweight",
"Obese"))),"")</f>
        <v>Overweight</v>
      </c>
      <c r="Z503" s="53" t="str">
        <f>IFERROR(
IF(tbl_abs[[#This Row],[Absenteeism time in hours]]&lt;=2,"0–2",
IF(tbl_abs[[#This Row],[Absenteeism time in hours]]&lt;=8,"3–8",
IF(tbl_abs[[#This Row],[Absenteeism time in hours]]&lt;=16,"9–16",
"17+"))),"")</f>
        <v>3–8</v>
      </c>
    </row>
    <row r="504" spans="1:26" ht="15" customHeight="1" x14ac:dyDescent="0.3">
      <c r="A504">
        <v>15</v>
      </c>
      <c r="B504">
        <v>28</v>
      </c>
      <c r="C504" s="1">
        <v>8</v>
      </c>
      <c r="D504">
        <v>5</v>
      </c>
      <c r="E504">
        <v>1</v>
      </c>
      <c r="F504">
        <v>291</v>
      </c>
      <c r="G504" s="1">
        <v>31</v>
      </c>
      <c r="H504">
        <v>12</v>
      </c>
      <c r="I504" s="1">
        <v>40</v>
      </c>
      <c r="J504" s="2">
        <v>249797</v>
      </c>
      <c r="K504">
        <v>93</v>
      </c>
      <c r="L504">
        <v>0</v>
      </c>
      <c r="M504">
        <v>1</v>
      </c>
      <c r="N504">
        <v>1</v>
      </c>
      <c r="O504">
        <v>1</v>
      </c>
      <c r="P504">
        <v>0</v>
      </c>
      <c r="Q504">
        <v>1</v>
      </c>
      <c r="R504">
        <v>73</v>
      </c>
      <c r="S504">
        <v>171</v>
      </c>
      <c r="T504">
        <v>25</v>
      </c>
      <c r="U504">
        <v>2</v>
      </c>
      <c r="V504" s="53" t="str">
        <f>IFERROR(
IF(tbl_abs[[#This Row],[Month of absence]]=0,"Unknown",
CHOOSE(tbl_abs[[#This Row],[Month of absence]],
"Jan","Feb","Mar","Apr","May","Jun","Jul","Aug","Sep","Oct","Nov","Dec")),"")</f>
        <v>Aug</v>
      </c>
      <c r="W504" s="53" t="str">
        <f>IFERROR(
IF(tbl_abs[[#This Row],[Age]]&lt;30,"&lt;30",
IF(tbl_abs[[#This Row],[Age]]&lt;40,"30–39",
IF(tbl_abs[[#This Row],[Age]]&lt;50,"40–49",
IF(tbl_abs[[#This Row],[Age]]&lt;60,"50–59",
"60+")))),"")</f>
        <v>40–49</v>
      </c>
      <c r="X504" s="53" t="str">
        <f>IFERROR(
IF(tbl_abs[[#This Row],[Distance from Residence to Work]]&lt;=5,"0–5",
IF(tbl_abs[[#This Row],[Distance from Residence to Work]]&lt;=10,"6–10",
IF(tbl_abs[[#This Row],[Distance from Residence to Work]]&lt;=20,"11–20",
"21+"))),"")</f>
        <v>21+</v>
      </c>
      <c r="Y504" s="53" t="str">
        <f>IFERROR(
IF(tbl_abs[[#This Row],[Body Mass Index]]&lt;18.5,"Underweight",
IF(tbl_abs[[#This Row],[Body Mass Index]]&lt;25,"Normal",
IF(tbl_abs[[#This Row],[Body Mass Index]]&lt;30,"Overweight",
"Obese"))),"")</f>
        <v>Overweight</v>
      </c>
      <c r="Z504" s="53" t="str">
        <f>IFERROR(
IF(tbl_abs[[#This Row],[Absenteeism time in hours]]&lt;=2,"0–2",
IF(tbl_abs[[#This Row],[Absenteeism time in hours]]&lt;=8,"3–8",
IF(tbl_abs[[#This Row],[Absenteeism time in hours]]&lt;=16,"9–16",
"17+"))),"")</f>
        <v>0–2</v>
      </c>
    </row>
    <row r="505" spans="1:26" ht="15" customHeight="1" x14ac:dyDescent="0.3">
      <c r="A505">
        <v>20</v>
      </c>
      <c r="B505">
        <v>28</v>
      </c>
      <c r="C505" s="1">
        <v>8</v>
      </c>
      <c r="D505">
        <v>2</v>
      </c>
      <c r="E505">
        <v>1</v>
      </c>
      <c r="F505">
        <v>260</v>
      </c>
      <c r="G505" s="1">
        <v>50</v>
      </c>
      <c r="H505">
        <v>11</v>
      </c>
      <c r="I505" s="1">
        <v>36</v>
      </c>
      <c r="J505" s="2">
        <v>249797</v>
      </c>
      <c r="K505">
        <v>93</v>
      </c>
      <c r="L505">
        <v>0</v>
      </c>
      <c r="M505">
        <v>1</v>
      </c>
      <c r="N505">
        <v>4</v>
      </c>
      <c r="O505">
        <v>1</v>
      </c>
      <c r="P505">
        <v>0</v>
      </c>
      <c r="Q505">
        <v>0</v>
      </c>
      <c r="R505">
        <v>65</v>
      </c>
      <c r="S505">
        <v>168</v>
      </c>
      <c r="T505">
        <v>23</v>
      </c>
      <c r="U505">
        <v>3</v>
      </c>
      <c r="V505" s="53" t="str">
        <f>IFERROR(
IF(tbl_abs[[#This Row],[Month of absence]]=0,"Unknown",
CHOOSE(tbl_abs[[#This Row],[Month of absence]],
"Jan","Feb","Mar","Apr","May","Jun","Jul","Aug","Sep","Oct","Nov","Dec")),"")</f>
        <v>Aug</v>
      </c>
      <c r="W505" s="53" t="str">
        <f>IFERROR(
IF(tbl_abs[[#This Row],[Age]]&lt;30,"&lt;30",
IF(tbl_abs[[#This Row],[Age]]&lt;40,"30–39",
IF(tbl_abs[[#This Row],[Age]]&lt;50,"40–49",
IF(tbl_abs[[#This Row],[Age]]&lt;60,"50–59",
"60+")))),"")</f>
        <v>30–39</v>
      </c>
      <c r="X505" s="53" t="str">
        <f>IFERROR(
IF(tbl_abs[[#This Row],[Distance from Residence to Work]]&lt;=5,"0–5",
IF(tbl_abs[[#This Row],[Distance from Residence to Work]]&lt;=10,"6–10",
IF(tbl_abs[[#This Row],[Distance from Residence to Work]]&lt;=20,"11–20",
"21+"))),"")</f>
        <v>21+</v>
      </c>
      <c r="Y505" s="53" t="str">
        <f>IFERROR(
IF(tbl_abs[[#This Row],[Body Mass Index]]&lt;18.5,"Underweight",
IF(tbl_abs[[#This Row],[Body Mass Index]]&lt;25,"Normal",
IF(tbl_abs[[#This Row],[Body Mass Index]]&lt;30,"Overweight",
"Obese"))),"")</f>
        <v>Normal</v>
      </c>
      <c r="Z505" s="53" t="str">
        <f>IFERROR(
IF(tbl_abs[[#This Row],[Absenteeism time in hours]]&lt;=2,"0–2",
IF(tbl_abs[[#This Row],[Absenteeism time in hours]]&lt;=8,"3–8",
IF(tbl_abs[[#This Row],[Absenteeism time in hours]]&lt;=16,"9–16",
"17+"))),"")</f>
        <v>3–8</v>
      </c>
    </row>
    <row r="506" spans="1:26" ht="15" customHeight="1" x14ac:dyDescent="0.3">
      <c r="A506">
        <v>27</v>
      </c>
      <c r="B506">
        <v>23</v>
      </c>
      <c r="C506" s="1">
        <v>9</v>
      </c>
      <c r="D506">
        <v>3</v>
      </c>
      <c r="E506">
        <v>1</v>
      </c>
      <c r="F506">
        <v>184</v>
      </c>
      <c r="G506" s="1">
        <v>42</v>
      </c>
      <c r="H506">
        <v>7</v>
      </c>
      <c r="I506" s="1">
        <v>27</v>
      </c>
      <c r="J506" s="2">
        <v>241476</v>
      </c>
      <c r="K506">
        <v>92</v>
      </c>
      <c r="L506">
        <v>0</v>
      </c>
      <c r="M506">
        <v>1</v>
      </c>
      <c r="N506">
        <v>0</v>
      </c>
      <c r="O506">
        <v>0</v>
      </c>
      <c r="P506">
        <v>0</v>
      </c>
      <c r="Q506">
        <v>0</v>
      </c>
      <c r="R506">
        <v>58</v>
      </c>
      <c r="S506">
        <v>167</v>
      </c>
      <c r="T506">
        <v>21</v>
      </c>
      <c r="U506">
        <v>2</v>
      </c>
      <c r="V506" s="53" t="str">
        <f>IFERROR(
IF(tbl_abs[[#This Row],[Month of absence]]=0,"Unknown",
CHOOSE(tbl_abs[[#This Row],[Month of absence]],
"Jan","Feb","Mar","Apr","May","Jun","Jul","Aug","Sep","Oct","Nov","Dec")),"")</f>
        <v>Sep</v>
      </c>
      <c r="W506" s="53" t="str">
        <f>IFERROR(
IF(tbl_abs[[#This Row],[Age]]&lt;30,"&lt;30",
IF(tbl_abs[[#This Row],[Age]]&lt;40,"30–39",
IF(tbl_abs[[#This Row],[Age]]&lt;50,"40–49",
IF(tbl_abs[[#This Row],[Age]]&lt;60,"50–59",
"60+")))),"")</f>
        <v>&lt;30</v>
      </c>
      <c r="X506" s="53" t="str">
        <f>IFERROR(
IF(tbl_abs[[#This Row],[Distance from Residence to Work]]&lt;=5,"0–5",
IF(tbl_abs[[#This Row],[Distance from Residence to Work]]&lt;=10,"6–10",
IF(tbl_abs[[#This Row],[Distance from Residence to Work]]&lt;=20,"11–20",
"21+"))),"")</f>
        <v>21+</v>
      </c>
      <c r="Y506" s="53" t="str">
        <f>IFERROR(
IF(tbl_abs[[#This Row],[Body Mass Index]]&lt;18.5,"Underweight",
IF(tbl_abs[[#This Row],[Body Mass Index]]&lt;25,"Normal",
IF(tbl_abs[[#This Row],[Body Mass Index]]&lt;30,"Overweight",
"Obese"))),"")</f>
        <v>Normal</v>
      </c>
      <c r="Z506" s="53" t="str">
        <f>IFERROR(
IF(tbl_abs[[#This Row],[Absenteeism time in hours]]&lt;=2,"0–2",
IF(tbl_abs[[#This Row],[Absenteeism time in hours]]&lt;=8,"3–8",
IF(tbl_abs[[#This Row],[Absenteeism time in hours]]&lt;=16,"9–16",
"17+"))),"")</f>
        <v>0–2</v>
      </c>
    </row>
    <row r="507" spans="1:26" ht="15" customHeight="1" x14ac:dyDescent="0.3">
      <c r="A507">
        <v>34</v>
      </c>
      <c r="B507">
        <v>23</v>
      </c>
      <c r="C507" s="1">
        <v>9</v>
      </c>
      <c r="D507">
        <v>2</v>
      </c>
      <c r="E507">
        <v>1</v>
      </c>
      <c r="F507">
        <v>118</v>
      </c>
      <c r="G507" s="1">
        <v>10</v>
      </c>
      <c r="H507">
        <v>10</v>
      </c>
      <c r="I507" s="1">
        <v>37</v>
      </c>
      <c r="J507" s="2">
        <v>241476</v>
      </c>
      <c r="K507">
        <v>92</v>
      </c>
      <c r="L507">
        <v>0</v>
      </c>
      <c r="M507">
        <v>1</v>
      </c>
      <c r="N507">
        <v>0</v>
      </c>
      <c r="O507">
        <v>0</v>
      </c>
      <c r="P507">
        <v>0</v>
      </c>
      <c r="Q507">
        <v>0</v>
      </c>
      <c r="R507">
        <v>83</v>
      </c>
      <c r="S507">
        <v>172</v>
      </c>
      <c r="U507">
        <v>4</v>
      </c>
      <c r="V507" s="53" t="str">
        <f>IFERROR(
IF(tbl_abs[[#This Row],[Month of absence]]=0,"Unknown",
CHOOSE(tbl_abs[[#This Row],[Month of absence]],
"Jan","Feb","Mar","Apr","May","Jun","Jul","Aug","Sep","Oct","Nov","Dec")),"")</f>
        <v>Sep</v>
      </c>
      <c r="W507" s="53" t="str">
        <f>IFERROR(
IF(tbl_abs[[#This Row],[Age]]&lt;30,"&lt;30",
IF(tbl_abs[[#This Row],[Age]]&lt;40,"30–39",
IF(tbl_abs[[#This Row],[Age]]&lt;50,"40–49",
IF(tbl_abs[[#This Row],[Age]]&lt;60,"50–59",
"60+")))),"")</f>
        <v>30–39</v>
      </c>
      <c r="X507" s="53" t="str">
        <f>IFERROR(
IF(tbl_abs[[#This Row],[Distance from Residence to Work]]&lt;=5,"0–5",
IF(tbl_abs[[#This Row],[Distance from Residence to Work]]&lt;=10,"6–10",
IF(tbl_abs[[#This Row],[Distance from Residence to Work]]&lt;=20,"11–20",
"21+"))),"")</f>
        <v>6–10</v>
      </c>
      <c r="Y507" s="53" t="str">
        <f>IFERROR(
IF(tbl_abs[[#This Row],[Body Mass Index]]&lt;18.5,"Underweight",
IF(tbl_abs[[#This Row],[Body Mass Index]]&lt;25,"Normal",
IF(tbl_abs[[#This Row],[Body Mass Index]]&lt;30,"Overweight",
"Obese"))),"")</f>
        <v>Underweight</v>
      </c>
      <c r="Z507" s="53" t="str">
        <f>IFERROR(
IF(tbl_abs[[#This Row],[Absenteeism time in hours]]&lt;=2,"0–2",
IF(tbl_abs[[#This Row],[Absenteeism time in hours]]&lt;=8,"3–8",
IF(tbl_abs[[#This Row],[Absenteeism time in hours]]&lt;=16,"9–16",
"17+"))),"")</f>
        <v>3–8</v>
      </c>
    </row>
    <row r="508" spans="1:26" ht="15" customHeight="1" x14ac:dyDescent="0.3">
      <c r="A508">
        <v>3</v>
      </c>
      <c r="B508">
        <v>23</v>
      </c>
      <c r="C508" s="1">
        <v>9</v>
      </c>
      <c r="D508">
        <v>3</v>
      </c>
      <c r="E508">
        <v>1</v>
      </c>
      <c r="F508">
        <v>179</v>
      </c>
      <c r="G508" s="1">
        <v>51</v>
      </c>
      <c r="H508">
        <v>18</v>
      </c>
      <c r="I508" s="1">
        <v>38</v>
      </c>
      <c r="J508" s="2">
        <v>241476</v>
      </c>
      <c r="K508">
        <v>92</v>
      </c>
      <c r="L508">
        <v>0</v>
      </c>
      <c r="M508">
        <v>1</v>
      </c>
      <c r="N508">
        <v>0</v>
      </c>
      <c r="O508">
        <v>1</v>
      </c>
      <c r="P508">
        <v>0</v>
      </c>
      <c r="Q508">
        <v>0</v>
      </c>
      <c r="R508">
        <v>89</v>
      </c>
      <c r="S508">
        <v>170</v>
      </c>
      <c r="U508">
        <v>4</v>
      </c>
      <c r="V508" s="53" t="str">
        <f>IFERROR(
IF(tbl_abs[[#This Row],[Month of absence]]=0,"Unknown",
CHOOSE(tbl_abs[[#This Row],[Month of absence]],
"Jan","Feb","Mar","Apr","May","Jun","Jul","Aug","Sep","Oct","Nov","Dec")),"")</f>
        <v>Sep</v>
      </c>
      <c r="W508" s="53" t="str">
        <f>IFERROR(
IF(tbl_abs[[#This Row],[Age]]&lt;30,"&lt;30",
IF(tbl_abs[[#This Row],[Age]]&lt;40,"30–39",
IF(tbl_abs[[#This Row],[Age]]&lt;50,"40–49",
IF(tbl_abs[[#This Row],[Age]]&lt;60,"50–59",
"60+")))),"")</f>
        <v>30–39</v>
      </c>
      <c r="X508" s="53" t="str">
        <f>IFERROR(
IF(tbl_abs[[#This Row],[Distance from Residence to Work]]&lt;=5,"0–5",
IF(tbl_abs[[#This Row],[Distance from Residence to Work]]&lt;=10,"6–10",
IF(tbl_abs[[#This Row],[Distance from Residence to Work]]&lt;=20,"11–20",
"21+"))),"")</f>
        <v>21+</v>
      </c>
      <c r="Y508" s="53" t="str">
        <f>IFERROR(
IF(tbl_abs[[#This Row],[Body Mass Index]]&lt;18.5,"Underweight",
IF(tbl_abs[[#This Row],[Body Mass Index]]&lt;25,"Normal",
IF(tbl_abs[[#This Row],[Body Mass Index]]&lt;30,"Overweight",
"Obese"))),"")</f>
        <v>Underweight</v>
      </c>
      <c r="Z508" s="53" t="str">
        <f>IFERROR(
IF(tbl_abs[[#This Row],[Absenteeism time in hours]]&lt;=2,"0–2",
IF(tbl_abs[[#This Row],[Absenteeism time in hours]]&lt;=8,"3–8",
IF(tbl_abs[[#This Row],[Absenteeism time in hours]]&lt;=16,"9–16",
"17+"))),"")</f>
        <v>3–8</v>
      </c>
    </row>
    <row r="509" spans="1:26" ht="15" customHeight="1" x14ac:dyDescent="0.3">
      <c r="A509">
        <v>5</v>
      </c>
      <c r="B509">
        <v>19</v>
      </c>
      <c r="C509" s="1">
        <v>9</v>
      </c>
      <c r="D509">
        <v>3</v>
      </c>
      <c r="E509">
        <v>1</v>
      </c>
      <c r="F509">
        <v>235</v>
      </c>
      <c r="G509" s="1">
        <v>20</v>
      </c>
      <c r="H509">
        <v>13</v>
      </c>
      <c r="I509" s="1">
        <v>43</v>
      </c>
      <c r="J509" s="2">
        <v>241476</v>
      </c>
      <c r="K509">
        <v>92</v>
      </c>
      <c r="L509">
        <v>0</v>
      </c>
      <c r="M509">
        <v>1</v>
      </c>
      <c r="N509">
        <v>1</v>
      </c>
      <c r="O509">
        <v>1</v>
      </c>
      <c r="P509">
        <v>0</v>
      </c>
      <c r="Q509">
        <v>0</v>
      </c>
      <c r="R509">
        <v>106</v>
      </c>
      <c r="S509">
        <v>167</v>
      </c>
      <c r="T509">
        <v>38</v>
      </c>
      <c r="U509">
        <v>8</v>
      </c>
      <c r="V509" s="53" t="str">
        <f>IFERROR(
IF(tbl_abs[[#This Row],[Month of absence]]=0,"Unknown",
CHOOSE(tbl_abs[[#This Row],[Month of absence]],
"Jan","Feb","Mar","Apr","May","Jun","Jul","Aug","Sep","Oct","Nov","Dec")),"")</f>
        <v>Sep</v>
      </c>
      <c r="W509" s="53" t="str">
        <f>IFERROR(
IF(tbl_abs[[#This Row],[Age]]&lt;30,"&lt;30",
IF(tbl_abs[[#This Row],[Age]]&lt;40,"30–39",
IF(tbl_abs[[#This Row],[Age]]&lt;50,"40–49",
IF(tbl_abs[[#This Row],[Age]]&lt;60,"50–59",
"60+")))),"")</f>
        <v>40–49</v>
      </c>
      <c r="X509" s="53" t="str">
        <f>IFERROR(
IF(tbl_abs[[#This Row],[Distance from Residence to Work]]&lt;=5,"0–5",
IF(tbl_abs[[#This Row],[Distance from Residence to Work]]&lt;=10,"6–10",
IF(tbl_abs[[#This Row],[Distance from Residence to Work]]&lt;=20,"11–20",
"21+"))),"")</f>
        <v>11–20</v>
      </c>
      <c r="Y509" s="53" t="str">
        <f>IFERROR(
IF(tbl_abs[[#This Row],[Body Mass Index]]&lt;18.5,"Underweight",
IF(tbl_abs[[#This Row],[Body Mass Index]]&lt;25,"Normal",
IF(tbl_abs[[#This Row],[Body Mass Index]]&lt;30,"Overweight",
"Obese"))),"")</f>
        <v>Obese</v>
      </c>
      <c r="Z509" s="53" t="str">
        <f>IFERROR(
IF(tbl_abs[[#This Row],[Absenteeism time in hours]]&lt;=2,"0–2",
IF(tbl_abs[[#This Row],[Absenteeism time in hours]]&lt;=8,"3–8",
IF(tbl_abs[[#This Row],[Absenteeism time in hours]]&lt;=16,"9–16",
"17+"))),"")</f>
        <v>3–8</v>
      </c>
    </row>
    <row r="510" spans="1:26" ht="15" customHeight="1" x14ac:dyDescent="0.3">
      <c r="A510">
        <v>14</v>
      </c>
      <c r="B510">
        <v>23</v>
      </c>
      <c r="C510" s="1">
        <v>9</v>
      </c>
      <c r="D510">
        <v>4</v>
      </c>
      <c r="E510">
        <v>1</v>
      </c>
      <c r="F510">
        <v>155</v>
      </c>
      <c r="G510" s="1">
        <v>12</v>
      </c>
      <c r="H510">
        <v>14</v>
      </c>
      <c r="I510" s="1">
        <v>34</v>
      </c>
      <c r="J510" s="2">
        <v>241476</v>
      </c>
      <c r="K510">
        <v>92</v>
      </c>
      <c r="L510">
        <v>0</v>
      </c>
      <c r="M510">
        <v>1</v>
      </c>
      <c r="N510">
        <v>2</v>
      </c>
      <c r="O510">
        <v>1</v>
      </c>
      <c r="P510">
        <v>0</v>
      </c>
      <c r="Q510">
        <v>0</v>
      </c>
      <c r="R510">
        <v>95</v>
      </c>
      <c r="S510">
        <v>196</v>
      </c>
      <c r="T510">
        <v>25</v>
      </c>
      <c r="U510">
        <v>2</v>
      </c>
      <c r="V510" s="53" t="str">
        <f>IFERROR(
IF(tbl_abs[[#This Row],[Month of absence]]=0,"Unknown",
CHOOSE(tbl_abs[[#This Row],[Month of absence]],
"Jan","Feb","Mar","Apr","May","Jun","Jul","Aug","Sep","Oct","Nov","Dec")),"")</f>
        <v>Sep</v>
      </c>
      <c r="W510" s="53" t="str">
        <f>IFERROR(
IF(tbl_abs[[#This Row],[Age]]&lt;30,"&lt;30",
IF(tbl_abs[[#This Row],[Age]]&lt;40,"30–39",
IF(tbl_abs[[#This Row],[Age]]&lt;50,"40–49",
IF(tbl_abs[[#This Row],[Age]]&lt;60,"50–59",
"60+")))),"")</f>
        <v>30–39</v>
      </c>
      <c r="X510" s="53" t="str">
        <f>IFERROR(
IF(tbl_abs[[#This Row],[Distance from Residence to Work]]&lt;=5,"0–5",
IF(tbl_abs[[#This Row],[Distance from Residence to Work]]&lt;=10,"6–10",
IF(tbl_abs[[#This Row],[Distance from Residence to Work]]&lt;=20,"11–20",
"21+"))),"")</f>
        <v>11–20</v>
      </c>
      <c r="Y510" s="53" t="str">
        <f>IFERROR(
IF(tbl_abs[[#This Row],[Body Mass Index]]&lt;18.5,"Underweight",
IF(tbl_abs[[#This Row],[Body Mass Index]]&lt;25,"Normal",
IF(tbl_abs[[#This Row],[Body Mass Index]]&lt;30,"Overweight",
"Obese"))),"")</f>
        <v>Overweight</v>
      </c>
      <c r="Z510" s="53" t="str">
        <f>IFERROR(
IF(tbl_abs[[#This Row],[Absenteeism time in hours]]&lt;=2,"0–2",
IF(tbl_abs[[#This Row],[Absenteeism time in hours]]&lt;=8,"3–8",
IF(tbl_abs[[#This Row],[Absenteeism time in hours]]&lt;=16,"9–16",
"17+"))),"")</f>
        <v>0–2</v>
      </c>
    </row>
    <row r="511" spans="1:26" ht="15" customHeight="1" x14ac:dyDescent="0.3">
      <c r="A511">
        <v>34</v>
      </c>
      <c r="B511">
        <v>23</v>
      </c>
      <c r="C511" s="1">
        <v>9</v>
      </c>
      <c r="D511">
        <v>2</v>
      </c>
      <c r="E511">
        <v>1</v>
      </c>
      <c r="F511">
        <v>118</v>
      </c>
      <c r="H511">
        <v>10</v>
      </c>
      <c r="I511" s="1">
        <v>37</v>
      </c>
      <c r="J511" s="2">
        <v>241476</v>
      </c>
      <c r="K511">
        <v>92</v>
      </c>
      <c r="L511">
        <v>0</v>
      </c>
      <c r="M511">
        <v>1</v>
      </c>
      <c r="N511">
        <v>0</v>
      </c>
      <c r="O511">
        <v>0</v>
      </c>
      <c r="P511">
        <v>0</v>
      </c>
      <c r="Q511">
        <v>0</v>
      </c>
      <c r="R511">
        <v>83</v>
      </c>
      <c r="S511">
        <v>172</v>
      </c>
      <c r="T511">
        <v>28</v>
      </c>
      <c r="U511">
        <v>3</v>
      </c>
      <c r="V511" s="53" t="str">
        <f>IFERROR(
IF(tbl_abs[[#This Row],[Month of absence]]=0,"Unknown",
CHOOSE(tbl_abs[[#This Row],[Month of absence]],
"Jan","Feb","Mar","Apr","May","Jun","Jul","Aug","Sep","Oct","Nov","Dec")),"")</f>
        <v>Sep</v>
      </c>
      <c r="W511" s="53" t="str">
        <f>IFERROR(
IF(tbl_abs[[#This Row],[Age]]&lt;30,"&lt;30",
IF(tbl_abs[[#This Row],[Age]]&lt;40,"30–39",
IF(tbl_abs[[#This Row],[Age]]&lt;50,"40–49",
IF(tbl_abs[[#This Row],[Age]]&lt;60,"50–59",
"60+")))),"")</f>
        <v>30–39</v>
      </c>
      <c r="X511" s="53" t="str">
        <f>IFERROR(
IF(tbl_abs[[#This Row],[Distance from Residence to Work]]&lt;=5,"0–5",
IF(tbl_abs[[#This Row],[Distance from Residence to Work]]&lt;=10,"6–10",
IF(tbl_abs[[#This Row],[Distance from Residence to Work]]&lt;=20,"11–20",
"21+"))),"")</f>
        <v>0–5</v>
      </c>
      <c r="Y511" s="53" t="str">
        <f>IFERROR(
IF(tbl_abs[[#This Row],[Body Mass Index]]&lt;18.5,"Underweight",
IF(tbl_abs[[#This Row],[Body Mass Index]]&lt;25,"Normal",
IF(tbl_abs[[#This Row],[Body Mass Index]]&lt;30,"Overweight",
"Obese"))),"")</f>
        <v>Overweight</v>
      </c>
      <c r="Z511" s="53" t="str">
        <f>IFERROR(
IF(tbl_abs[[#This Row],[Absenteeism time in hours]]&lt;=2,"0–2",
IF(tbl_abs[[#This Row],[Absenteeism time in hours]]&lt;=8,"3–8",
IF(tbl_abs[[#This Row],[Absenteeism time in hours]]&lt;=16,"9–16",
"17+"))),"")</f>
        <v>3–8</v>
      </c>
    </row>
    <row r="512" spans="1:26" ht="15" customHeight="1" x14ac:dyDescent="0.3">
      <c r="A512">
        <v>3</v>
      </c>
      <c r="B512">
        <v>23</v>
      </c>
      <c r="C512" s="1">
        <v>9</v>
      </c>
      <c r="D512">
        <v>3</v>
      </c>
      <c r="E512">
        <v>1</v>
      </c>
      <c r="F512">
        <v>179</v>
      </c>
      <c r="G512" s="1">
        <v>51</v>
      </c>
      <c r="H512">
        <v>18</v>
      </c>
      <c r="I512" s="1">
        <v>38</v>
      </c>
      <c r="J512" s="2">
        <v>241476</v>
      </c>
      <c r="K512">
        <v>92</v>
      </c>
      <c r="L512">
        <v>0</v>
      </c>
      <c r="M512">
        <v>1</v>
      </c>
      <c r="N512">
        <v>0</v>
      </c>
      <c r="O512">
        <v>1</v>
      </c>
      <c r="P512">
        <v>0</v>
      </c>
      <c r="Q512">
        <v>0</v>
      </c>
      <c r="R512">
        <v>89</v>
      </c>
      <c r="S512">
        <v>170</v>
      </c>
      <c r="T512">
        <v>31</v>
      </c>
      <c r="U512">
        <v>3</v>
      </c>
      <c r="V512" s="53" t="str">
        <f>IFERROR(
IF(tbl_abs[[#This Row],[Month of absence]]=0,"Unknown",
CHOOSE(tbl_abs[[#This Row],[Month of absence]],
"Jan","Feb","Mar","Apr","May","Jun","Jul","Aug","Sep","Oct","Nov","Dec")),"")</f>
        <v>Sep</v>
      </c>
      <c r="W512" s="53" t="str">
        <f>IFERROR(
IF(tbl_abs[[#This Row],[Age]]&lt;30,"&lt;30",
IF(tbl_abs[[#This Row],[Age]]&lt;40,"30–39",
IF(tbl_abs[[#This Row],[Age]]&lt;50,"40–49",
IF(tbl_abs[[#This Row],[Age]]&lt;60,"50–59",
"60+")))),"")</f>
        <v>30–39</v>
      </c>
      <c r="X512" s="53" t="str">
        <f>IFERROR(
IF(tbl_abs[[#This Row],[Distance from Residence to Work]]&lt;=5,"0–5",
IF(tbl_abs[[#This Row],[Distance from Residence to Work]]&lt;=10,"6–10",
IF(tbl_abs[[#This Row],[Distance from Residence to Work]]&lt;=20,"11–20",
"21+"))),"")</f>
        <v>21+</v>
      </c>
      <c r="Y512" s="53" t="str">
        <f>IFERROR(
IF(tbl_abs[[#This Row],[Body Mass Index]]&lt;18.5,"Underweight",
IF(tbl_abs[[#This Row],[Body Mass Index]]&lt;25,"Normal",
IF(tbl_abs[[#This Row],[Body Mass Index]]&lt;30,"Overweight",
"Obese"))),"")</f>
        <v>Obese</v>
      </c>
      <c r="Z512" s="53" t="str">
        <f>IFERROR(
IF(tbl_abs[[#This Row],[Absenteeism time in hours]]&lt;=2,"0–2",
IF(tbl_abs[[#This Row],[Absenteeism time in hours]]&lt;=8,"3–8",
IF(tbl_abs[[#This Row],[Absenteeism time in hours]]&lt;=16,"9–16",
"17+"))),"")</f>
        <v>3–8</v>
      </c>
    </row>
    <row r="513" spans="1:26" ht="15" customHeight="1" x14ac:dyDescent="0.3">
      <c r="A513">
        <v>15</v>
      </c>
      <c r="B513">
        <v>23</v>
      </c>
      <c r="C513" s="1">
        <v>9</v>
      </c>
      <c r="D513">
        <v>5</v>
      </c>
      <c r="E513">
        <v>1</v>
      </c>
      <c r="F513">
        <v>291</v>
      </c>
      <c r="G513" s="1">
        <v>31</v>
      </c>
      <c r="H513">
        <v>12</v>
      </c>
      <c r="I513" s="1">
        <v>40</v>
      </c>
      <c r="J513" s="2">
        <v>241476</v>
      </c>
      <c r="K513">
        <v>92</v>
      </c>
      <c r="L513">
        <v>0</v>
      </c>
      <c r="M513">
        <v>1</v>
      </c>
      <c r="N513">
        <v>1</v>
      </c>
      <c r="O513">
        <v>1</v>
      </c>
      <c r="P513">
        <v>0</v>
      </c>
      <c r="Q513">
        <v>1</v>
      </c>
      <c r="R513">
        <v>73</v>
      </c>
      <c r="S513">
        <v>171</v>
      </c>
      <c r="T513">
        <v>25</v>
      </c>
      <c r="U513">
        <v>4</v>
      </c>
      <c r="V513" s="53" t="str">
        <f>IFERROR(
IF(tbl_abs[[#This Row],[Month of absence]]=0,"Unknown",
CHOOSE(tbl_abs[[#This Row],[Month of absence]],
"Jan","Feb","Mar","Apr","May","Jun","Jul","Aug","Sep","Oct","Nov","Dec")),"")</f>
        <v>Sep</v>
      </c>
      <c r="W513" s="53" t="str">
        <f>IFERROR(
IF(tbl_abs[[#This Row],[Age]]&lt;30,"&lt;30",
IF(tbl_abs[[#This Row],[Age]]&lt;40,"30–39",
IF(tbl_abs[[#This Row],[Age]]&lt;50,"40–49",
IF(tbl_abs[[#This Row],[Age]]&lt;60,"50–59",
"60+")))),"")</f>
        <v>40–49</v>
      </c>
      <c r="X513" s="53" t="str">
        <f>IFERROR(
IF(tbl_abs[[#This Row],[Distance from Residence to Work]]&lt;=5,"0–5",
IF(tbl_abs[[#This Row],[Distance from Residence to Work]]&lt;=10,"6–10",
IF(tbl_abs[[#This Row],[Distance from Residence to Work]]&lt;=20,"11–20",
"21+"))),"")</f>
        <v>21+</v>
      </c>
      <c r="Y513" s="53" t="str">
        <f>IFERROR(
IF(tbl_abs[[#This Row],[Body Mass Index]]&lt;18.5,"Underweight",
IF(tbl_abs[[#This Row],[Body Mass Index]]&lt;25,"Normal",
IF(tbl_abs[[#This Row],[Body Mass Index]]&lt;30,"Overweight",
"Obese"))),"")</f>
        <v>Overweight</v>
      </c>
      <c r="Z513" s="53" t="str">
        <f>IFERROR(
IF(tbl_abs[[#This Row],[Absenteeism time in hours]]&lt;=2,"0–2",
IF(tbl_abs[[#This Row],[Absenteeism time in hours]]&lt;=8,"3–8",
IF(tbl_abs[[#This Row],[Absenteeism time in hours]]&lt;=16,"9–16",
"17+"))),"")</f>
        <v>3–8</v>
      </c>
    </row>
    <row r="514" spans="1:26" ht="15" customHeight="1" x14ac:dyDescent="0.3">
      <c r="A514">
        <v>20</v>
      </c>
      <c r="B514">
        <v>22</v>
      </c>
      <c r="C514" s="1">
        <v>9</v>
      </c>
      <c r="D514">
        <v>6</v>
      </c>
      <c r="E514">
        <v>1</v>
      </c>
      <c r="F514">
        <v>260</v>
      </c>
      <c r="G514" s="1">
        <v>50</v>
      </c>
      <c r="H514">
        <v>11</v>
      </c>
      <c r="I514" s="1">
        <v>36</v>
      </c>
      <c r="J514" s="2">
        <v>241476</v>
      </c>
      <c r="K514">
        <v>92</v>
      </c>
      <c r="L514">
        <v>0</v>
      </c>
      <c r="M514">
        <v>1</v>
      </c>
      <c r="N514">
        <v>4</v>
      </c>
      <c r="O514">
        <v>1</v>
      </c>
      <c r="P514">
        <v>0</v>
      </c>
      <c r="Q514">
        <v>0</v>
      </c>
      <c r="R514">
        <v>65</v>
      </c>
      <c r="S514">
        <v>168</v>
      </c>
      <c r="T514">
        <v>23</v>
      </c>
      <c r="V514" s="53" t="str">
        <f>IFERROR(
IF(tbl_abs[[#This Row],[Month of absence]]=0,"Unknown",
CHOOSE(tbl_abs[[#This Row],[Month of absence]],
"Jan","Feb","Mar","Apr","May","Jun","Jul","Aug","Sep","Oct","Nov","Dec")),"")</f>
        <v>Sep</v>
      </c>
      <c r="W514" s="53" t="str">
        <f>IFERROR(
IF(tbl_abs[[#This Row],[Age]]&lt;30,"&lt;30",
IF(tbl_abs[[#This Row],[Age]]&lt;40,"30–39",
IF(tbl_abs[[#This Row],[Age]]&lt;50,"40–49",
IF(tbl_abs[[#This Row],[Age]]&lt;60,"50–59",
"60+")))),"")</f>
        <v>30–39</v>
      </c>
      <c r="X514" s="53" t="str">
        <f>IFERROR(
IF(tbl_abs[[#This Row],[Distance from Residence to Work]]&lt;=5,"0–5",
IF(tbl_abs[[#This Row],[Distance from Residence to Work]]&lt;=10,"6–10",
IF(tbl_abs[[#This Row],[Distance from Residence to Work]]&lt;=20,"11–20",
"21+"))),"")</f>
        <v>21+</v>
      </c>
      <c r="Y514" s="53" t="str">
        <f>IFERROR(
IF(tbl_abs[[#This Row],[Body Mass Index]]&lt;18.5,"Underweight",
IF(tbl_abs[[#This Row],[Body Mass Index]]&lt;25,"Normal",
IF(tbl_abs[[#This Row],[Body Mass Index]]&lt;30,"Overweight",
"Obese"))),"")</f>
        <v>Normal</v>
      </c>
      <c r="Z514" s="53" t="str">
        <f>IFERROR(
IF(tbl_abs[[#This Row],[Absenteeism time in hours]]&lt;=2,"0–2",
IF(tbl_abs[[#This Row],[Absenteeism time in hours]]&lt;=8,"3–8",
IF(tbl_abs[[#This Row],[Absenteeism time in hours]]&lt;=16,"9–16",
"17+"))),"")</f>
        <v>0–2</v>
      </c>
    </row>
    <row r="515" spans="1:26" ht="15" customHeight="1" x14ac:dyDescent="0.3">
      <c r="A515">
        <v>15</v>
      </c>
      <c r="B515">
        <v>14</v>
      </c>
      <c r="C515" s="1">
        <v>9</v>
      </c>
      <c r="D515">
        <v>2</v>
      </c>
      <c r="E515">
        <v>4</v>
      </c>
      <c r="G515" s="1">
        <v>31</v>
      </c>
      <c r="H515">
        <v>12</v>
      </c>
      <c r="I515" s="1">
        <v>40</v>
      </c>
      <c r="J515" s="2">
        <v>241476</v>
      </c>
      <c r="K515">
        <v>92</v>
      </c>
      <c r="L515">
        <v>0</v>
      </c>
      <c r="M515">
        <v>1</v>
      </c>
      <c r="N515">
        <v>1</v>
      </c>
      <c r="O515">
        <v>1</v>
      </c>
      <c r="P515">
        <v>0</v>
      </c>
      <c r="Q515">
        <v>1</v>
      </c>
      <c r="R515">
        <v>73</v>
      </c>
      <c r="S515">
        <v>171</v>
      </c>
      <c r="T515">
        <v>25</v>
      </c>
      <c r="U515">
        <v>32</v>
      </c>
      <c r="V515" s="53" t="str">
        <f>IFERROR(
IF(tbl_abs[[#This Row],[Month of absence]]=0,"Unknown",
CHOOSE(tbl_abs[[#This Row],[Month of absence]],
"Jan","Feb","Mar","Apr","May","Jun","Jul","Aug","Sep","Oct","Nov","Dec")),"")</f>
        <v>Sep</v>
      </c>
      <c r="W515" s="53" t="str">
        <f>IFERROR(
IF(tbl_abs[[#This Row],[Age]]&lt;30,"&lt;30",
IF(tbl_abs[[#This Row],[Age]]&lt;40,"30–39",
IF(tbl_abs[[#This Row],[Age]]&lt;50,"40–49",
IF(tbl_abs[[#This Row],[Age]]&lt;60,"50–59",
"60+")))),"")</f>
        <v>40–49</v>
      </c>
      <c r="X515" s="53" t="str">
        <f>IFERROR(
IF(tbl_abs[[#This Row],[Distance from Residence to Work]]&lt;=5,"0–5",
IF(tbl_abs[[#This Row],[Distance from Residence to Work]]&lt;=10,"6–10",
IF(tbl_abs[[#This Row],[Distance from Residence to Work]]&lt;=20,"11–20",
"21+"))),"")</f>
        <v>21+</v>
      </c>
      <c r="Y515" s="53" t="str">
        <f>IFERROR(
IF(tbl_abs[[#This Row],[Body Mass Index]]&lt;18.5,"Underweight",
IF(tbl_abs[[#This Row],[Body Mass Index]]&lt;25,"Normal",
IF(tbl_abs[[#This Row],[Body Mass Index]]&lt;30,"Overweight",
"Obese"))),"")</f>
        <v>Overweight</v>
      </c>
      <c r="Z515" s="53" t="str">
        <f>IFERROR(
IF(tbl_abs[[#This Row],[Absenteeism time in hours]]&lt;=2,"0–2",
IF(tbl_abs[[#This Row],[Absenteeism time in hours]]&lt;=8,"3–8",
IF(tbl_abs[[#This Row],[Absenteeism time in hours]]&lt;=16,"9–16",
"17+"))),"")</f>
        <v>17+</v>
      </c>
    </row>
    <row r="516" spans="1:26" ht="15" customHeight="1" x14ac:dyDescent="0.3">
      <c r="A516">
        <v>20</v>
      </c>
      <c r="B516">
        <v>0</v>
      </c>
      <c r="C516" s="1">
        <v>9</v>
      </c>
      <c r="D516">
        <v>2</v>
      </c>
      <c r="E516">
        <v>4</v>
      </c>
      <c r="G516" s="1">
        <v>50</v>
      </c>
      <c r="H516">
        <v>11</v>
      </c>
      <c r="I516" s="1">
        <v>36</v>
      </c>
      <c r="J516" s="2">
        <v>241476</v>
      </c>
      <c r="K516">
        <v>92</v>
      </c>
      <c r="M516">
        <v>1</v>
      </c>
      <c r="N516">
        <v>4</v>
      </c>
      <c r="O516">
        <v>1</v>
      </c>
      <c r="P516">
        <v>0</v>
      </c>
      <c r="Q516">
        <v>0</v>
      </c>
      <c r="R516">
        <v>65</v>
      </c>
      <c r="S516">
        <v>168</v>
      </c>
      <c r="T516">
        <v>23</v>
      </c>
      <c r="V516" s="53" t="str">
        <f>IFERROR(
IF(tbl_abs[[#This Row],[Month of absence]]=0,"Unknown",
CHOOSE(tbl_abs[[#This Row],[Month of absence]],
"Jan","Feb","Mar","Apr","May","Jun","Jul","Aug","Sep","Oct","Nov","Dec")),"")</f>
        <v>Sep</v>
      </c>
      <c r="W516" s="53" t="str">
        <f>IFERROR(
IF(tbl_abs[[#This Row],[Age]]&lt;30,"&lt;30",
IF(tbl_abs[[#This Row],[Age]]&lt;40,"30–39",
IF(tbl_abs[[#This Row],[Age]]&lt;50,"40–49",
IF(tbl_abs[[#This Row],[Age]]&lt;60,"50–59",
"60+")))),"")</f>
        <v>30–39</v>
      </c>
      <c r="X516" s="53" t="str">
        <f>IFERROR(
IF(tbl_abs[[#This Row],[Distance from Residence to Work]]&lt;=5,"0–5",
IF(tbl_abs[[#This Row],[Distance from Residence to Work]]&lt;=10,"6–10",
IF(tbl_abs[[#This Row],[Distance from Residence to Work]]&lt;=20,"11–20",
"21+"))),"")</f>
        <v>21+</v>
      </c>
      <c r="Y516" s="53" t="str">
        <f>IFERROR(
IF(tbl_abs[[#This Row],[Body Mass Index]]&lt;18.5,"Underweight",
IF(tbl_abs[[#This Row],[Body Mass Index]]&lt;25,"Normal",
IF(tbl_abs[[#This Row],[Body Mass Index]]&lt;30,"Overweight",
"Obese"))),"")</f>
        <v>Normal</v>
      </c>
      <c r="Z516" s="53" t="str">
        <f>IFERROR(
IF(tbl_abs[[#This Row],[Absenteeism time in hours]]&lt;=2,"0–2",
IF(tbl_abs[[#This Row],[Absenteeism time in hours]]&lt;=8,"3–8",
IF(tbl_abs[[#This Row],[Absenteeism time in hours]]&lt;=16,"9–16",
"17+"))),"")</f>
        <v>0–2</v>
      </c>
    </row>
    <row r="517" spans="1:26" ht="15" customHeight="1" x14ac:dyDescent="0.3">
      <c r="A517">
        <v>29</v>
      </c>
      <c r="B517">
        <v>0</v>
      </c>
      <c r="C517" s="1">
        <v>9</v>
      </c>
      <c r="D517">
        <v>2</v>
      </c>
      <c r="E517">
        <v>4</v>
      </c>
      <c r="F517">
        <v>225</v>
      </c>
      <c r="G517" s="1">
        <v>26</v>
      </c>
      <c r="H517">
        <v>9</v>
      </c>
      <c r="I517" s="1">
        <v>28</v>
      </c>
      <c r="J517" s="2">
        <v>241476</v>
      </c>
      <c r="K517">
        <v>92</v>
      </c>
      <c r="L517">
        <v>1</v>
      </c>
      <c r="M517">
        <v>1</v>
      </c>
      <c r="N517">
        <v>1</v>
      </c>
      <c r="O517">
        <v>0</v>
      </c>
      <c r="P517">
        <v>0</v>
      </c>
      <c r="Q517">
        <v>2</v>
      </c>
      <c r="R517">
        <v>69</v>
      </c>
      <c r="S517">
        <v>169</v>
      </c>
      <c r="T517">
        <v>24</v>
      </c>
      <c r="U517">
        <v>0</v>
      </c>
      <c r="V517" s="53" t="str">
        <f>IFERROR(
IF(tbl_abs[[#This Row],[Month of absence]]=0,"Unknown",
CHOOSE(tbl_abs[[#This Row],[Month of absence]],
"Jan","Feb","Mar","Apr","May","Jun","Jul","Aug","Sep","Oct","Nov","Dec")),"")</f>
        <v>Sep</v>
      </c>
      <c r="W517" s="53" t="str">
        <f>IFERROR(
IF(tbl_abs[[#This Row],[Age]]&lt;30,"&lt;30",
IF(tbl_abs[[#This Row],[Age]]&lt;40,"30–39",
IF(tbl_abs[[#This Row],[Age]]&lt;50,"40–49",
IF(tbl_abs[[#This Row],[Age]]&lt;60,"50–59",
"60+")))),"")</f>
        <v>&lt;30</v>
      </c>
      <c r="X517" s="53" t="str">
        <f>IFERROR(
IF(tbl_abs[[#This Row],[Distance from Residence to Work]]&lt;=5,"0–5",
IF(tbl_abs[[#This Row],[Distance from Residence to Work]]&lt;=10,"6–10",
IF(tbl_abs[[#This Row],[Distance from Residence to Work]]&lt;=20,"11–20",
"21+"))),"")</f>
        <v>21+</v>
      </c>
      <c r="Y517" s="53" t="str">
        <f>IFERROR(
IF(tbl_abs[[#This Row],[Body Mass Index]]&lt;18.5,"Underweight",
IF(tbl_abs[[#This Row],[Body Mass Index]]&lt;25,"Normal",
IF(tbl_abs[[#This Row],[Body Mass Index]]&lt;30,"Overweight",
"Obese"))),"")</f>
        <v>Normal</v>
      </c>
      <c r="Z517" s="53" t="str">
        <f>IFERROR(
IF(tbl_abs[[#This Row],[Absenteeism time in hours]]&lt;=2,"0–2",
IF(tbl_abs[[#This Row],[Absenteeism time in hours]]&lt;=8,"3–8",
IF(tbl_abs[[#This Row],[Absenteeism time in hours]]&lt;=16,"9–16",
"17+"))),"")</f>
        <v>0–2</v>
      </c>
    </row>
    <row r="518" spans="1:26" ht="15" customHeight="1" x14ac:dyDescent="0.3">
      <c r="A518">
        <v>28</v>
      </c>
      <c r="B518">
        <v>23</v>
      </c>
      <c r="C518" s="1">
        <v>9</v>
      </c>
      <c r="D518">
        <v>3</v>
      </c>
      <c r="E518">
        <v>4</v>
      </c>
      <c r="F518">
        <v>225</v>
      </c>
      <c r="G518" s="1">
        <v>26</v>
      </c>
      <c r="H518">
        <v>9</v>
      </c>
      <c r="I518" s="1">
        <v>28</v>
      </c>
      <c r="J518" s="2">
        <v>241476</v>
      </c>
      <c r="K518">
        <v>92</v>
      </c>
      <c r="L518">
        <v>0</v>
      </c>
      <c r="M518">
        <v>1</v>
      </c>
      <c r="N518">
        <v>1</v>
      </c>
      <c r="O518">
        <v>0</v>
      </c>
      <c r="P518">
        <v>0</v>
      </c>
      <c r="Q518">
        <v>2</v>
      </c>
      <c r="R518">
        <v>69</v>
      </c>
      <c r="S518">
        <v>169</v>
      </c>
      <c r="U518">
        <v>2</v>
      </c>
      <c r="V518" s="53" t="str">
        <f>IFERROR(
IF(tbl_abs[[#This Row],[Month of absence]]=0,"Unknown",
CHOOSE(tbl_abs[[#This Row],[Month of absence]],
"Jan","Feb","Mar","Apr","May","Jun","Jul","Aug","Sep","Oct","Nov","Dec")),"")</f>
        <v>Sep</v>
      </c>
      <c r="W518" s="53" t="str">
        <f>IFERROR(
IF(tbl_abs[[#This Row],[Age]]&lt;30,"&lt;30",
IF(tbl_abs[[#This Row],[Age]]&lt;40,"30–39",
IF(tbl_abs[[#This Row],[Age]]&lt;50,"40–49",
IF(tbl_abs[[#This Row],[Age]]&lt;60,"50–59",
"60+")))),"")</f>
        <v>&lt;30</v>
      </c>
      <c r="X518" s="53" t="str">
        <f>IFERROR(
IF(tbl_abs[[#This Row],[Distance from Residence to Work]]&lt;=5,"0–5",
IF(tbl_abs[[#This Row],[Distance from Residence to Work]]&lt;=10,"6–10",
IF(tbl_abs[[#This Row],[Distance from Residence to Work]]&lt;=20,"11–20",
"21+"))),"")</f>
        <v>21+</v>
      </c>
      <c r="Y518" s="53" t="str">
        <f>IFERROR(
IF(tbl_abs[[#This Row],[Body Mass Index]]&lt;18.5,"Underweight",
IF(tbl_abs[[#This Row],[Body Mass Index]]&lt;25,"Normal",
IF(tbl_abs[[#This Row],[Body Mass Index]]&lt;30,"Overweight",
"Obese"))),"")</f>
        <v>Underweight</v>
      </c>
      <c r="Z518" s="53" t="str">
        <f>IFERROR(
IF(tbl_abs[[#This Row],[Absenteeism time in hours]]&lt;=2,"0–2",
IF(tbl_abs[[#This Row],[Absenteeism time in hours]]&lt;=8,"3–8",
IF(tbl_abs[[#This Row],[Absenteeism time in hours]]&lt;=16,"9–16",
"17+"))),"")</f>
        <v>0–2</v>
      </c>
    </row>
    <row r="519" spans="1:26" ht="15" customHeight="1" x14ac:dyDescent="0.3">
      <c r="A519">
        <v>34</v>
      </c>
      <c r="B519">
        <v>23</v>
      </c>
      <c r="C519" s="1">
        <v>9</v>
      </c>
      <c r="D519">
        <v>3</v>
      </c>
      <c r="E519">
        <v>4</v>
      </c>
      <c r="F519">
        <v>118</v>
      </c>
      <c r="G519" s="1">
        <v>10</v>
      </c>
      <c r="H519">
        <v>10</v>
      </c>
      <c r="I519" s="1">
        <v>37</v>
      </c>
      <c r="J519" s="2">
        <v>241476</v>
      </c>
      <c r="K519">
        <v>92</v>
      </c>
      <c r="L519">
        <v>0</v>
      </c>
      <c r="M519">
        <v>1</v>
      </c>
      <c r="N519">
        <v>0</v>
      </c>
      <c r="O519">
        <v>0</v>
      </c>
      <c r="P519">
        <v>0</v>
      </c>
      <c r="Q519">
        <v>0</v>
      </c>
      <c r="R519">
        <v>83</v>
      </c>
      <c r="S519">
        <v>172</v>
      </c>
      <c r="U519">
        <v>2</v>
      </c>
      <c r="V519" s="53" t="str">
        <f>IFERROR(
IF(tbl_abs[[#This Row],[Month of absence]]=0,"Unknown",
CHOOSE(tbl_abs[[#This Row],[Month of absence]],
"Jan","Feb","Mar","Apr","May","Jun","Jul","Aug","Sep","Oct","Nov","Dec")),"")</f>
        <v>Sep</v>
      </c>
      <c r="W519" s="53" t="str">
        <f>IFERROR(
IF(tbl_abs[[#This Row],[Age]]&lt;30,"&lt;30",
IF(tbl_abs[[#This Row],[Age]]&lt;40,"30–39",
IF(tbl_abs[[#This Row],[Age]]&lt;50,"40–49",
IF(tbl_abs[[#This Row],[Age]]&lt;60,"50–59",
"60+")))),"")</f>
        <v>30–39</v>
      </c>
      <c r="X519" s="53" t="str">
        <f>IFERROR(
IF(tbl_abs[[#This Row],[Distance from Residence to Work]]&lt;=5,"0–5",
IF(tbl_abs[[#This Row],[Distance from Residence to Work]]&lt;=10,"6–10",
IF(tbl_abs[[#This Row],[Distance from Residence to Work]]&lt;=20,"11–20",
"21+"))),"")</f>
        <v>6–10</v>
      </c>
      <c r="Y519" s="53" t="str">
        <f>IFERROR(
IF(tbl_abs[[#This Row],[Body Mass Index]]&lt;18.5,"Underweight",
IF(tbl_abs[[#This Row],[Body Mass Index]]&lt;25,"Normal",
IF(tbl_abs[[#This Row],[Body Mass Index]]&lt;30,"Overweight",
"Obese"))),"")</f>
        <v>Underweight</v>
      </c>
      <c r="Z519" s="53" t="str">
        <f>IFERROR(
IF(tbl_abs[[#This Row],[Absenteeism time in hours]]&lt;=2,"0–2",
IF(tbl_abs[[#This Row],[Absenteeism time in hours]]&lt;=8,"3–8",
IF(tbl_abs[[#This Row],[Absenteeism time in hours]]&lt;=16,"9–16",
"17+"))),"")</f>
        <v>0–2</v>
      </c>
    </row>
    <row r="520" spans="1:26" ht="15" customHeight="1" x14ac:dyDescent="0.3">
      <c r="A520">
        <v>11</v>
      </c>
      <c r="B520">
        <v>0</v>
      </c>
      <c r="C520" s="1">
        <v>9</v>
      </c>
      <c r="D520">
        <v>3</v>
      </c>
      <c r="E520">
        <v>4</v>
      </c>
      <c r="F520">
        <v>289</v>
      </c>
      <c r="G520" s="1">
        <v>36</v>
      </c>
      <c r="H520">
        <v>13</v>
      </c>
      <c r="I520" s="1">
        <v>33</v>
      </c>
      <c r="J520" s="2">
        <v>241476</v>
      </c>
      <c r="K520">
        <v>92</v>
      </c>
      <c r="L520">
        <v>1</v>
      </c>
      <c r="M520">
        <v>1</v>
      </c>
      <c r="N520">
        <v>2</v>
      </c>
      <c r="O520">
        <v>1</v>
      </c>
      <c r="P520">
        <v>0</v>
      </c>
      <c r="Q520">
        <v>1</v>
      </c>
      <c r="R520">
        <v>90</v>
      </c>
      <c r="S520">
        <v>172</v>
      </c>
      <c r="T520">
        <v>30</v>
      </c>
      <c r="U520">
        <v>0</v>
      </c>
      <c r="V520" s="53" t="str">
        <f>IFERROR(
IF(tbl_abs[[#This Row],[Month of absence]]=0,"Unknown",
CHOOSE(tbl_abs[[#This Row],[Month of absence]],
"Jan","Feb","Mar","Apr","May","Jun","Jul","Aug","Sep","Oct","Nov","Dec")),"")</f>
        <v>Sep</v>
      </c>
      <c r="W520" s="53" t="str">
        <f>IFERROR(
IF(tbl_abs[[#This Row],[Age]]&lt;30,"&lt;30",
IF(tbl_abs[[#This Row],[Age]]&lt;40,"30–39",
IF(tbl_abs[[#This Row],[Age]]&lt;50,"40–49",
IF(tbl_abs[[#This Row],[Age]]&lt;60,"50–59",
"60+")))),"")</f>
        <v>30–39</v>
      </c>
      <c r="X520" s="53" t="str">
        <f>IFERROR(
IF(tbl_abs[[#This Row],[Distance from Residence to Work]]&lt;=5,"0–5",
IF(tbl_abs[[#This Row],[Distance from Residence to Work]]&lt;=10,"6–10",
IF(tbl_abs[[#This Row],[Distance from Residence to Work]]&lt;=20,"11–20",
"21+"))),"")</f>
        <v>21+</v>
      </c>
      <c r="Y520" s="53" t="str">
        <f>IFERROR(
IF(tbl_abs[[#This Row],[Body Mass Index]]&lt;18.5,"Underweight",
IF(tbl_abs[[#This Row],[Body Mass Index]]&lt;25,"Normal",
IF(tbl_abs[[#This Row],[Body Mass Index]]&lt;30,"Overweight",
"Obese"))),"")</f>
        <v>Obese</v>
      </c>
      <c r="Z520" s="53" t="str">
        <f>IFERROR(
IF(tbl_abs[[#This Row],[Absenteeism time in hours]]&lt;=2,"0–2",
IF(tbl_abs[[#This Row],[Absenteeism time in hours]]&lt;=8,"3–8",
IF(tbl_abs[[#This Row],[Absenteeism time in hours]]&lt;=16,"9–16",
"17+"))),"")</f>
        <v>0–2</v>
      </c>
    </row>
    <row r="521" spans="1:26" ht="15" customHeight="1" x14ac:dyDescent="0.3">
      <c r="A521">
        <v>36</v>
      </c>
      <c r="B521">
        <v>0</v>
      </c>
      <c r="C521" s="1">
        <v>9</v>
      </c>
      <c r="D521">
        <v>3</v>
      </c>
      <c r="E521">
        <v>4</v>
      </c>
      <c r="F521">
        <v>118</v>
      </c>
      <c r="G521" s="1">
        <v>13</v>
      </c>
      <c r="H521">
        <v>18</v>
      </c>
      <c r="I521" s="1">
        <v>50</v>
      </c>
      <c r="J521" s="2"/>
      <c r="K521">
        <v>92</v>
      </c>
      <c r="L521">
        <v>1</v>
      </c>
      <c r="M521">
        <v>1</v>
      </c>
      <c r="N521">
        <v>1</v>
      </c>
      <c r="O521">
        <v>1</v>
      </c>
      <c r="P521">
        <v>0</v>
      </c>
      <c r="Q521">
        <v>0</v>
      </c>
      <c r="R521">
        <v>98</v>
      </c>
      <c r="S521">
        <v>178</v>
      </c>
      <c r="T521">
        <v>31</v>
      </c>
      <c r="V521" s="53" t="str">
        <f>IFERROR(
IF(tbl_abs[[#This Row],[Month of absence]]=0,"Unknown",
CHOOSE(tbl_abs[[#This Row],[Month of absence]],
"Jan","Feb","Mar","Apr","May","Jun","Jul","Aug","Sep","Oct","Nov","Dec")),"")</f>
        <v>Sep</v>
      </c>
      <c r="W521" s="53" t="str">
        <f>IFERROR(
IF(tbl_abs[[#This Row],[Age]]&lt;30,"&lt;30",
IF(tbl_abs[[#This Row],[Age]]&lt;40,"30–39",
IF(tbl_abs[[#This Row],[Age]]&lt;50,"40–49",
IF(tbl_abs[[#This Row],[Age]]&lt;60,"50–59",
"60+")))),"")</f>
        <v>50–59</v>
      </c>
      <c r="X521" s="53" t="str">
        <f>IFERROR(
IF(tbl_abs[[#This Row],[Distance from Residence to Work]]&lt;=5,"0–5",
IF(tbl_abs[[#This Row],[Distance from Residence to Work]]&lt;=10,"6–10",
IF(tbl_abs[[#This Row],[Distance from Residence to Work]]&lt;=20,"11–20",
"21+"))),"")</f>
        <v>11–20</v>
      </c>
      <c r="Y521" s="53" t="str">
        <f>IFERROR(
IF(tbl_abs[[#This Row],[Body Mass Index]]&lt;18.5,"Underweight",
IF(tbl_abs[[#This Row],[Body Mass Index]]&lt;25,"Normal",
IF(tbl_abs[[#This Row],[Body Mass Index]]&lt;30,"Overweight",
"Obese"))),"")</f>
        <v>Obese</v>
      </c>
      <c r="Z521" s="53" t="str">
        <f>IFERROR(
IF(tbl_abs[[#This Row],[Absenteeism time in hours]]&lt;=2,"0–2",
IF(tbl_abs[[#This Row],[Absenteeism time in hours]]&lt;=8,"3–8",
IF(tbl_abs[[#This Row],[Absenteeism time in hours]]&lt;=16,"9–16",
"17+"))),"")</f>
        <v>0–2</v>
      </c>
    </row>
    <row r="522" spans="1:26" ht="15" customHeight="1" x14ac:dyDescent="0.3">
      <c r="A522">
        <v>28</v>
      </c>
      <c r="B522">
        <v>18</v>
      </c>
      <c r="C522" s="1">
        <v>9</v>
      </c>
      <c r="D522">
        <v>4</v>
      </c>
      <c r="E522">
        <v>4</v>
      </c>
      <c r="F522">
        <v>225</v>
      </c>
      <c r="G522" s="1">
        <v>26</v>
      </c>
      <c r="H522">
        <v>9</v>
      </c>
      <c r="I522" s="1">
        <v>28</v>
      </c>
      <c r="J522" s="2">
        <v>241476</v>
      </c>
      <c r="K522">
        <v>92</v>
      </c>
      <c r="L522">
        <v>0</v>
      </c>
      <c r="M522">
        <v>1</v>
      </c>
      <c r="N522">
        <v>1</v>
      </c>
      <c r="O522">
        <v>0</v>
      </c>
      <c r="P522">
        <v>0</v>
      </c>
      <c r="Q522">
        <v>2</v>
      </c>
      <c r="R522">
        <v>69</v>
      </c>
      <c r="S522">
        <v>169</v>
      </c>
      <c r="U522">
        <v>3</v>
      </c>
      <c r="V522" s="53" t="str">
        <f>IFERROR(
IF(tbl_abs[[#This Row],[Month of absence]]=0,"Unknown",
CHOOSE(tbl_abs[[#This Row],[Month of absence]],
"Jan","Feb","Mar","Apr","May","Jun","Jul","Aug","Sep","Oct","Nov","Dec")),"")</f>
        <v>Sep</v>
      </c>
      <c r="W522" s="53" t="str">
        <f>IFERROR(
IF(tbl_abs[[#This Row],[Age]]&lt;30,"&lt;30",
IF(tbl_abs[[#This Row],[Age]]&lt;40,"30–39",
IF(tbl_abs[[#This Row],[Age]]&lt;50,"40–49",
IF(tbl_abs[[#This Row],[Age]]&lt;60,"50–59",
"60+")))),"")</f>
        <v>&lt;30</v>
      </c>
      <c r="X522" s="53" t="str">
        <f>IFERROR(
IF(tbl_abs[[#This Row],[Distance from Residence to Work]]&lt;=5,"0–5",
IF(tbl_abs[[#This Row],[Distance from Residence to Work]]&lt;=10,"6–10",
IF(tbl_abs[[#This Row],[Distance from Residence to Work]]&lt;=20,"11–20",
"21+"))),"")</f>
        <v>21+</v>
      </c>
      <c r="Y522" s="53" t="str">
        <f>IFERROR(
IF(tbl_abs[[#This Row],[Body Mass Index]]&lt;18.5,"Underweight",
IF(tbl_abs[[#This Row],[Body Mass Index]]&lt;25,"Normal",
IF(tbl_abs[[#This Row],[Body Mass Index]]&lt;30,"Overweight",
"Obese"))),"")</f>
        <v>Underweight</v>
      </c>
      <c r="Z522" s="53" t="str">
        <f>IFERROR(
IF(tbl_abs[[#This Row],[Absenteeism time in hours]]&lt;=2,"0–2",
IF(tbl_abs[[#This Row],[Absenteeism time in hours]]&lt;=8,"3–8",
IF(tbl_abs[[#This Row],[Absenteeism time in hours]]&lt;=16,"9–16",
"17+"))),"")</f>
        <v>3–8</v>
      </c>
    </row>
    <row r="523" spans="1:26" ht="15" customHeight="1" x14ac:dyDescent="0.3">
      <c r="A523">
        <v>3</v>
      </c>
      <c r="B523">
        <v>23</v>
      </c>
      <c r="C523" s="1">
        <v>9</v>
      </c>
      <c r="D523">
        <v>4</v>
      </c>
      <c r="E523">
        <v>4</v>
      </c>
      <c r="F523">
        <v>179</v>
      </c>
      <c r="G523" s="1">
        <v>51</v>
      </c>
      <c r="H523">
        <v>18</v>
      </c>
      <c r="I523" s="1">
        <v>38</v>
      </c>
      <c r="J523" s="2">
        <v>241476</v>
      </c>
      <c r="K523">
        <v>92</v>
      </c>
      <c r="L523">
        <v>0</v>
      </c>
      <c r="M523">
        <v>1</v>
      </c>
      <c r="N523">
        <v>0</v>
      </c>
      <c r="O523">
        <v>1</v>
      </c>
      <c r="P523">
        <v>0</v>
      </c>
      <c r="Q523">
        <v>0</v>
      </c>
      <c r="R523">
        <v>89</v>
      </c>
      <c r="S523">
        <v>170</v>
      </c>
      <c r="U523">
        <v>3</v>
      </c>
      <c r="V523" s="53" t="str">
        <f>IFERROR(
IF(tbl_abs[[#This Row],[Month of absence]]=0,"Unknown",
CHOOSE(tbl_abs[[#This Row],[Month of absence]],
"Jan","Feb","Mar","Apr","May","Jun","Jul","Aug","Sep","Oct","Nov","Dec")),"")</f>
        <v>Sep</v>
      </c>
      <c r="W523" s="53" t="str">
        <f>IFERROR(
IF(tbl_abs[[#This Row],[Age]]&lt;30,"&lt;30",
IF(tbl_abs[[#This Row],[Age]]&lt;40,"30–39",
IF(tbl_abs[[#This Row],[Age]]&lt;50,"40–49",
IF(tbl_abs[[#This Row],[Age]]&lt;60,"50–59",
"60+")))),"")</f>
        <v>30–39</v>
      </c>
      <c r="X523" s="53" t="str">
        <f>IFERROR(
IF(tbl_abs[[#This Row],[Distance from Residence to Work]]&lt;=5,"0–5",
IF(tbl_abs[[#This Row],[Distance from Residence to Work]]&lt;=10,"6–10",
IF(tbl_abs[[#This Row],[Distance from Residence to Work]]&lt;=20,"11–20",
"21+"))),"")</f>
        <v>21+</v>
      </c>
      <c r="Y523" s="53" t="str">
        <f>IFERROR(
IF(tbl_abs[[#This Row],[Body Mass Index]]&lt;18.5,"Underweight",
IF(tbl_abs[[#This Row],[Body Mass Index]]&lt;25,"Normal",
IF(tbl_abs[[#This Row],[Body Mass Index]]&lt;30,"Overweight",
"Obese"))),"")</f>
        <v>Underweight</v>
      </c>
      <c r="Z523" s="53" t="str">
        <f>IFERROR(
IF(tbl_abs[[#This Row],[Absenteeism time in hours]]&lt;=2,"0–2",
IF(tbl_abs[[#This Row],[Absenteeism time in hours]]&lt;=8,"3–8",
IF(tbl_abs[[#This Row],[Absenteeism time in hours]]&lt;=16,"9–16",
"17+"))),"")</f>
        <v>3–8</v>
      </c>
    </row>
    <row r="524" spans="1:26" ht="15" customHeight="1" x14ac:dyDescent="0.3">
      <c r="A524">
        <v>13</v>
      </c>
      <c r="B524">
        <v>0</v>
      </c>
      <c r="C524" s="1">
        <v>9</v>
      </c>
      <c r="D524">
        <v>4</v>
      </c>
      <c r="E524">
        <v>4</v>
      </c>
      <c r="F524">
        <v>369</v>
      </c>
      <c r="G524" s="1">
        <v>17</v>
      </c>
      <c r="H524">
        <v>12</v>
      </c>
      <c r="I524" s="1">
        <v>31</v>
      </c>
      <c r="J524" s="2">
        <v>241476</v>
      </c>
      <c r="K524">
        <v>92</v>
      </c>
      <c r="L524">
        <v>1</v>
      </c>
      <c r="M524">
        <v>1</v>
      </c>
      <c r="N524">
        <v>3</v>
      </c>
      <c r="O524">
        <v>1</v>
      </c>
      <c r="P524">
        <v>0</v>
      </c>
      <c r="Q524">
        <v>0</v>
      </c>
      <c r="R524">
        <v>70</v>
      </c>
      <c r="S524">
        <v>169</v>
      </c>
      <c r="U524">
        <v>0</v>
      </c>
      <c r="V524" s="53" t="str">
        <f>IFERROR(
IF(tbl_abs[[#This Row],[Month of absence]]=0,"Unknown",
CHOOSE(tbl_abs[[#This Row],[Month of absence]],
"Jan","Feb","Mar","Apr","May","Jun","Jul","Aug","Sep","Oct","Nov","Dec")),"")</f>
        <v>Sep</v>
      </c>
      <c r="W524" s="53" t="str">
        <f>IFERROR(
IF(tbl_abs[[#This Row],[Age]]&lt;30,"&lt;30",
IF(tbl_abs[[#This Row],[Age]]&lt;40,"30–39",
IF(tbl_abs[[#This Row],[Age]]&lt;50,"40–49",
IF(tbl_abs[[#This Row],[Age]]&lt;60,"50–59",
"60+")))),"")</f>
        <v>30–39</v>
      </c>
      <c r="X524" s="53" t="str">
        <f>IFERROR(
IF(tbl_abs[[#This Row],[Distance from Residence to Work]]&lt;=5,"0–5",
IF(tbl_abs[[#This Row],[Distance from Residence to Work]]&lt;=10,"6–10",
IF(tbl_abs[[#This Row],[Distance from Residence to Work]]&lt;=20,"11–20",
"21+"))),"")</f>
        <v>11–20</v>
      </c>
      <c r="Y524" s="53" t="str">
        <f>IFERROR(
IF(tbl_abs[[#This Row],[Body Mass Index]]&lt;18.5,"Underweight",
IF(tbl_abs[[#This Row],[Body Mass Index]]&lt;25,"Normal",
IF(tbl_abs[[#This Row],[Body Mass Index]]&lt;30,"Overweight",
"Obese"))),"")</f>
        <v>Underweight</v>
      </c>
      <c r="Z524" s="53" t="str">
        <f>IFERROR(
IF(tbl_abs[[#This Row],[Absenteeism time in hours]]&lt;=2,"0–2",
IF(tbl_abs[[#This Row],[Absenteeism time in hours]]&lt;=8,"3–8",
IF(tbl_abs[[#This Row],[Absenteeism time in hours]]&lt;=16,"9–16",
"17+"))),"")</f>
        <v>0–2</v>
      </c>
    </row>
    <row r="525" spans="1:26" ht="15" customHeight="1" x14ac:dyDescent="0.3">
      <c r="A525">
        <v>33</v>
      </c>
      <c r="B525">
        <v>23</v>
      </c>
      <c r="C525" s="1">
        <v>9</v>
      </c>
      <c r="D525">
        <v>6</v>
      </c>
      <c r="E525">
        <v>4</v>
      </c>
      <c r="F525">
        <v>248</v>
      </c>
      <c r="G525" s="1">
        <v>25</v>
      </c>
      <c r="H525">
        <v>14</v>
      </c>
      <c r="I525" s="1">
        <v>47</v>
      </c>
      <c r="J525" s="2">
        <v>241476</v>
      </c>
      <c r="K525">
        <v>92</v>
      </c>
      <c r="L525">
        <v>0</v>
      </c>
      <c r="M525">
        <v>1</v>
      </c>
      <c r="N525">
        <v>2</v>
      </c>
      <c r="O525">
        <v>0</v>
      </c>
      <c r="P525">
        <v>0</v>
      </c>
      <c r="Q525">
        <v>1</v>
      </c>
      <c r="R525">
        <v>86</v>
      </c>
      <c r="S525">
        <v>165</v>
      </c>
      <c r="T525">
        <v>32</v>
      </c>
      <c r="U525">
        <v>1</v>
      </c>
      <c r="V525" s="53" t="str">
        <f>IFERROR(
IF(tbl_abs[[#This Row],[Month of absence]]=0,"Unknown",
CHOOSE(tbl_abs[[#This Row],[Month of absence]],
"Jan","Feb","Mar","Apr","May","Jun","Jul","Aug","Sep","Oct","Nov","Dec")),"")</f>
        <v>Sep</v>
      </c>
      <c r="W525" s="53" t="str">
        <f>IFERROR(
IF(tbl_abs[[#This Row],[Age]]&lt;30,"&lt;30",
IF(tbl_abs[[#This Row],[Age]]&lt;40,"30–39",
IF(tbl_abs[[#This Row],[Age]]&lt;50,"40–49",
IF(tbl_abs[[#This Row],[Age]]&lt;60,"50–59",
"60+")))),"")</f>
        <v>40–49</v>
      </c>
      <c r="X525" s="53" t="str">
        <f>IFERROR(
IF(tbl_abs[[#This Row],[Distance from Residence to Work]]&lt;=5,"0–5",
IF(tbl_abs[[#This Row],[Distance from Residence to Work]]&lt;=10,"6–10",
IF(tbl_abs[[#This Row],[Distance from Residence to Work]]&lt;=20,"11–20",
"21+"))),"")</f>
        <v>21+</v>
      </c>
      <c r="Y525" s="53" t="str">
        <f>IFERROR(
IF(tbl_abs[[#This Row],[Body Mass Index]]&lt;18.5,"Underweight",
IF(tbl_abs[[#This Row],[Body Mass Index]]&lt;25,"Normal",
IF(tbl_abs[[#This Row],[Body Mass Index]]&lt;30,"Overweight",
"Obese"))),"")</f>
        <v>Obese</v>
      </c>
      <c r="Z525" s="53" t="str">
        <f>IFERROR(
IF(tbl_abs[[#This Row],[Absenteeism time in hours]]&lt;=2,"0–2",
IF(tbl_abs[[#This Row],[Absenteeism time in hours]]&lt;=8,"3–8",
IF(tbl_abs[[#This Row],[Absenteeism time in hours]]&lt;=16,"9–16",
"17+"))),"")</f>
        <v>0–2</v>
      </c>
    </row>
    <row r="526" spans="1:26" ht="15" customHeight="1" x14ac:dyDescent="0.3">
      <c r="A526">
        <v>3</v>
      </c>
      <c r="B526">
        <v>23</v>
      </c>
      <c r="C526" s="1">
        <v>9</v>
      </c>
      <c r="D526">
        <v>6</v>
      </c>
      <c r="E526">
        <v>4</v>
      </c>
      <c r="F526">
        <v>179</v>
      </c>
      <c r="G526" s="1">
        <v>51</v>
      </c>
      <c r="H526">
        <v>18</v>
      </c>
      <c r="I526" s="1">
        <v>38</v>
      </c>
      <c r="J526" s="2">
        <v>241476</v>
      </c>
      <c r="K526">
        <v>92</v>
      </c>
      <c r="L526">
        <v>0</v>
      </c>
      <c r="M526">
        <v>1</v>
      </c>
      <c r="N526">
        <v>0</v>
      </c>
      <c r="O526">
        <v>1</v>
      </c>
      <c r="P526">
        <v>0</v>
      </c>
      <c r="Q526">
        <v>0</v>
      </c>
      <c r="R526">
        <v>89</v>
      </c>
      <c r="S526">
        <v>170</v>
      </c>
      <c r="T526">
        <v>31</v>
      </c>
      <c r="U526">
        <v>3</v>
      </c>
      <c r="V526" s="53" t="str">
        <f>IFERROR(
IF(tbl_abs[[#This Row],[Month of absence]]=0,"Unknown",
CHOOSE(tbl_abs[[#This Row],[Month of absence]],
"Jan","Feb","Mar","Apr","May","Jun","Jul","Aug","Sep","Oct","Nov","Dec")),"")</f>
        <v>Sep</v>
      </c>
      <c r="W526" s="53" t="str">
        <f>IFERROR(
IF(tbl_abs[[#This Row],[Age]]&lt;30,"&lt;30",
IF(tbl_abs[[#This Row],[Age]]&lt;40,"30–39",
IF(tbl_abs[[#This Row],[Age]]&lt;50,"40–49",
IF(tbl_abs[[#This Row],[Age]]&lt;60,"50–59",
"60+")))),"")</f>
        <v>30–39</v>
      </c>
      <c r="X526" s="53" t="str">
        <f>IFERROR(
IF(tbl_abs[[#This Row],[Distance from Residence to Work]]&lt;=5,"0–5",
IF(tbl_abs[[#This Row],[Distance from Residence to Work]]&lt;=10,"6–10",
IF(tbl_abs[[#This Row],[Distance from Residence to Work]]&lt;=20,"11–20",
"21+"))),"")</f>
        <v>21+</v>
      </c>
      <c r="Y526" s="53" t="str">
        <f>IFERROR(
IF(tbl_abs[[#This Row],[Body Mass Index]]&lt;18.5,"Underweight",
IF(tbl_abs[[#This Row],[Body Mass Index]]&lt;25,"Normal",
IF(tbl_abs[[#This Row],[Body Mass Index]]&lt;30,"Overweight",
"Obese"))),"")</f>
        <v>Obese</v>
      </c>
      <c r="Z526" s="53" t="str">
        <f>IFERROR(
IF(tbl_abs[[#This Row],[Absenteeism time in hours]]&lt;=2,"0–2",
IF(tbl_abs[[#This Row],[Absenteeism time in hours]]&lt;=8,"3–8",
IF(tbl_abs[[#This Row],[Absenteeism time in hours]]&lt;=16,"9–16",
"17+"))),"")</f>
        <v>3–8</v>
      </c>
    </row>
    <row r="527" spans="1:26" ht="15" customHeight="1" x14ac:dyDescent="0.3">
      <c r="A527">
        <v>20</v>
      </c>
      <c r="B527">
        <v>23</v>
      </c>
      <c r="C527" s="1">
        <v>9</v>
      </c>
      <c r="D527">
        <v>6</v>
      </c>
      <c r="E527">
        <v>4</v>
      </c>
      <c r="F527">
        <v>260</v>
      </c>
      <c r="G527" s="1">
        <v>50</v>
      </c>
      <c r="H527">
        <v>11</v>
      </c>
      <c r="I527" s="1">
        <v>36</v>
      </c>
      <c r="J527" s="2">
        <v>241476</v>
      </c>
      <c r="K527">
        <v>92</v>
      </c>
      <c r="L527">
        <v>0</v>
      </c>
      <c r="M527">
        <v>1</v>
      </c>
      <c r="N527">
        <v>4</v>
      </c>
      <c r="O527">
        <v>1</v>
      </c>
      <c r="P527">
        <v>0</v>
      </c>
      <c r="Q527">
        <v>0</v>
      </c>
      <c r="R527">
        <v>65</v>
      </c>
      <c r="S527">
        <v>168</v>
      </c>
      <c r="T527">
        <v>23</v>
      </c>
      <c r="U527">
        <v>4</v>
      </c>
      <c r="V527" s="53" t="str">
        <f>IFERROR(
IF(tbl_abs[[#This Row],[Month of absence]]=0,"Unknown",
CHOOSE(tbl_abs[[#This Row],[Month of absence]],
"Jan","Feb","Mar","Apr","May","Jun","Jul","Aug","Sep","Oct","Nov","Dec")),"")</f>
        <v>Sep</v>
      </c>
      <c r="W527" s="53" t="str">
        <f>IFERROR(
IF(tbl_abs[[#This Row],[Age]]&lt;30,"&lt;30",
IF(tbl_abs[[#This Row],[Age]]&lt;40,"30–39",
IF(tbl_abs[[#This Row],[Age]]&lt;50,"40–49",
IF(tbl_abs[[#This Row],[Age]]&lt;60,"50–59",
"60+")))),"")</f>
        <v>30–39</v>
      </c>
      <c r="X527" s="53" t="str">
        <f>IFERROR(
IF(tbl_abs[[#This Row],[Distance from Residence to Work]]&lt;=5,"0–5",
IF(tbl_abs[[#This Row],[Distance from Residence to Work]]&lt;=10,"6–10",
IF(tbl_abs[[#This Row],[Distance from Residence to Work]]&lt;=20,"11–20",
"21+"))),"")</f>
        <v>21+</v>
      </c>
      <c r="Y527" s="53" t="str">
        <f>IFERROR(
IF(tbl_abs[[#This Row],[Body Mass Index]]&lt;18.5,"Underweight",
IF(tbl_abs[[#This Row],[Body Mass Index]]&lt;25,"Normal",
IF(tbl_abs[[#This Row],[Body Mass Index]]&lt;30,"Overweight",
"Obese"))),"")</f>
        <v>Normal</v>
      </c>
      <c r="Z527" s="53" t="str">
        <f>IFERROR(
IF(tbl_abs[[#This Row],[Absenteeism time in hours]]&lt;=2,"0–2",
IF(tbl_abs[[#This Row],[Absenteeism time in hours]]&lt;=8,"3–8",
IF(tbl_abs[[#This Row],[Absenteeism time in hours]]&lt;=16,"9–16",
"17+"))),"")</f>
        <v>3–8</v>
      </c>
    </row>
    <row r="528" spans="1:26" ht="15" customHeight="1" x14ac:dyDescent="0.3">
      <c r="A528">
        <v>3</v>
      </c>
      <c r="B528">
        <v>11</v>
      </c>
      <c r="C528" s="1">
        <v>9</v>
      </c>
      <c r="D528">
        <v>2</v>
      </c>
      <c r="E528">
        <v>1</v>
      </c>
      <c r="F528">
        <v>179</v>
      </c>
      <c r="G528" s="1">
        <v>51</v>
      </c>
      <c r="H528">
        <v>18</v>
      </c>
      <c r="I528" s="1">
        <v>38</v>
      </c>
      <c r="J528" s="2">
        <v>294217</v>
      </c>
      <c r="K528">
        <v>81</v>
      </c>
      <c r="L528">
        <v>0</v>
      </c>
      <c r="M528">
        <v>1</v>
      </c>
      <c r="N528">
        <v>0</v>
      </c>
      <c r="O528">
        <v>1</v>
      </c>
      <c r="P528">
        <v>0</v>
      </c>
      <c r="Q528">
        <v>0</v>
      </c>
      <c r="R528">
        <v>89</v>
      </c>
      <c r="S528">
        <v>170</v>
      </c>
      <c r="T528">
        <v>31</v>
      </c>
      <c r="U528">
        <v>8</v>
      </c>
      <c r="V528" s="53" t="str">
        <f>IFERROR(
IF(tbl_abs[[#This Row],[Month of absence]]=0,"Unknown",
CHOOSE(tbl_abs[[#This Row],[Month of absence]],
"Jan","Feb","Mar","Apr","May","Jun","Jul","Aug","Sep","Oct","Nov","Dec")),"")</f>
        <v>Sep</v>
      </c>
      <c r="W528" s="53" t="str">
        <f>IFERROR(
IF(tbl_abs[[#This Row],[Age]]&lt;30,"&lt;30",
IF(tbl_abs[[#This Row],[Age]]&lt;40,"30–39",
IF(tbl_abs[[#This Row],[Age]]&lt;50,"40–49",
IF(tbl_abs[[#This Row],[Age]]&lt;60,"50–59",
"60+")))),"")</f>
        <v>30–39</v>
      </c>
      <c r="X528" s="53" t="str">
        <f>IFERROR(
IF(tbl_abs[[#This Row],[Distance from Residence to Work]]&lt;=5,"0–5",
IF(tbl_abs[[#This Row],[Distance from Residence to Work]]&lt;=10,"6–10",
IF(tbl_abs[[#This Row],[Distance from Residence to Work]]&lt;=20,"11–20",
"21+"))),"")</f>
        <v>21+</v>
      </c>
      <c r="Y528" s="53" t="str">
        <f>IFERROR(
IF(tbl_abs[[#This Row],[Body Mass Index]]&lt;18.5,"Underweight",
IF(tbl_abs[[#This Row],[Body Mass Index]]&lt;25,"Normal",
IF(tbl_abs[[#This Row],[Body Mass Index]]&lt;30,"Overweight",
"Obese"))),"")</f>
        <v>Obese</v>
      </c>
      <c r="Z528" s="53" t="str">
        <f>IFERROR(
IF(tbl_abs[[#This Row],[Absenteeism time in hours]]&lt;=2,"0–2",
IF(tbl_abs[[#This Row],[Absenteeism time in hours]]&lt;=8,"3–8",
IF(tbl_abs[[#This Row],[Absenteeism time in hours]]&lt;=16,"9–16",
"17+"))),"")</f>
        <v>3–8</v>
      </c>
    </row>
    <row r="529" spans="1:26" ht="15" customHeight="1" x14ac:dyDescent="0.3">
      <c r="A529">
        <v>3</v>
      </c>
      <c r="B529">
        <v>23</v>
      </c>
      <c r="C529" s="1">
        <v>9</v>
      </c>
      <c r="D529">
        <v>6</v>
      </c>
      <c r="E529">
        <v>1</v>
      </c>
      <c r="F529">
        <v>179</v>
      </c>
      <c r="G529" s="1">
        <v>51</v>
      </c>
      <c r="H529">
        <v>18</v>
      </c>
      <c r="I529" s="1">
        <v>38</v>
      </c>
      <c r="J529" s="2">
        <v>294217</v>
      </c>
      <c r="K529">
        <v>81</v>
      </c>
      <c r="L529">
        <v>0</v>
      </c>
      <c r="M529">
        <v>1</v>
      </c>
      <c r="N529">
        <v>0</v>
      </c>
      <c r="O529">
        <v>1</v>
      </c>
      <c r="P529">
        <v>0</v>
      </c>
      <c r="Q529">
        <v>0</v>
      </c>
      <c r="R529">
        <v>89</v>
      </c>
      <c r="S529">
        <v>170</v>
      </c>
      <c r="T529">
        <v>31</v>
      </c>
      <c r="U529">
        <v>3</v>
      </c>
      <c r="V529" s="53" t="str">
        <f>IFERROR(
IF(tbl_abs[[#This Row],[Month of absence]]=0,"Unknown",
CHOOSE(tbl_abs[[#This Row],[Month of absence]],
"Jan","Feb","Mar","Apr","May","Jun","Jul","Aug","Sep","Oct","Nov","Dec")),"")</f>
        <v>Sep</v>
      </c>
      <c r="W529" s="53" t="str">
        <f>IFERROR(
IF(tbl_abs[[#This Row],[Age]]&lt;30,"&lt;30",
IF(tbl_abs[[#This Row],[Age]]&lt;40,"30–39",
IF(tbl_abs[[#This Row],[Age]]&lt;50,"40–49",
IF(tbl_abs[[#This Row],[Age]]&lt;60,"50–59",
"60+")))),"")</f>
        <v>30–39</v>
      </c>
      <c r="X529" s="53" t="str">
        <f>IFERROR(
IF(tbl_abs[[#This Row],[Distance from Residence to Work]]&lt;=5,"0–5",
IF(tbl_abs[[#This Row],[Distance from Residence to Work]]&lt;=10,"6–10",
IF(tbl_abs[[#This Row],[Distance from Residence to Work]]&lt;=20,"11–20",
"21+"))),"")</f>
        <v>21+</v>
      </c>
      <c r="Y529" s="53" t="str">
        <f>IFERROR(
IF(tbl_abs[[#This Row],[Body Mass Index]]&lt;18.5,"Underweight",
IF(tbl_abs[[#This Row],[Body Mass Index]]&lt;25,"Normal",
IF(tbl_abs[[#This Row],[Body Mass Index]]&lt;30,"Overweight",
"Obese"))),"")</f>
        <v>Obese</v>
      </c>
      <c r="Z529" s="53" t="str">
        <f>IFERROR(
IF(tbl_abs[[#This Row],[Absenteeism time in hours]]&lt;=2,"0–2",
IF(tbl_abs[[#This Row],[Absenteeism time in hours]]&lt;=8,"3–8",
IF(tbl_abs[[#This Row],[Absenteeism time in hours]]&lt;=16,"9–16",
"17+"))),"")</f>
        <v>3–8</v>
      </c>
    </row>
    <row r="530" spans="1:26" ht="15" customHeight="1" x14ac:dyDescent="0.3">
      <c r="A530">
        <v>11</v>
      </c>
      <c r="B530">
        <v>19</v>
      </c>
      <c r="C530" s="1">
        <v>9</v>
      </c>
      <c r="D530">
        <v>4</v>
      </c>
      <c r="E530">
        <v>1</v>
      </c>
      <c r="F530">
        <v>289</v>
      </c>
      <c r="G530" s="1">
        <v>36</v>
      </c>
      <c r="H530">
        <v>13</v>
      </c>
      <c r="I530" s="1">
        <v>33</v>
      </c>
      <c r="J530" s="2">
        <v>294217</v>
      </c>
      <c r="K530">
        <v>81</v>
      </c>
      <c r="L530">
        <v>0</v>
      </c>
      <c r="M530">
        <v>1</v>
      </c>
      <c r="N530">
        <v>2</v>
      </c>
      <c r="O530">
        <v>1</v>
      </c>
      <c r="Q530">
        <v>1</v>
      </c>
      <c r="R530">
        <v>90</v>
      </c>
      <c r="U530">
        <v>24</v>
      </c>
      <c r="V530" s="53" t="str">
        <f>IFERROR(
IF(tbl_abs[[#This Row],[Month of absence]]=0,"Unknown",
CHOOSE(tbl_abs[[#This Row],[Month of absence]],
"Jan","Feb","Mar","Apr","May","Jun","Jul","Aug","Sep","Oct","Nov","Dec")),"")</f>
        <v>Sep</v>
      </c>
      <c r="W530" s="53" t="str">
        <f>IFERROR(
IF(tbl_abs[[#This Row],[Age]]&lt;30,"&lt;30",
IF(tbl_abs[[#This Row],[Age]]&lt;40,"30–39",
IF(tbl_abs[[#This Row],[Age]]&lt;50,"40–49",
IF(tbl_abs[[#This Row],[Age]]&lt;60,"50–59",
"60+")))),"")</f>
        <v>30–39</v>
      </c>
      <c r="X530" s="53" t="str">
        <f>IFERROR(
IF(tbl_abs[[#This Row],[Distance from Residence to Work]]&lt;=5,"0–5",
IF(tbl_abs[[#This Row],[Distance from Residence to Work]]&lt;=10,"6–10",
IF(tbl_abs[[#This Row],[Distance from Residence to Work]]&lt;=20,"11–20",
"21+"))),"")</f>
        <v>21+</v>
      </c>
      <c r="Y530" s="53" t="str">
        <f>IFERROR(
IF(tbl_abs[[#This Row],[Body Mass Index]]&lt;18.5,"Underweight",
IF(tbl_abs[[#This Row],[Body Mass Index]]&lt;25,"Normal",
IF(tbl_abs[[#This Row],[Body Mass Index]]&lt;30,"Overweight",
"Obese"))),"")</f>
        <v>Underweight</v>
      </c>
      <c r="Z530" s="53" t="str">
        <f>IFERROR(
IF(tbl_abs[[#This Row],[Absenteeism time in hours]]&lt;=2,"0–2",
IF(tbl_abs[[#This Row],[Absenteeism time in hours]]&lt;=8,"3–8",
IF(tbl_abs[[#This Row],[Absenteeism time in hours]]&lt;=16,"9–16",
"17+"))),"")</f>
        <v>17+</v>
      </c>
    </row>
    <row r="531" spans="1:26" ht="15" customHeight="1" x14ac:dyDescent="0.3">
      <c r="A531">
        <v>5</v>
      </c>
      <c r="B531">
        <v>0</v>
      </c>
      <c r="C531" s="1">
        <v>9</v>
      </c>
      <c r="D531">
        <v>5</v>
      </c>
      <c r="E531">
        <v>1</v>
      </c>
      <c r="F531">
        <v>235</v>
      </c>
      <c r="G531" s="1">
        <v>20</v>
      </c>
      <c r="H531">
        <v>13</v>
      </c>
      <c r="I531" s="1">
        <v>43</v>
      </c>
      <c r="J531" s="2">
        <v>294217</v>
      </c>
      <c r="K531">
        <v>81</v>
      </c>
      <c r="L531">
        <v>1</v>
      </c>
      <c r="M531">
        <v>1</v>
      </c>
      <c r="N531">
        <v>1</v>
      </c>
      <c r="O531">
        <v>1</v>
      </c>
      <c r="P531">
        <v>0</v>
      </c>
      <c r="Q531">
        <v>0</v>
      </c>
      <c r="R531">
        <v>106</v>
      </c>
      <c r="U531">
        <v>0</v>
      </c>
      <c r="V531" s="53" t="str">
        <f>IFERROR(
IF(tbl_abs[[#This Row],[Month of absence]]=0,"Unknown",
CHOOSE(tbl_abs[[#This Row],[Month of absence]],
"Jan","Feb","Mar","Apr","May","Jun","Jul","Aug","Sep","Oct","Nov","Dec")),"")</f>
        <v>Sep</v>
      </c>
      <c r="W531" s="53" t="str">
        <f>IFERROR(
IF(tbl_abs[[#This Row],[Age]]&lt;30,"&lt;30",
IF(tbl_abs[[#This Row],[Age]]&lt;40,"30–39",
IF(tbl_abs[[#This Row],[Age]]&lt;50,"40–49",
IF(tbl_abs[[#This Row],[Age]]&lt;60,"50–59",
"60+")))),"")</f>
        <v>40–49</v>
      </c>
      <c r="X531" s="53" t="str">
        <f>IFERROR(
IF(tbl_abs[[#This Row],[Distance from Residence to Work]]&lt;=5,"0–5",
IF(tbl_abs[[#This Row],[Distance from Residence to Work]]&lt;=10,"6–10",
IF(tbl_abs[[#This Row],[Distance from Residence to Work]]&lt;=20,"11–20",
"21+"))),"")</f>
        <v>11–20</v>
      </c>
      <c r="Y531" s="53" t="str">
        <f>IFERROR(
IF(tbl_abs[[#This Row],[Body Mass Index]]&lt;18.5,"Underweight",
IF(tbl_abs[[#This Row],[Body Mass Index]]&lt;25,"Normal",
IF(tbl_abs[[#This Row],[Body Mass Index]]&lt;30,"Overweight",
"Obese"))),"")</f>
        <v>Underweight</v>
      </c>
      <c r="Z531" s="53" t="str">
        <f>IFERROR(
IF(tbl_abs[[#This Row],[Absenteeism time in hours]]&lt;=2,"0–2",
IF(tbl_abs[[#This Row],[Absenteeism time in hours]]&lt;=8,"3–8",
IF(tbl_abs[[#This Row],[Absenteeism time in hours]]&lt;=16,"9–16",
"17+"))),"")</f>
        <v>0–2</v>
      </c>
    </row>
    <row r="532" spans="1:26" ht="15" customHeight="1" x14ac:dyDescent="0.3">
      <c r="A532">
        <v>24</v>
      </c>
      <c r="B532">
        <v>9</v>
      </c>
      <c r="C532" s="1">
        <v>9</v>
      </c>
      <c r="D532">
        <v>2</v>
      </c>
      <c r="E532">
        <v>1</v>
      </c>
      <c r="F532">
        <v>246</v>
      </c>
      <c r="G532" s="1">
        <v>25</v>
      </c>
      <c r="H532">
        <v>16</v>
      </c>
      <c r="I532" s="1">
        <v>41</v>
      </c>
      <c r="J532" s="2">
        <v>294217</v>
      </c>
      <c r="K532">
        <v>81</v>
      </c>
      <c r="L532">
        <v>0</v>
      </c>
      <c r="N532">
        <v>0</v>
      </c>
      <c r="O532">
        <v>1</v>
      </c>
      <c r="P532">
        <v>0</v>
      </c>
      <c r="Q532">
        <v>0</v>
      </c>
      <c r="R532">
        <v>67</v>
      </c>
      <c r="S532">
        <v>170</v>
      </c>
      <c r="T532">
        <v>23</v>
      </c>
      <c r="U532">
        <v>16</v>
      </c>
      <c r="V532" s="53" t="str">
        <f>IFERROR(
IF(tbl_abs[[#This Row],[Month of absence]]=0,"Unknown",
CHOOSE(tbl_abs[[#This Row],[Month of absence]],
"Jan","Feb","Mar","Apr","May","Jun","Jul","Aug","Sep","Oct","Nov","Dec")),"")</f>
        <v>Sep</v>
      </c>
      <c r="W532" s="53" t="str">
        <f>IFERROR(
IF(tbl_abs[[#This Row],[Age]]&lt;30,"&lt;30",
IF(tbl_abs[[#This Row],[Age]]&lt;40,"30–39",
IF(tbl_abs[[#This Row],[Age]]&lt;50,"40–49",
IF(tbl_abs[[#This Row],[Age]]&lt;60,"50–59",
"60+")))),"")</f>
        <v>40–49</v>
      </c>
      <c r="X532" s="53" t="str">
        <f>IFERROR(
IF(tbl_abs[[#This Row],[Distance from Residence to Work]]&lt;=5,"0–5",
IF(tbl_abs[[#This Row],[Distance from Residence to Work]]&lt;=10,"6–10",
IF(tbl_abs[[#This Row],[Distance from Residence to Work]]&lt;=20,"11–20",
"21+"))),"")</f>
        <v>21+</v>
      </c>
      <c r="Y532" s="53" t="str">
        <f>IFERROR(
IF(tbl_abs[[#This Row],[Body Mass Index]]&lt;18.5,"Underweight",
IF(tbl_abs[[#This Row],[Body Mass Index]]&lt;25,"Normal",
IF(tbl_abs[[#This Row],[Body Mass Index]]&lt;30,"Overweight",
"Obese"))),"")</f>
        <v>Normal</v>
      </c>
      <c r="Z532" s="53" t="str">
        <f>IFERROR(
IF(tbl_abs[[#This Row],[Absenteeism time in hours]]&lt;=2,"0–2",
IF(tbl_abs[[#This Row],[Absenteeism time in hours]]&lt;=8,"3–8",
IF(tbl_abs[[#This Row],[Absenteeism time in hours]]&lt;=16,"9–16",
"17+"))),"")</f>
        <v>9–16</v>
      </c>
    </row>
    <row r="533" spans="1:26" ht="15" customHeight="1" x14ac:dyDescent="0.3">
      <c r="A533">
        <v>15</v>
      </c>
      <c r="B533">
        <v>28</v>
      </c>
      <c r="C533" s="1">
        <v>9</v>
      </c>
      <c r="D533">
        <v>3</v>
      </c>
      <c r="E533">
        <v>1</v>
      </c>
      <c r="F533">
        <v>291</v>
      </c>
      <c r="G533" s="1">
        <v>31</v>
      </c>
      <c r="H533">
        <v>12</v>
      </c>
      <c r="I533" s="1">
        <v>40</v>
      </c>
      <c r="J533" s="2">
        <v>294217</v>
      </c>
      <c r="K533">
        <v>81</v>
      </c>
      <c r="L533">
        <v>0</v>
      </c>
      <c r="M533">
        <v>1</v>
      </c>
      <c r="N533">
        <v>1</v>
      </c>
      <c r="O533">
        <v>1</v>
      </c>
      <c r="Q533">
        <v>1</v>
      </c>
      <c r="R533">
        <v>73</v>
      </c>
      <c r="S533">
        <v>171</v>
      </c>
      <c r="T533">
        <v>25</v>
      </c>
      <c r="U533">
        <v>3</v>
      </c>
      <c r="V533" s="53" t="str">
        <f>IFERROR(
IF(tbl_abs[[#This Row],[Month of absence]]=0,"Unknown",
CHOOSE(tbl_abs[[#This Row],[Month of absence]],
"Jan","Feb","Mar","Apr","May","Jun","Jul","Aug","Sep","Oct","Nov","Dec")),"")</f>
        <v>Sep</v>
      </c>
      <c r="W533" s="53" t="str">
        <f>IFERROR(
IF(tbl_abs[[#This Row],[Age]]&lt;30,"&lt;30",
IF(tbl_abs[[#This Row],[Age]]&lt;40,"30–39",
IF(tbl_abs[[#This Row],[Age]]&lt;50,"40–49",
IF(tbl_abs[[#This Row],[Age]]&lt;60,"50–59",
"60+")))),"")</f>
        <v>40–49</v>
      </c>
      <c r="X533" s="53" t="str">
        <f>IFERROR(
IF(tbl_abs[[#This Row],[Distance from Residence to Work]]&lt;=5,"0–5",
IF(tbl_abs[[#This Row],[Distance from Residence to Work]]&lt;=10,"6–10",
IF(tbl_abs[[#This Row],[Distance from Residence to Work]]&lt;=20,"11–20",
"21+"))),"")</f>
        <v>21+</v>
      </c>
      <c r="Y533" s="53" t="str">
        <f>IFERROR(
IF(tbl_abs[[#This Row],[Body Mass Index]]&lt;18.5,"Underweight",
IF(tbl_abs[[#This Row],[Body Mass Index]]&lt;25,"Normal",
IF(tbl_abs[[#This Row],[Body Mass Index]]&lt;30,"Overweight",
"Obese"))),"")</f>
        <v>Overweight</v>
      </c>
      <c r="Z533" s="53" t="str">
        <f>IFERROR(
IF(tbl_abs[[#This Row],[Absenteeism time in hours]]&lt;=2,"0–2",
IF(tbl_abs[[#This Row],[Absenteeism time in hours]]&lt;=8,"3–8",
IF(tbl_abs[[#This Row],[Absenteeism time in hours]]&lt;=16,"9–16",
"17+"))),"")</f>
        <v>3–8</v>
      </c>
    </row>
    <row r="534" spans="1:26" ht="15" customHeight="1" x14ac:dyDescent="0.3">
      <c r="A534">
        <v>8</v>
      </c>
      <c r="B534">
        <v>0</v>
      </c>
      <c r="C534" s="1">
        <v>9</v>
      </c>
      <c r="D534">
        <v>3</v>
      </c>
      <c r="E534">
        <v>1</v>
      </c>
      <c r="F534">
        <v>231</v>
      </c>
      <c r="G534" s="1">
        <v>35</v>
      </c>
      <c r="H534">
        <v>14</v>
      </c>
      <c r="I534" s="1">
        <v>39</v>
      </c>
      <c r="J534" s="2">
        <v>294217</v>
      </c>
      <c r="K534">
        <v>81</v>
      </c>
      <c r="L534">
        <v>1</v>
      </c>
      <c r="M534">
        <v>1</v>
      </c>
      <c r="N534">
        <v>2</v>
      </c>
      <c r="O534">
        <v>1</v>
      </c>
      <c r="P534">
        <v>0</v>
      </c>
      <c r="Q534">
        <v>2</v>
      </c>
      <c r="R534">
        <v>100</v>
      </c>
      <c r="S534">
        <v>170</v>
      </c>
      <c r="T534">
        <v>35</v>
      </c>
      <c r="U534">
        <v>0</v>
      </c>
      <c r="V534" s="53" t="str">
        <f>IFERROR(
IF(tbl_abs[[#This Row],[Month of absence]]=0,"Unknown",
CHOOSE(tbl_abs[[#This Row],[Month of absence]],
"Jan","Feb","Mar","Apr","May","Jun","Jul","Aug","Sep","Oct","Nov","Dec")),"")</f>
        <v>Sep</v>
      </c>
      <c r="W534" s="53" t="str">
        <f>IFERROR(
IF(tbl_abs[[#This Row],[Age]]&lt;30,"&lt;30",
IF(tbl_abs[[#This Row],[Age]]&lt;40,"30–39",
IF(tbl_abs[[#This Row],[Age]]&lt;50,"40–49",
IF(tbl_abs[[#This Row],[Age]]&lt;60,"50–59",
"60+")))),"")</f>
        <v>30–39</v>
      </c>
      <c r="X534" s="53" t="str">
        <f>IFERROR(
IF(tbl_abs[[#This Row],[Distance from Residence to Work]]&lt;=5,"0–5",
IF(tbl_abs[[#This Row],[Distance from Residence to Work]]&lt;=10,"6–10",
IF(tbl_abs[[#This Row],[Distance from Residence to Work]]&lt;=20,"11–20",
"21+"))),"")</f>
        <v>21+</v>
      </c>
      <c r="Y534" s="53" t="str">
        <f>IFERROR(
IF(tbl_abs[[#This Row],[Body Mass Index]]&lt;18.5,"Underweight",
IF(tbl_abs[[#This Row],[Body Mass Index]]&lt;25,"Normal",
IF(tbl_abs[[#This Row],[Body Mass Index]]&lt;30,"Overweight",
"Obese"))),"")</f>
        <v>Obese</v>
      </c>
      <c r="Z534" s="53" t="str">
        <f>IFERROR(
IF(tbl_abs[[#This Row],[Absenteeism time in hours]]&lt;=2,"0–2",
IF(tbl_abs[[#This Row],[Absenteeism time in hours]]&lt;=8,"3–8",
IF(tbl_abs[[#This Row],[Absenteeism time in hours]]&lt;=16,"9–16",
"17+"))),"")</f>
        <v>0–2</v>
      </c>
    </row>
    <row r="535" spans="1:26" ht="15" customHeight="1" x14ac:dyDescent="0.3">
      <c r="A535">
        <v>19</v>
      </c>
      <c r="B535">
        <v>0</v>
      </c>
      <c r="C535" s="1">
        <v>9</v>
      </c>
      <c r="D535">
        <v>3</v>
      </c>
      <c r="E535">
        <v>1</v>
      </c>
      <c r="F535">
        <v>291</v>
      </c>
      <c r="G535" s="1">
        <v>50</v>
      </c>
      <c r="H535">
        <v>12</v>
      </c>
      <c r="I535" s="1">
        <v>32</v>
      </c>
      <c r="J535" s="2">
        <v>294217</v>
      </c>
      <c r="K535">
        <v>81</v>
      </c>
      <c r="L535">
        <v>1</v>
      </c>
      <c r="M535">
        <v>1</v>
      </c>
      <c r="N535">
        <v>0</v>
      </c>
      <c r="O535">
        <v>1</v>
      </c>
      <c r="P535">
        <v>0</v>
      </c>
      <c r="Q535">
        <v>0</v>
      </c>
      <c r="R535">
        <v>65</v>
      </c>
      <c r="S535">
        <v>169</v>
      </c>
      <c r="T535">
        <v>23</v>
      </c>
      <c r="U535">
        <v>0</v>
      </c>
      <c r="V535" s="53" t="str">
        <f>IFERROR(
IF(tbl_abs[[#This Row],[Month of absence]]=0,"Unknown",
CHOOSE(tbl_abs[[#This Row],[Month of absence]],
"Jan","Feb","Mar","Apr","May","Jun","Jul","Aug","Sep","Oct","Nov","Dec")),"")</f>
        <v>Sep</v>
      </c>
      <c r="W535" s="53" t="str">
        <f>IFERROR(
IF(tbl_abs[[#This Row],[Age]]&lt;30,"&lt;30",
IF(tbl_abs[[#This Row],[Age]]&lt;40,"30–39",
IF(tbl_abs[[#This Row],[Age]]&lt;50,"40–49",
IF(tbl_abs[[#This Row],[Age]]&lt;60,"50–59",
"60+")))),"")</f>
        <v>30–39</v>
      </c>
      <c r="X535" s="53" t="str">
        <f>IFERROR(
IF(tbl_abs[[#This Row],[Distance from Residence to Work]]&lt;=5,"0–5",
IF(tbl_abs[[#This Row],[Distance from Residence to Work]]&lt;=10,"6–10",
IF(tbl_abs[[#This Row],[Distance from Residence to Work]]&lt;=20,"11–20",
"21+"))),"")</f>
        <v>21+</v>
      </c>
      <c r="Y535" s="53" t="str">
        <f>IFERROR(
IF(tbl_abs[[#This Row],[Body Mass Index]]&lt;18.5,"Underweight",
IF(tbl_abs[[#This Row],[Body Mass Index]]&lt;25,"Normal",
IF(tbl_abs[[#This Row],[Body Mass Index]]&lt;30,"Overweight",
"Obese"))),"")</f>
        <v>Normal</v>
      </c>
      <c r="Z535" s="53" t="str">
        <f>IFERROR(
IF(tbl_abs[[#This Row],[Absenteeism time in hours]]&lt;=2,"0–2",
IF(tbl_abs[[#This Row],[Absenteeism time in hours]]&lt;=8,"3–8",
IF(tbl_abs[[#This Row],[Absenteeism time in hours]]&lt;=16,"9–16",
"17+"))),"")</f>
        <v>0–2</v>
      </c>
    </row>
    <row r="536" spans="1:26" ht="15" customHeight="1" x14ac:dyDescent="0.3">
      <c r="A536">
        <v>3</v>
      </c>
      <c r="B536">
        <v>13</v>
      </c>
      <c r="C536" s="1">
        <v>9</v>
      </c>
      <c r="D536">
        <v>4</v>
      </c>
      <c r="E536">
        <v>1</v>
      </c>
      <c r="F536">
        <v>179</v>
      </c>
      <c r="G536" s="1">
        <v>51</v>
      </c>
      <c r="H536">
        <v>18</v>
      </c>
      <c r="I536" s="1">
        <v>38</v>
      </c>
      <c r="J536" s="2">
        <v>294217</v>
      </c>
      <c r="K536">
        <v>81</v>
      </c>
      <c r="L536">
        <v>0</v>
      </c>
      <c r="M536">
        <v>1</v>
      </c>
      <c r="N536">
        <v>0</v>
      </c>
      <c r="O536">
        <v>1</v>
      </c>
      <c r="P536">
        <v>0</v>
      </c>
      <c r="Q536">
        <v>0</v>
      </c>
      <c r="R536">
        <v>89</v>
      </c>
      <c r="S536">
        <v>170</v>
      </c>
      <c r="T536">
        <v>31</v>
      </c>
      <c r="U536">
        <v>8</v>
      </c>
      <c r="V536" s="53" t="str">
        <f>IFERROR(
IF(tbl_abs[[#This Row],[Month of absence]]=0,"Unknown",
CHOOSE(tbl_abs[[#This Row],[Month of absence]],
"Jan","Feb","Mar","Apr","May","Jun","Jul","Aug","Sep","Oct","Nov","Dec")),"")</f>
        <v>Sep</v>
      </c>
      <c r="W536" s="53" t="str">
        <f>IFERROR(
IF(tbl_abs[[#This Row],[Age]]&lt;30,"&lt;30",
IF(tbl_abs[[#This Row],[Age]]&lt;40,"30–39",
IF(tbl_abs[[#This Row],[Age]]&lt;50,"40–49",
IF(tbl_abs[[#This Row],[Age]]&lt;60,"50–59",
"60+")))),"")</f>
        <v>30–39</v>
      </c>
      <c r="X536" s="53" t="str">
        <f>IFERROR(
IF(tbl_abs[[#This Row],[Distance from Residence to Work]]&lt;=5,"0–5",
IF(tbl_abs[[#This Row],[Distance from Residence to Work]]&lt;=10,"6–10",
IF(tbl_abs[[#This Row],[Distance from Residence to Work]]&lt;=20,"11–20",
"21+"))),"")</f>
        <v>21+</v>
      </c>
      <c r="Y536" s="53" t="str">
        <f>IFERROR(
IF(tbl_abs[[#This Row],[Body Mass Index]]&lt;18.5,"Underweight",
IF(tbl_abs[[#This Row],[Body Mass Index]]&lt;25,"Normal",
IF(tbl_abs[[#This Row],[Body Mass Index]]&lt;30,"Overweight",
"Obese"))),"")</f>
        <v>Obese</v>
      </c>
      <c r="Z536" s="53" t="str">
        <f>IFERROR(
IF(tbl_abs[[#This Row],[Absenteeism time in hours]]&lt;=2,"0–2",
IF(tbl_abs[[#This Row],[Absenteeism time in hours]]&lt;=8,"3–8",
IF(tbl_abs[[#This Row],[Absenteeism time in hours]]&lt;=16,"9–16",
"17+"))),"")</f>
        <v>3–8</v>
      </c>
    </row>
    <row r="537" spans="1:26" ht="15" customHeight="1" x14ac:dyDescent="0.3">
      <c r="A537">
        <v>24</v>
      </c>
      <c r="B537">
        <v>9</v>
      </c>
      <c r="C537" s="1">
        <v>9</v>
      </c>
      <c r="D537">
        <v>4</v>
      </c>
      <c r="E537">
        <v>1</v>
      </c>
      <c r="F537">
        <v>246</v>
      </c>
      <c r="G537" s="1">
        <v>25</v>
      </c>
      <c r="H537">
        <v>16</v>
      </c>
      <c r="I537" s="1">
        <v>41</v>
      </c>
      <c r="J537" s="2">
        <v>294217</v>
      </c>
      <c r="K537">
        <v>81</v>
      </c>
      <c r="L537">
        <v>0</v>
      </c>
      <c r="M537">
        <v>1</v>
      </c>
      <c r="N537">
        <v>0</v>
      </c>
      <c r="O537">
        <v>1</v>
      </c>
      <c r="P537">
        <v>0</v>
      </c>
      <c r="Q537">
        <v>0</v>
      </c>
      <c r="R537">
        <v>67</v>
      </c>
      <c r="S537">
        <v>170</v>
      </c>
      <c r="T537">
        <v>23</v>
      </c>
      <c r="U537">
        <v>32</v>
      </c>
      <c r="V537" s="53" t="str">
        <f>IFERROR(
IF(tbl_abs[[#This Row],[Month of absence]]=0,"Unknown",
CHOOSE(tbl_abs[[#This Row],[Month of absence]],
"Jan","Feb","Mar","Apr","May","Jun","Jul","Aug","Sep","Oct","Nov","Dec")),"")</f>
        <v>Sep</v>
      </c>
      <c r="W537" s="53" t="str">
        <f>IFERROR(
IF(tbl_abs[[#This Row],[Age]]&lt;30,"&lt;30",
IF(tbl_abs[[#This Row],[Age]]&lt;40,"30–39",
IF(tbl_abs[[#This Row],[Age]]&lt;50,"40–49",
IF(tbl_abs[[#This Row],[Age]]&lt;60,"50–59",
"60+")))),"")</f>
        <v>40–49</v>
      </c>
      <c r="X537" s="53" t="str">
        <f>IFERROR(
IF(tbl_abs[[#This Row],[Distance from Residence to Work]]&lt;=5,"0–5",
IF(tbl_abs[[#This Row],[Distance from Residence to Work]]&lt;=10,"6–10",
IF(tbl_abs[[#This Row],[Distance from Residence to Work]]&lt;=20,"11–20",
"21+"))),"")</f>
        <v>21+</v>
      </c>
      <c r="Y537" s="53" t="str">
        <f>IFERROR(
IF(tbl_abs[[#This Row],[Body Mass Index]]&lt;18.5,"Underweight",
IF(tbl_abs[[#This Row],[Body Mass Index]]&lt;25,"Normal",
IF(tbl_abs[[#This Row],[Body Mass Index]]&lt;30,"Overweight",
"Obese"))),"")</f>
        <v>Normal</v>
      </c>
      <c r="Z537" s="53" t="str">
        <f>IFERROR(
IF(tbl_abs[[#This Row],[Absenteeism time in hours]]&lt;=2,"0–2",
IF(tbl_abs[[#This Row],[Absenteeism time in hours]]&lt;=8,"3–8",
IF(tbl_abs[[#This Row],[Absenteeism time in hours]]&lt;=16,"9–16",
"17+"))),"")</f>
        <v>17+</v>
      </c>
    </row>
    <row r="538" spans="1:26" ht="15" customHeight="1" x14ac:dyDescent="0.3">
      <c r="A538">
        <v>3</v>
      </c>
      <c r="B538">
        <v>23</v>
      </c>
      <c r="C538" s="1">
        <v>9</v>
      </c>
      <c r="D538">
        <v>5</v>
      </c>
      <c r="E538">
        <v>1</v>
      </c>
      <c r="F538">
        <v>179</v>
      </c>
      <c r="G538" s="1">
        <v>51</v>
      </c>
      <c r="H538">
        <v>18</v>
      </c>
      <c r="I538" s="1">
        <v>38</v>
      </c>
      <c r="J538" s="2">
        <v>294217</v>
      </c>
      <c r="K538">
        <v>81</v>
      </c>
      <c r="L538">
        <v>0</v>
      </c>
      <c r="M538">
        <v>1</v>
      </c>
      <c r="N538">
        <v>0</v>
      </c>
      <c r="O538">
        <v>1</v>
      </c>
      <c r="P538">
        <v>0</v>
      </c>
      <c r="Q538">
        <v>0</v>
      </c>
      <c r="R538">
        <v>89</v>
      </c>
      <c r="S538">
        <v>170</v>
      </c>
      <c r="T538">
        <v>31</v>
      </c>
      <c r="U538">
        <v>1</v>
      </c>
      <c r="V538" s="53" t="str">
        <f>IFERROR(
IF(tbl_abs[[#This Row],[Month of absence]]=0,"Unknown",
CHOOSE(tbl_abs[[#This Row],[Month of absence]],
"Jan","Feb","Mar","Apr","May","Jun","Jul","Aug","Sep","Oct","Nov","Dec")),"")</f>
        <v>Sep</v>
      </c>
      <c r="W538" s="53" t="str">
        <f>IFERROR(
IF(tbl_abs[[#This Row],[Age]]&lt;30,"&lt;30",
IF(tbl_abs[[#This Row],[Age]]&lt;40,"30–39",
IF(tbl_abs[[#This Row],[Age]]&lt;50,"40–49",
IF(tbl_abs[[#This Row],[Age]]&lt;60,"50–59",
"60+")))),"")</f>
        <v>30–39</v>
      </c>
      <c r="X538" s="53" t="str">
        <f>IFERROR(
IF(tbl_abs[[#This Row],[Distance from Residence to Work]]&lt;=5,"0–5",
IF(tbl_abs[[#This Row],[Distance from Residence to Work]]&lt;=10,"6–10",
IF(tbl_abs[[#This Row],[Distance from Residence to Work]]&lt;=20,"11–20",
"21+"))),"")</f>
        <v>21+</v>
      </c>
      <c r="Y538" s="53" t="str">
        <f>IFERROR(
IF(tbl_abs[[#This Row],[Body Mass Index]]&lt;18.5,"Underweight",
IF(tbl_abs[[#This Row],[Body Mass Index]]&lt;25,"Normal",
IF(tbl_abs[[#This Row],[Body Mass Index]]&lt;30,"Overweight",
"Obese"))),"")</f>
        <v>Obese</v>
      </c>
      <c r="Z538" s="53" t="str">
        <f>IFERROR(
IF(tbl_abs[[#This Row],[Absenteeism time in hours]]&lt;=2,"0–2",
IF(tbl_abs[[#This Row],[Absenteeism time in hours]]&lt;=8,"3–8",
IF(tbl_abs[[#This Row],[Absenteeism time in hours]]&lt;=16,"9–16",
"17+"))),"")</f>
        <v>0–2</v>
      </c>
    </row>
    <row r="539" spans="1:26" ht="15" customHeight="1" x14ac:dyDescent="0.3">
      <c r="A539">
        <v>15</v>
      </c>
      <c r="B539">
        <v>28</v>
      </c>
      <c r="C539" s="1">
        <v>9</v>
      </c>
      <c r="D539">
        <v>6</v>
      </c>
      <c r="E539">
        <v>1</v>
      </c>
      <c r="F539">
        <v>291</v>
      </c>
      <c r="G539" s="1">
        <v>31</v>
      </c>
      <c r="H539">
        <v>12</v>
      </c>
      <c r="I539" s="1">
        <v>40</v>
      </c>
      <c r="J539" s="2">
        <v>294217</v>
      </c>
      <c r="K539">
        <v>81</v>
      </c>
      <c r="L539">
        <v>0</v>
      </c>
      <c r="M539">
        <v>1</v>
      </c>
      <c r="N539">
        <v>1</v>
      </c>
      <c r="O539">
        <v>1</v>
      </c>
      <c r="P539">
        <v>0</v>
      </c>
      <c r="Q539">
        <v>1</v>
      </c>
      <c r="R539">
        <v>73</v>
      </c>
      <c r="S539">
        <v>171</v>
      </c>
      <c r="T539">
        <v>25</v>
      </c>
      <c r="U539">
        <v>4</v>
      </c>
      <c r="V539" s="53" t="str">
        <f>IFERROR(
IF(tbl_abs[[#This Row],[Month of absence]]=0,"Unknown",
CHOOSE(tbl_abs[[#This Row],[Month of absence]],
"Jan","Feb","Mar","Apr","May","Jun","Jul","Aug","Sep","Oct","Nov","Dec")),"")</f>
        <v>Sep</v>
      </c>
      <c r="W539" s="53" t="str">
        <f>IFERROR(
IF(tbl_abs[[#This Row],[Age]]&lt;30,"&lt;30",
IF(tbl_abs[[#This Row],[Age]]&lt;40,"30–39",
IF(tbl_abs[[#This Row],[Age]]&lt;50,"40–49",
IF(tbl_abs[[#This Row],[Age]]&lt;60,"50–59",
"60+")))),"")</f>
        <v>40–49</v>
      </c>
      <c r="X539" s="53" t="str">
        <f>IFERROR(
IF(tbl_abs[[#This Row],[Distance from Residence to Work]]&lt;=5,"0–5",
IF(tbl_abs[[#This Row],[Distance from Residence to Work]]&lt;=10,"6–10",
IF(tbl_abs[[#This Row],[Distance from Residence to Work]]&lt;=20,"11–20",
"21+"))),"")</f>
        <v>21+</v>
      </c>
      <c r="Y539" s="53" t="str">
        <f>IFERROR(
IF(tbl_abs[[#This Row],[Body Mass Index]]&lt;18.5,"Underweight",
IF(tbl_abs[[#This Row],[Body Mass Index]]&lt;25,"Normal",
IF(tbl_abs[[#This Row],[Body Mass Index]]&lt;30,"Overweight",
"Obese"))),"")</f>
        <v>Overweight</v>
      </c>
      <c r="Z539" s="53" t="str">
        <f>IFERROR(
IF(tbl_abs[[#This Row],[Absenteeism time in hours]]&lt;=2,"0–2",
IF(tbl_abs[[#This Row],[Absenteeism time in hours]]&lt;=8,"3–8",
IF(tbl_abs[[#This Row],[Absenteeism time in hours]]&lt;=16,"9–16",
"17+"))),"")</f>
        <v>3–8</v>
      </c>
    </row>
    <row r="540" spans="1:26" ht="15" customHeight="1" x14ac:dyDescent="0.3">
      <c r="A540">
        <v>20</v>
      </c>
      <c r="B540">
        <v>28</v>
      </c>
      <c r="C540" s="1">
        <v>9</v>
      </c>
      <c r="D540">
        <v>6</v>
      </c>
      <c r="E540">
        <v>1</v>
      </c>
      <c r="F540">
        <v>260</v>
      </c>
      <c r="G540" s="1">
        <v>50</v>
      </c>
      <c r="H540">
        <v>11</v>
      </c>
      <c r="I540" s="1">
        <v>36</v>
      </c>
      <c r="J540" s="2">
        <v>294217</v>
      </c>
      <c r="K540">
        <v>81</v>
      </c>
      <c r="L540">
        <v>0</v>
      </c>
      <c r="M540">
        <v>1</v>
      </c>
      <c r="N540">
        <v>4</v>
      </c>
      <c r="O540">
        <v>1</v>
      </c>
      <c r="P540">
        <v>0</v>
      </c>
      <c r="Q540">
        <v>0</v>
      </c>
      <c r="R540">
        <v>65</v>
      </c>
      <c r="S540">
        <v>168</v>
      </c>
      <c r="T540">
        <v>23</v>
      </c>
      <c r="U540">
        <v>4</v>
      </c>
      <c r="V540" s="53" t="str">
        <f>IFERROR(
IF(tbl_abs[[#This Row],[Month of absence]]=0,"Unknown",
CHOOSE(tbl_abs[[#This Row],[Month of absence]],
"Jan","Feb","Mar","Apr","May","Jun","Jul","Aug","Sep","Oct","Nov","Dec")),"")</f>
        <v>Sep</v>
      </c>
      <c r="W540" s="53" t="str">
        <f>IFERROR(
IF(tbl_abs[[#This Row],[Age]]&lt;30,"&lt;30",
IF(tbl_abs[[#This Row],[Age]]&lt;40,"30–39",
IF(tbl_abs[[#This Row],[Age]]&lt;50,"40–49",
IF(tbl_abs[[#This Row],[Age]]&lt;60,"50–59",
"60+")))),"")</f>
        <v>30–39</v>
      </c>
      <c r="X540" s="53" t="str">
        <f>IFERROR(
IF(tbl_abs[[#This Row],[Distance from Residence to Work]]&lt;=5,"0–5",
IF(tbl_abs[[#This Row],[Distance from Residence to Work]]&lt;=10,"6–10",
IF(tbl_abs[[#This Row],[Distance from Residence to Work]]&lt;=20,"11–20",
"21+"))),"")</f>
        <v>21+</v>
      </c>
      <c r="Y540" s="53" t="str">
        <f>IFERROR(
IF(tbl_abs[[#This Row],[Body Mass Index]]&lt;18.5,"Underweight",
IF(tbl_abs[[#This Row],[Body Mass Index]]&lt;25,"Normal",
IF(tbl_abs[[#This Row],[Body Mass Index]]&lt;30,"Overweight",
"Obese"))),"")</f>
        <v>Normal</v>
      </c>
      <c r="Z540" s="53" t="str">
        <f>IFERROR(
IF(tbl_abs[[#This Row],[Absenteeism time in hours]]&lt;=2,"0–2",
IF(tbl_abs[[#This Row],[Absenteeism time in hours]]&lt;=8,"3–8",
IF(tbl_abs[[#This Row],[Absenteeism time in hours]]&lt;=16,"9–16",
"17+"))),"")</f>
        <v>3–8</v>
      </c>
    </row>
    <row r="541" spans="1:26" ht="15" customHeight="1" x14ac:dyDescent="0.3">
      <c r="A541">
        <v>5</v>
      </c>
      <c r="B541">
        <v>26</v>
      </c>
      <c r="C541" s="1">
        <v>9</v>
      </c>
      <c r="D541">
        <v>4</v>
      </c>
      <c r="E541">
        <v>4</v>
      </c>
      <c r="F541">
        <v>235</v>
      </c>
      <c r="G541" s="1">
        <v>20</v>
      </c>
      <c r="H541">
        <v>13</v>
      </c>
      <c r="I541" s="1">
        <v>43</v>
      </c>
      <c r="J541" s="2">
        <v>294217</v>
      </c>
      <c r="K541">
        <v>81</v>
      </c>
      <c r="L541">
        <v>0</v>
      </c>
      <c r="M541">
        <v>1</v>
      </c>
      <c r="N541">
        <v>1</v>
      </c>
      <c r="O541">
        <v>1</v>
      </c>
      <c r="P541">
        <v>0</v>
      </c>
      <c r="Q541">
        <v>0</v>
      </c>
      <c r="R541">
        <v>106</v>
      </c>
      <c r="S541">
        <v>167</v>
      </c>
      <c r="T541">
        <v>38</v>
      </c>
      <c r="U541">
        <v>8</v>
      </c>
      <c r="V541" s="53" t="str">
        <f>IFERROR(
IF(tbl_abs[[#This Row],[Month of absence]]=0,"Unknown",
CHOOSE(tbl_abs[[#This Row],[Month of absence]],
"Jan","Feb","Mar","Apr","May","Jun","Jul","Aug","Sep","Oct","Nov","Dec")),"")</f>
        <v>Sep</v>
      </c>
      <c r="W541" s="53" t="str">
        <f>IFERROR(
IF(tbl_abs[[#This Row],[Age]]&lt;30,"&lt;30",
IF(tbl_abs[[#This Row],[Age]]&lt;40,"30–39",
IF(tbl_abs[[#This Row],[Age]]&lt;50,"40–49",
IF(tbl_abs[[#This Row],[Age]]&lt;60,"50–59",
"60+")))),"")</f>
        <v>40–49</v>
      </c>
      <c r="X541" s="53" t="str">
        <f>IFERROR(
IF(tbl_abs[[#This Row],[Distance from Residence to Work]]&lt;=5,"0–5",
IF(tbl_abs[[#This Row],[Distance from Residence to Work]]&lt;=10,"6–10",
IF(tbl_abs[[#This Row],[Distance from Residence to Work]]&lt;=20,"11–20",
"21+"))),"")</f>
        <v>11–20</v>
      </c>
      <c r="Y541" s="53" t="str">
        <f>IFERROR(
IF(tbl_abs[[#This Row],[Body Mass Index]]&lt;18.5,"Underweight",
IF(tbl_abs[[#This Row],[Body Mass Index]]&lt;25,"Normal",
IF(tbl_abs[[#This Row],[Body Mass Index]]&lt;30,"Overweight",
"Obese"))),"")</f>
        <v>Obese</v>
      </c>
      <c r="Z541" s="53" t="str">
        <f>IFERROR(
IF(tbl_abs[[#This Row],[Absenteeism time in hours]]&lt;=2,"0–2",
IF(tbl_abs[[#This Row],[Absenteeism time in hours]]&lt;=8,"3–8",
IF(tbl_abs[[#This Row],[Absenteeism time in hours]]&lt;=16,"9–16",
"17+"))),"")</f>
        <v>3–8</v>
      </c>
    </row>
    <row r="542" spans="1:26" ht="15" customHeight="1" x14ac:dyDescent="0.3">
      <c r="A542">
        <v>36</v>
      </c>
      <c r="B542">
        <v>28</v>
      </c>
      <c r="C542" s="1">
        <v>9</v>
      </c>
      <c r="D542">
        <v>5</v>
      </c>
      <c r="E542">
        <v>4</v>
      </c>
      <c r="F542">
        <v>118</v>
      </c>
      <c r="G542" s="1">
        <v>13</v>
      </c>
      <c r="H542">
        <v>18</v>
      </c>
      <c r="I542" s="1">
        <v>50</v>
      </c>
      <c r="J542" s="2">
        <v>294217</v>
      </c>
      <c r="K542">
        <v>81</v>
      </c>
      <c r="L542">
        <v>0</v>
      </c>
      <c r="M542">
        <v>1</v>
      </c>
      <c r="N542">
        <v>1</v>
      </c>
      <c r="O542">
        <v>1</v>
      </c>
      <c r="P542">
        <v>0</v>
      </c>
      <c r="Q542">
        <v>0</v>
      </c>
      <c r="R542">
        <v>98</v>
      </c>
      <c r="S542">
        <v>178</v>
      </c>
      <c r="T542">
        <v>31</v>
      </c>
      <c r="U542">
        <v>1</v>
      </c>
      <c r="V542" s="53" t="str">
        <f>IFERROR(
IF(tbl_abs[[#This Row],[Month of absence]]=0,"Unknown",
CHOOSE(tbl_abs[[#This Row],[Month of absence]],
"Jan","Feb","Mar","Apr","May","Jun","Jul","Aug","Sep","Oct","Nov","Dec")),"")</f>
        <v>Sep</v>
      </c>
      <c r="W542" s="53" t="str">
        <f>IFERROR(
IF(tbl_abs[[#This Row],[Age]]&lt;30,"&lt;30",
IF(tbl_abs[[#This Row],[Age]]&lt;40,"30–39",
IF(tbl_abs[[#This Row],[Age]]&lt;50,"40–49",
IF(tbl_abs[[#This Row],[Age]]&lt;60,"50–59",
"60+")))),"")</f>
        <v>50–59</v>
      </c>
      <c r="X542" s="53" t="str">
        <f>IFERROR(
IF(tbl_abs[[#This Row],[Distance from Residence to Work]]&lt;=5,"0–5",
IF(tbl_abs[[#This Row],[Distance from Residence to Work]]&lt;=10,"6–10",
IF(tbl_abs[[#This Row],[Distance from Residence to Work]]&lt;=20,"11–20",
"21+"))),"")</f>
        <v>11–20</v>
      </c>
      <c r="Y542" s="53" t="str">
        <f>IFERROR(
IF(tbl_abs[[#This Row],[Body Mass Index]]&lt;18.5,"Underweight",
IF(tbl_abs[[#This Row],[Body Mass Index]]&lt;25,"Normal",
IF(tbl_abs[[#This Row],[Body Mass Index]]&lt;30,"Overweight",
"Obese"))),"")</f>
        <v>Obese</v>
      </c>
      <c r="Z542" s="53" t="str">
        <f>IFERROR(
IF(tbl_abs[[#This Row],[Absenteeism time in hours]]&lt;=2,"0–2",
IF(tbl_abs[[#This Row],[Absenteeism time in hours]]&lt;=8,"3–8",
IF(tbl_abs[[#This Row],[Absenteeism time in hours]]&lt;=16,"9–16",
"17+"))),"")</f>
        <v>0–2</v>
      </c>
    </row>
    <row r="543" spans="1:26" ht="15" customHeight="1" x14ac:dyDescent="0.3">
      <c r="A543">
        <v>5</v>
      </c>
      <c r="B543">
        <v>0</v>
      </c>
      <c r="C543" s="1">
        <v>9</v>
      </c>
      <c r="D543">
        <v>5</v>
      </c>
      <c r="E543">
        <v>4</v>
      </c>
      <c r="F543">
        <v>235</v>
      </c>
      <c r="G543" s="1">
        <v>20</v>
      </c>
      <c r="H543">
        <v>13</v>
      </c>
      <c r="I543" s="1">
        <v>43</v>
      </c>
      <c r="J543" s="2">
        <v>294217</v>
      </c>
      <c r="K543">
        <v>81</v>
      </c>
      <c r="L543">
        <v>1</v>
      </c>
      <c r="M543">
        <v>1</v>
      </c>
      <c r="N543">
        <v>1</v>
      </c>
      <c r="O543">
        <v>1</v>
      </c>
      <c r="P543">
        <v>0</v>
      </c>
      <c r="Q543">
        <v>0</v>
      </c>
      <c r="R543">
        <v>106</v>
      </c>
      <c r="S543">
        <v>167</v>
      </c>
      <c r="T543">
        <v>38</v>
      </c>
      <c r="U543">
        <v>0</v>
      </c>
      <c r="V543" s="53" t="str">
        <f>IFERROR(
IF(tbl_abs[[#This Row],[Month of absence]]=0,"Unknown",
CHOOSE(tbl_abs[[#This Row],[Month of absence]],
"Jan","Feb","Mar","Apr","May","Jun","Jul","Aug","Sep","Oct","Nov","Dec")),"")</f>
        <v>Sep</v>
      </c>
      <c r="W543" s="53" t="str">
        <f>IFERROR(
IF(tbl_abs[[#This Row],[Age]]&lt;30,"&lt;30",
IF(tbl_abs[[#This Row],[Age]]&lt;40,"30–39",
IF(tbl_abs[[#This Row],[Age]]&lt;50,"40–49",
IF(tbl_abs[[#This Row],[Age]]&lt;60,"50–59",
"60+")))),"")</f>
        <v>40–49</v>
      </c>
      <c r="X543" s="53" t="str">
        <f>IFERROR(
IF(tbl_abs[[#This Row],[Distance from Residence to Work]]&lt;=5,"0–5",
IF(tbl_abs[[#This Row],[Distance from Residence to Work]]&lt;=10,"6–10",
IF(tbl_abs[[#This Row],[Distance from Residence to Work]]&lt;=20,"11–20",
"21+"))),"")</f>
        <v>11–20</v>
      </c>
      <c r="Y543" s="53" t="str">
        <f>IFERROR(
IF(tbl_abs[[#This Row],[Body Mass Index]]&lt;18.5,"Underweight",
IF(tbl_abs[[#This Row],[Body Mass Index]]&lt;25,"Normal",
IF(tbl_abs[[#This Row],[Body Mass Index]]&lt;30,"Overweight",
"Obese"))),"")</f>
        <v>Obese</v>
      </c>
      <c r="Z543" s="53" t="str">
        <f>IFERROR(
IF(tbl_abs[[#This Row],[Absenteeism time in hours]]&lt;=2,"0–2",
IF(tbl_abs[[#This Row],[Absenteeism time in hours]]&lt;=8,"3–8",
IF(tbl_abs[[#This Row],[Absenteeism time in hours]]&lt;=16,"9–16",
"17+"))),"")</f>
        <v>0–2</v>
      </c>
    </row>
    <row r="544" spans="1:26" ht="15" customHeight="1" x14ac:dyDescent="0.3">
      <c r="A544">
        <v>15</v>
      </c>
      <c r="B544">
        <v>28</v>
      </c>
      <c r="C544" s="1">
        <v>9</v>
      </c>
      <c r="D544">
        <v>6</v>
      </c>
      <c r="E544">
        <v>4</v>
      </c>
      <c r="F544">
        <v>291</v>
      </c>
      <c r="G544" s="1">
        <v>31</v>
      </c>
      <c r="H544">
        <v>12</v>
      </c>
      <c r="I544" s="1">
        <v>40</v>
      </c>
      <c r="J544" s="2">
        <v>294217</v>
      </c>
      <c r="K544">
        <v>81</v>
      </c>
      <c r="L544">
        <v>0</v>
      </c>
      <c r="M544">
        <v>1</v>
      </c>
      <c r="N544">
        <v>1</v>
      </c>
      <c r="O544">
        <v>1</v>
      </c>
      <c r="P544">
        <v>0</v>
      </c>
      <c r="Q544">
        <v>1</v>
      </c>
      <c r="R544">
        <v>73</v>
      </c>
      <c r="S544">
        <v>171</v>
      </c>
      <c r="T544">
        <v>25</v>
      </c>
      <c r="U544">
        <v>3</v>
      </c>
      <c r="V544" s="53" t="str">
        <f>IFERROR(
IF(tbl_abs[[#This Row],[Month of absence]]=0,"Unknown",
CHOOSE(tbl_abs[[#This Row],[Month of absence]],
"Jan","Feb","Mar","Apr","May","Jun","Jul","Aug","Sep","Oct","Nov","Dec")),"")</f>
        <v>Sep</v>
      </c>
      <c r="W544" s="53" t="str">
        <f>IFERROR(
IF(tbl_abs[[#This Row],[Age]]&lt;30,"&lt;30",
IF(tbl_abs[[#This Row],[Age]]&lt;40,"30–39",
IF(tbl_abs[[#This Row],[Age]]&lt;50,"40–49",
IF(tbl_abs[[#This Row],[Age]]&lt;60,"50–59",
"60+")))),"")</f>
        <v>40–49</v>
      </c>
      <c r="X544" s="53" t="str">
        <f>IFERROR(
IF(tbl_abs[[#This Row],[Distance from Residence to Work]]&lt;=5,"0–5",
IF(tbl_abs[[#This Row],[Distance from Residence to Work]]&lt;=10,"6–10",
IF(tbl_abs[[#This Row],[Distance from Residence to Work]]&lt;=20,"11–20",
"21+"))),"")</f>
        <v>21+</v>
      </c>
      <c r="Y544" s="53" t="str">
        <f>IFERROR(
IF(tbl_abs[[#This Row],[Body Mass Index]]&lt;18.5,"Underweight",
IF(tbl_abs[[#This Row],[Body Mass Index]]&lt;25,"Normal",
IF(tbl_abs[[#This Row],[Body Mass Index]]&lt;30,"Overweight",
"Obese"))),"")</f>
        <v>Overweight</v>
      </c>
      <c r="Z544" s="53" t="str">
        <f>IFERROR(
IF(tbl_abs[[#This Row],[Absenteeism time in hours]]&lt;=2,"0–2",
IF(tbl_abs[[#This Row],[Absenteeism time in hours]]&lt;=8,"3–8",
IF(tbl_abs[[#This Row],[Absenteeism time in hours]]&lt;=16,"9–16",
"17+"))),"")</f>
        <v>3–8</v>
      </c>
    </row>
    <row r="545" spans="1:26" ht="15" customHeight="1" x14ac:dyDescent="0.3">
      <c r="A545">
        <v>15</v>
      </c>
      <c r="B545">
        <v>7</v>
      </c>
      <c r="C545" s="1">
        <v>9</v>
      </c>
      <c r="D545">
        <v>2</v>
      </c>
      <c r="E545">
        <v>4</v>
      </c>
      <c r="F545">
        <v>291</v>
      </c>
      <c r="G545" s="1">
        <v>31</v>
      </c>
      <c r="H545">
        <v>12</v>
      </c>
      <c r="I545" s="1">
        <v>40</v>
      </c>
      <c r="J545" s="2">
        <v>294217</v>
      </c>
      <c r="K545">
        <v>81</v>
      </c>
      <c r="L545">
        <v>0</v>
      </c>
      <c r="M545">
        <v>1</v>
      </c>
      <c r="N545">
        <v>1</v>
      </c>
      <c r="O545">
        <v>1</v>
      </c>
      <c r="P545">
        <v>0</v>
      </c>
      <c r="Q545">
        <v>1</v>
      </c>
      <c r="R545">
        <v>73</v>
      </c>
      <c r="S545">
        <v>171</v>
      </c>
      <c r="T545">
        <v>25</v>
      </c>
      <c r="U545">
        <v>40</v>
      </c>
      <c r="V545" s="53" t="str">
        <f>IFERROR(
IF(tbl_abs[[#This Row],[Month of absence]]=0,"Unknown",
CHOOSE(tbl_abs[[#This Row],[Month of absence]],
"Jan","Feb","Mar","Apr","May","Jun","Jul","Aug","Sep","Oct","Nov","Dec")),"")</f>
        <v>Sep</v>
      </c>
      <c r="W545" s="53" t="str">
        <f>IFERROR(
IF(tbl_abs[[#This Row],[Age]]&lt;30,"&lt;30",
IF(tbl_abs[[#This Row],[Age]]&lt;40,"30–39",
IF(tbl_abs[[#This Row],[Age]]&lt;50,"40–49",
IF(tbl_abs[[#This Row],[Age]]&lt;60,"50–59",
"60+")))),"")</f>
        <v>40–49</v>
      </c>
      <c r="X545" s="53" t="str">
        <f>IFERROR(
IF(tbl_abs[[#This Row],[Distance from Residence to Work]]&lt;=5,"0–5",
IF(tbl_abs[[#This Row],[Distance from Residence to Work]]&lt;=10,"6–10",
IF(tbl_abs[[#This Row],[Distance from Residence to Work]]&lt;=20,"11–20",
"21+"))),"")</f>
        <v>21+</v>
      </c>
      <c r="Y545" s="53" t="str">
        <f>IFERROR(
IF(tbl_abs[[#This Row],[Body Mass Index]]&lt;18.5,"Underweight",
IF(tbl_abs[[#This Row],[Body Mass Index]]&lt;25,"Normal",
IF(tbl_abs[[#This Row],[Body Mass Index]]&lt;30,"Overweight",
"Obese"))),"")</f>
        <v>Overweight</v>
      </c>
      <c r="Z545" s="53" t="str">
        <f>IFERROR(
IF(tbl_abs[[#This Row],[Absenteeism time in hours]]&lt;=2,"0–2",
IF(tbl_abs[[#This Row],[Absenteeism time in hours]]&lt;=8,"3–8",
IF(tbl_abs[[#This Row],[Absenteeism time in hours]]&lt;=16,"9–16",
"17+"))),"")</f>
        <v>17+</v>
      </c>
    </row>
    <row r="546" spans="1:26" ht="15" customHeight="1" x14ac:dyDescent="0.3">
      <c r="A546">
        <v>3</v>
      </c>
      <c r="B546">
        <v>13</v>
      </c>
      <c r="C546" s="1">
        <v>9</v>
      </c>
      <c r="D546">
        <v>2</v>
      </c>
      <c r="E546">
        <v>4</v>
      </c>
      <c r="F546">
        <v>179</v>
      </c>
      <c r="G546" s="1">
        <v>51</v>
      </c>
      <c r="H546">
        <v>18</v>
      </c>
      <c r="I546" s="1">
        <v>38</v>
      </c>
      <c r="J546" s="2">
        <v>294217</v>
      </c>
      <c r="K546">
        <v>81</v>
      </c>
      <c r="L546">
        <v>0</v>
      </c>
      <c r="M546">
        <v>1</v>
      </c>
      <c r="N546">
        <v>0</v>
      </c>
      <c r="O546">
        <v>1</v>
      </c>
      <c r="P546">
        <v>0</v>
      </c>
      <c r="Q546">
        <v>0</v>
      </c>
      <c r="R546">
        <v>89</v>
      </c>
      <c r="S546">
        <v>170</v>
      </c>
      <c r="T546">
        <v>31</v>
      </c>
      <c r="U546">
        <v>8</v>
      </c>
      <c r="V546" s="53" t="str">
        <f>IFERROR(
IF(tbl_abs[[#This Row],[Month of absence]]=0,"Unknown",
CHOOSE(tbl_abs[[#This Row],[Month of absence]],
"Jan","Feb","Mar","Apr","May","Jun","Jul","Aug","Sep","Oct","Nov","Dec")),"")</f>
        <v>Sep</v>
      </c>
      <c r="W546" s="53" t="str">
        <f>IFERROR(
IF(tbl_abs[[#This Row],[Age]]&lt;30,"&lt;30",
IF(tbl_abs[[#This Row],[Age]]&lt;40,"30–39",
IF(tbl_abs[[#This Row],[Age]]&lt;50,"40–49",
IF(tbl_abs[[#This Row],[Age]]&lt;60,"50–59",
"60+")))),"")</f>
        <v>30–39</v>
      </c>
      <c r="X546" s="53" t="str">
        <f>IFERROR(
IF(tbl_abs[[#This Row],[Distance from Residence to Work]]&lt;=5,"0–5",
IF(tbl_abs[[#This Row],[Distance from Residence to Work]]&lt;=10,"6–10",
IF(tbl_abs[[#This Row],[Distance from Residence to Work]]&lt;=20,"11–20",
"21+"))),"")</f>
        <v>21+</v>
      </c>
      <c r="Y546" s="53" t="str">
        <f>IFERROR(
IF(tbl_abs[[#This Row],[Body Mass Index]]&lt;18.5,"Underweight",
IF(tbl_abs[[#This Row],[Body Mass Index]]&lt;25,"Normal",
IF(tbl_abs[[#This Row],[Body Mass Index]]&lt;30,"Overweight",
"Obese"))),"")</f>
        <v>Obese</v>
      </c>
      <c r="Z546" s="53" t="str">
        <f>IFERROR(
IF(tbl_abs[[#This Row],[Absenteeism time in hours]]&lt;=2,"0–2",
IF(tbl_abs[[#This Row],[Absenteeism time in hours]]&lt;=8,"3–8",
IF(tbl_abs[[#This Row],[Absenteeism time in hours]]&lt;=16,"9–16",
"17+"))),"")</f>
        <v>3–8</v>
      </c>
    </row>
    <row r="547" spans="1:26" ht="15" customHeight="1" x14ac:dyDescent="0.3">
      <c r="A547">
        <v>24</v>
      </c>
      <c r="B547">
        <v>28</v>
      </c>
      <c r="C547" s="1">
        <v>9</v>
      </c>
      <c r="D547">
        <v>3</v>
      </c>
      <c r="E547">
        <v>1</v>
      </c>
      <c r="F547">
        <v>246</v>
      </c>
      <c r="G547" s="1">
        <v>25</v>
      </c>
      <c r="H547">
        <v>16</v>
      </c>
      <c r="I547" s="1">
        <v>41</v>
      </c>
      <c r="J547" s="2">
        <v>261756</v>
      </c>
      <c r="K547">
        <v>87</v>
      </c>
      <c r="L547">
        <v>0</v>
      </c>
      <c r="M547">
        <v>1</v>
      </c>
      <c r="N547">
        <v>0</v>
      </c>
      <c r="O547">
        <v>1</v>
      </c>
      <c r="P547">
        <v>0</v>
      </c>
      <c r="Q547">
        <v>0</v>
      </c>
      <c r="R547">
        <v>67</v>
      </c>
      <c r="S547">
        <v>170</v>
      </c>
      <c r="T547">
        <v>23</v>
      </c>
      <c r="U547">
        <v>1</v>
      </c>
      <c r="V547" s="53" t="str">
        <f>IFERROR(
IF(tbl_abs[[#This Row],[Month of absence]]=0,"Unknown",
CHOOSE(tbl_abs[[#This Row],[Month of absence]],
"Jan","Feb","Mar","Apr","May","Jun","Jul","Aug","Sep","Oct","Nov","Dec")),"")</f>
        <v>Sep</v>
      </c>
      <c r="W547" s="53" t="str">
        <f>IFERROR(
IF(tbl_abs[[#This Row],[Age]]&lt;30,"&lt;30",
IF(tbl_abs[[#This Row],[Age]]&lt;40,"30–39",
IF(tbl_abs[[#This Row],[Age]]&lt;50,"40–49",
IF(tbl_abs[[#This Row],[Age]]&lt;60,"50–59",
"60+")))),"")</f>
        <v>40–49</v>
      </c>
      <c r="X547" s="53" t="str">
        <f>IFERROR(
IF(tbl_abs[[#This Row],[Distance from Residence to Work]]&lt;=5,"0–5",
IF(tbl_abs[[#This Row],[Distance from Residence to Work]]&lt;=10,"6–10",
IF(tbl_abs[[#This Row],[Distance from Residence to Work]]&lt;=20,"11–20",
"21+"))),"")</f>
        <v>21+</v>
      </c>
      <c r="Y547" s="53" t="str">
        <f>IFERROR(
IF(tbl_abs[[#This Row],[Body Mass Index]]&lt;18.5,"Underweight",
IF(tbl_abs[[#This Row],[Body Mass Index]]&lt;25,"Normal",
IF(tbl_abs[[#This Row],[Body Mass Index]]&lt;30,"Overweight",
"Obese"))),"")</f>
        <v>Normal</v>
      </c>
      <c r="Z547" s="53" t="str">
        <f>IFERROR(
IF(tbl_abs[[#This Row],[Absenteeism time in hours]]&lt;=2,"0–2",
IF(tbl_abs[[#This Row],[Absenteeism time in hours]]&lt;=8,"3–8",
IF(tbl_abs[[#This Row],[Absenteeism time in hours]]&lt;=16,"9–16",
"17+"))),"")</f>
        <v>0–2</v>
      </c>
    </row>
    <row r="548" spans="1:26" ht="15" customHeight="1" x14ac:dyDescent="0.3">
      <c r="A548">
        <v>24</v>
      </c>
      <c r="B548">
        <v>28</v>
      </c>
      <c r="C548" s="1">
        <v>9</v>
      </c>
      <c r="D548">
        <v>3</v>
      </c>
      <c r="E548">
        <v>1</v>
      </c>
      <c r="F548">
        <v>246</v>
      </c>
      <c r="G548" s="1">
        <v>25</v>
      </c>
      <c r="H548">
        <v>16</v>
      </c>
      <c r="I548" s="1">
        <v>41</v>
      </c>
      <c r="J548" s="2">
        <v>261756</v>
      </c>
      <c r="K548">
        <v>87</v>
      </c>
      <c r="L548">
        <v>0</v>
      </c>
      <c r="M548">
        <v>1</v>
      </c>
      <c r="N548">
        <v>0</v>
      </c>
      <c r="O548">
        <v>1</v>
      </c>
      <c r="P548">
        <v>0</v>
      </c>
      <c r="Q548">
        <v>0</v>
      </c>
      <c r="R548">
        <v>67</v>
      </c>
      <c r="S548">
        <v>170</v>
      </c>
      <c r="T548">
        <v>23</v>
      </c>
      <c r="U548">
        <v>1</v>
      </c>
      <c r="V548" s="53" t="str">
        <f>IFERROR(
IF(tbl_abs[[#This Row],[Month of absence]]=0,"Unknown",
CHOOSE(tbl_abs[[#This Row],[Month of absence]],
"Jan","Feb","Mar","Apr","May","Jun","Jul","Aug","Sep","Oct","Nov","Dec")),"")</f>
        <v>Sep</v>
      </c>
      <c r="W548" s="53" t="str">
        <f>IFERROR(
IF(tbl_abs[[#This Row],[Age]]&lt;30,"&lt;30",
IF(tbl_abs[[#This Row],[Age]]&lt;40,"30–39",
IF(tbl_abs[[#This Row],[Age]]&lt;50,"40–49",
IF(tbl_abs[[#This Row],[Age]]&lt;60,"50–59",
"60+")))),"")</f>
        <v>40–49</v>
      </c>
      <c r="X548" s="53" t="str">
        <f>IFERROR(
IF(tbl_abs[[#This Row],[Distance from Residence to Work]]&lt;=5,"0–5",
IF(tbl_abs[[#This Row],[Distance from Residence to Work]]&lt;=10,"6–10",
IF(tbl_abs[[#This Row],[Distance from Residence to Work]]&lt;=20,"11–20",
"21+"))),"")</f>
        <v>21+</v>
      </c>
      <c r="Y548" s="53" t="str">
        <f>IFERROR(
IF(tbl_abs[[#This Row],[Body Mass Index]]&lt;18.5,"Underweight",
IF(tbl_abs[[#This Row],[Body Mass Index]]&lt;25,"Normal",
IF(tbl_abs[[#This Row],[Body Mass Index]]&lt;30,"Overweight",
"Obese"))),"")</f>
        <v>Normal</v>
      </c>
      <c r="Z548" s="53" t="str">
        <f>IFERROR(
IF(tbl_abs[[#This Row],[Absenteeism time in hours]]&lt;=2,"0–2",
IF(tbl_abs[[#This Row],[Absenteeism time in hours]]&lt;=8,"3–8",
IF(tbl_abs[[#This Row],[Absenteeism time in hours]]&lt;=16,"9–16",
"17+"))),"")</f>
        <v>0–2</v>
      </c>
    </row>
    <row r="549" spans="1:26" ht="15" customHeight="1" x14ac:dyDescent="0.3">
      <c r="A549">
        <v>34</v>
      </c>
      <c r="B549">
        <v>28</v>
      </c>
      <c r="C549" s="1">
        <v>9</v>
      </c>
      <c r="D549">
        <v>3</v>
      </c>
      <c r="E549">
        <v>1</v>
      </c>
      <c r="F549">
        <v>118</v>
      </c>
      <c r="G549" s="1">
        <v>10</v>
      </c>
      <c r="H549">
        <v>10</v>
      </c>
      <c r="I549" s="1">
        <v>37</v>
      </c>
      <c r="J549" s="2">
        <v>261756</v>
      </c>
      <c r="K549">
        <v>87</v>
      </c>
      <c r="L549">
        <v>0</v>
      </c>
      <c r="M549">
        <v>1</v>
      </c>
      <c r="N549">
        <v>0</v>
      </c>
      <c r="O549">
        <v>0</v>
      </c>
      <c r="P549">
        <v>0</v>
      </c>
      <c r="Q549">
        <v>0</v>
      </c>
      <c r="R549">
        <v>83</v>
      </c>
      <c r="S549">
        <v>172</v>
      </c>
      <c r="T549">
        <v>28</v>
      </c>
      <c r="U549">
        <v>3</v>
      </c>
      <c r="V549" s="53" t="str">
        <f>IFERROR(
IF(tbl_abs[[#This Row],[Month of absence]]=0,"Unknown",
CHOOSE(tbl_abs[[#This Row],[Month of absence]],
"Jan","Feb","Mar","Apr","May","Jun","Jul","Aug","Sep","Oct","Nov","Dec")),"")</f>
        <v>Sep</v>
      </c>
      <c r="W549" s="53" t="str">
        <f>IFERROR(
IF(tbl_abs[[#This Row],[Age]]&lt;30,"&lt;30",
IF(tbl_abs[[#This Row],[Age]]&lt;40,"30–39",
IF(tbl_abs[[#This Row],[Age]]&lt;50,"40–49",
IF(tbl_abs[[#This Row],[Age]]&lt;60,"50–59",
"60+")))),"")</f>
        <v>30–39</v>
      </c>
      <c r="X549" s="53" t="str">
        <f>IFERROR(
IF(tbl_abs[[#This Row],[Distance from Residence to Work]]&lt;=5,"0–5",
IF(tbl_abs[[#This Row],[Distance from Residence to Work]]&lt;=10,"6–10",
IF(tbl_abs[[#This Row],[Distance from Residence to Work]]&lt;=20,"11–20",
"21+"))),"")</f>
        <v>6–10</v>
      </c>
      <c r="Y549" s="53" t="str">
        <f>IFERROR(
IF(tbl_abs[[#This Row],[Body Mass Index]]&lt;18.5,"Underweight",
IF(tbl_abs[[#This Row],[Body Mass Index]]&lt;25,"Normal",
IF(tbl_abs[[#This Row],[Body Mass Index]]&lt;30,"Overweight",
"Obese"))),"")</f>
        <v>Overweight</v>
      </c>
      <c r="Z549" s="53" t="str">
        <f>IFERROR(
IF(tbl_abs[[#This Row],[Absenteeism time in hours]]&lt;=2,"0–2",
IF(tbl_abs[[#This Row],[Absenteeism time in hours]]&lt;=8,"3–8",
IF(tbl_abs[[#This Row],[Absenteeism time in hours]]&lt;=16,"9–16",
"17+"))),"")</f>
        <v>3–8</v>
      </c>
    </row>
    <row r="550" spans="1:26" ht="15" customHeight="1" x14ac:dyDescent="0.3">
      <c r="A550">
        <v>14</v>
      </c>
      <c r="B550">
        <v>23</v>
      </c>
      <c r="C550" s="1">
        <v>9</v>
      </c>
      <c r="D550">
        <v>3</v>
      </c>
      <c r="E550">
        <v>1</v>
      </c>
      <c r="F550">
        <v>155</v>
      </c>
      <c r="G550" s="1">
        <v>12</v>
      </c>
      <c r="H550">
        <v>14</v>
      </c>
      <c r="I550" s="1">
        <v>34</v>
      </c>
      <c r="J550" s="2">
        <v>261756</v>
      </c>
      <c r="K550">
        <v>87</v>
      </c>
      <c r="L550">
        <v>0</v>
      </c>
      <c r="M550">
        <v>1</v>
      </c>
      <c r="N550">
        <v>2</v>
      </c>
      <c r="O550">
        <v>1</v>
      </c>
      <c r="P550">
        <v>0</v>
      </c>
      <c r="Q550">
        <v>0</v>
      </c>
      <c r="R550">
        <v>95</v>
      </c>
      <c r="S550">
        <v>196</v>
      </c>
      <c r="T550">
        <v>25</v>
      </c>
      <c r="U550">
        <v>2</v>
      </c>
      <c r="V550" s="53" t="str">
        <f>IFERROR(
IF(tbl_abs[[#This Row],[Month of absence]]=0,"Unknown",
CHOOSE(tbl_abs[[#This Row],[Month of absence]],
"Jan","Feb","Mar","Apr","May","Jun","Jul","Aug","Sep","Oct","Nov","Dec")),"")</f>
        <v>Sep</v>
      </c>
      <c r="W550" s="53" t="str">
        <f>IFERROR(
IF(tbl_abs[[#This Row],[Age]]&lt;30,"&lt;30",
IF(tbl_abs[[#This Row],[Age]]&lt;40,"30–39",
IF(tbl_abs[[#This Row],[Age]]&lt;50,"40–49",
IF(tbl_abs[[#This Row],[Age]]&lt;60,"50–59",
"60+")))),"")</f>
        <v>30–39</v>
      </c>
      <c r="X550" s="53" t="str">
        <f>IFERROR(
IF(tbl_abs[[#This Row],[Distance from Residence to Work]]&lt;=5,"0–5",
IF(tbl_abs[[#This Row],[Distance from Residence to Work]]&lt;=10,"6–10",
IF(tbl_abs[[#This Row],[Distance from Residence to Work]]&lt;=20,"11–20",
"21+"))),"")</f>
        <v>11–20</v>
      </c>
      <c r="Y550" s="53" t="str">
        <f>IFERROR(
IF(tbl_abs[[#This Row],[Body Mass Index]]&lt;18.5,"Underweight",
IF(tbl_abs[[#This Row],[Body Mass Index]]&lt;25,"Normal",
IF(tbl_abs[[#This Row],[Body Mass Index]]&lt;30,"Overweight",
"Obese"))),"")</f>
        <v>Overweight</v>
      </c>
      <c r="Z550" s="53" t="str">
        <f>IFERROR(
IF(tbl_abs[[#This Row],[Absenteeism time in hours]]&lt;=2,"0–2",
IF(tbl_abs[[#This Row],[Absenteeism time in hours]]&lt;=8,"3–8",
IF(tbl_abs[[#This Row],[Absenteeism time in hours]]&lt;=16,"9–16",
"17+"))),"")</f>
        <v>0–2</v>
      </c>
    </row>
    <row r="551" spans="1:26" ht="15" customHeight="1" x14ac:dyDescent="0.3">
      <c r="A551">
        <v>15</v>
      </c>
      <c r="B551">
        <v>28</v>
      </c>
      <c r="C551" s="1">
        <v>9</v>
      </c>
      <c r="D551">
        <v>5</v>
      </c>
      <c r="E551">
        <v>1</v>
      </c>
      <c r="F551">
        <v>291</v>
      </c>
      <c r="G551" s="1">
        <v>31</v>
      </c>
      <c r="H551">
        <v>12</v>
      </c>
      <c r="I551" s="1">
        <v>40</v>
      </c>
      <c r="J551" s="2">
        <v>261756</v>
      </c>
      <c r="K551">
        <v>87</v>
      </c>
      <c r="L551">
        <v>0</v>
      </c>
      <c r="M551">
        <v>1</v>
      </c>
      <c r="N551">
        <v>1</v>
      </c>
      <c r="O551">
        <v>1</v>
      </c>
      <c r="P551">
        <v>0</v>
      </c>
      <c r="Q551">
        <v>1</v>
      </c>
      <c r="R551">
        <v>73</v>
      </c>
      <c r="S551">
        <v>171</v>
      </c>
      <c r="T551">
        <v>25</v>
      </c>
      <c r="U551">
        <v>2</v>
      </c>
      <c r="V551" s="53" t="str">
        <f>IFERROR(
IF(tbl_abs[[#This Row],[Month of absence]]=0,"Unknown",
CHOOSE(tbl_abs[[#This Row],[Month of absence]],
"Jan","Feb","Mar","Apr","May","Jun","Jul","Aug","Sep","Oct","Nov","Dec")),"")</f>
        <v>Sep</v>
      </c>
      <c r="W551" s="53" t="str">
        <f>IFERROR(
IF(tbl_abs[[#This Row],[Age]]&lt;30,"&lt;30",
IF(tbl_abs[[#This Row],[Age]]&lt;40,"30–39",
IF(tbl_abs[[#This Row],[Age]]&lt;50,"40–49",
IF(tbl_abs[[#This Row],[Age]]&lt;60,"50–59",
"60+")))),"")</f>
        <v>40–49</v>
      </c>
      <c r="X551" s="53" t="str">
        <f>IFERROR(
IF(tbl_abs[[#This Row],[Distance from Residence to Work]]&lt;=5,"0–5",
IF(tbl_abs[[#This Row],[Distance from Residence to Work]]&lt;=10,"6–10",
IF(tbl_abs[[#This Row],[Distance from Residence to Work]]&lt;=20,"11–20",
"21+"))),"")</f>
        <v>21+</v>
      </c>
      <c r="Y551" s="53" t="str">
        <f>IFERROR(
IF(tbl_abs[[#This Row],[Body Mass Index]]&lt;18.5,"Underweight",
IF(tbl_abs[[#This Row],[Body Mass Index]]&lt;25,"Normal",
IF(tbl_abs[[#This Row],[Body Mass Index]]&lt;30,"Overweight",
"Obese"))),"")</f>
        <v>Overweight</v>
      </c>
      <c r="Z551" s="53" t="str">
        <f>IFERROR(
IF(tbl_abs[[#This Row],[Absenteeism time in hours]]&lt;=2,"0–2",
IF(tbl_abs[[#This Row],[Absenteeism time in hours]]&lt;=8,"3–8",
IF(tbl_abs[[#This Row],[Absenteeism time in hours]]&lt;=16,"9–16",
"17+"))),"")</f>
        <v>0–2</v>
      </c>
    </row>
    <row r="552" spans="1:26" ht="15" customHeight="1" x14ac:dyDescent="0.3">
      <c r="A552">
        <v>22</v>
      </c>
      <c r="B552">
        <v>23</v>
      </c>
      <c r="C552" s="1">
        <v>9</v>
      </c>
      <c r="D552">
        <v>6</v>
      </c>
      <c r="E552">
        <v>1</v>
      </c>
      <c r="F552">
        <v>179</v>
      </c>
      <c r="G552" s="1">
        <v>26</v>
      </c>
      <c r="H552">
        <v>9</v>
      </c>
      <c r="I552" s="1">
        <v>30</v>
      </c>
      <c r="J552" s="2">
        <v>261756</v>
      </c>
      <c r="K552">
        <v>87</v>
      </c>
      <c r="L552">
        <v>0</v>
      </c>
      <c r="M552">
        <v>3</v>
      </c>
      <c r="N552">
        <v>0</v>
      </c>
      <c r="O552">
        <v>0</v>
      </c>
      <c r="P552">
        <v>0</v>
      </c>
      <c r="Q552">
        <v>0</v>
      </c>
      <c r="R552">
        <v>56</v>
      </c>
      <c r="S552">
        <v>171</v>
      </c>
      <c r="T552">
        <v>19</v>
      </c>
      <c r="U552">
        <v>8</v>
      </c>
      <c r="V552" s="53" t="str">
        <f>IFERROR(
IF(tbl_abs[[#This Row],[Month of absence]]=0,"Unknown",
CHOOSE(tbl_abs[[#This Row],[Month of absence]],
"Jan","Feb","Mar","Apr","May","Jun","Jul","Aug","Sep","Oct","Nov","Dec")),"")</f>
        <v>Sep</v>
      </c>
      <c r="W552" s="53" t="str">
        <f>IFERROR(
IF(tbl_abs[[#This Row],[Age]]&lt;30,"&lt;30",
IF(tbl_abs[[#This Row],[Age]]&lt;40,"30–39",
IF(tbl_abs[[#This Row],[Age]]&lt;50,"40–49",
IF(tbl_abs[[#This Row],[Age]]&lt;60,"50–59",
"60+")))),"")</f>
        <v>30–39</v>
      </c>
      <c r="X552" s="53" t="str">
        <f>IFERROR(
IF(tbl_abs[[#This Row],[Distance from Residence to Work]]&lt;=5,"0–5",
IF(tbl_abs[[#This Row],[Distance from Residence to Work]]&lt;=10,"6–10",
IF(tbl_abs[[#This Row],[Distance from Residence to Work]]&lt;=20,"11–20",
"21+"))),"")</f>
        <v>21+</v>
      </c>
      <c r="Y552" s="53" t="str">
        <f>IFERROR(
IF(tbl_abs[[#This Row],[Body Mass Index]]&lt;18.5,"Underweight",
IF(tbl_abs[[#This Row],[Body Mass Index]]&lt;25,"Normal",
IF(tbl_abs[[#This Row],[Body Mass Index]]&lt;30,"Overweight",
"Obese"))),"")</f>
        <v>Normal</v>
      </c>
      <c r="Z552" s="53" t="str">
        <f>IFERROR(
IF(tbl_abs[[#This Row],[Absenteeism time in hours]]&lt;=2,"0–2",
IF(tbl_abs[[#This Row],[Absenteeism time in hours]]&lt;=8,"3–8",
IF(tbl_abs[[#This Row],[Absenteeism time in hours]]&lt;=16,"9–16",
"17+"))),"")</f>
        <v>3–8</v>
      </c>
    </row>
    <row r="553" spans="1:26" ht="15" customHeight="1" x14ac:dyDescent="0.3">
      <c r="A553">
        <v>33</v>
      </c>
      <c r="B553">
        <v>23</v>
      </c>
      <c r="C553" s="1">
        <v>9</v>
      </c>
      <c r="D553">
        <v>6</v>
      </c>
      <c r="E553">
        <v>1</v>
      </c>
      <c r="F553">
        <v>248</v>
      </c>
      <c r="G553" s="1">
        <v>25</v>
      </c>
      <c r="H553">
        <v>14</v>
      </c>
      <c r="I553" s="1">
        <v>47</v>
      </c>
      <c r="J553" s="2">
        <v>261756</v>
      </c>
      <c r="K553">
        <v>87</v>
      </c>
      <c r="L553">
        <v>0</v>
      </c>
      <c r="M553">
        <v>1</v>
      </c>
      <c r="N553">
        <v>2</v>
      </c>
      <c r="O553">
        <v>0</v>
      </c>
      <c r="P553">
        <v>0</v>
      </c>
      <c r="Q553">
        <v>1</v>
      </c>
      <c r="R553">
        <v>86</v>
      </c>
      <c r="S553">
        <v>165</v>
      </c>
      <c r="T553">
        <v>32</v>
      </c>
      <c r="U553">
        <v>1</v>
      </c>
      <c r="V553" s="53" t="str">
        <f>IFERROR(
IF(tbl_abs[[#This Row],[Month of absence]]=0,"Unknown",
CHOOSE(tbl_abs[[#This Row],[Month of absence]],
"Jan","Feb","Mar","Apr","May","Jun","Jul","Aug","Sep","Oct","Nov","Dec")),"")</f>
        <v>Sep</v>
      </c>
      <c r="W553" s="53" t="str">
        <f>IFERROR(
IF(tbl_abs[[#This Row],[Age]]&lt;30,"&lt;30",
IF(tbl_abs[[#This Row],[Age]]&lt;40,"30–39",
IF(tbl_abs[[#This Row],[Age]]&lt;50,"40–49",
IF(tbl_abs[[#This Row],[Age]]&lt;60,"50–59",
"60+")))),"")</f>
        <v>40–49</v>
      </c>
      <c r="X553" s="53" t="str">
        <f>IFERROR(
IF(tbl_abs[[#This Row],[Distance from Residence to Work]]&lt;=5,"0–5",
IF(tbl_abs[[#This Row],[Distance from Residence to Work]]&lt;=10,"6–10",
IF(tbl_abs[[#This Row],[Distance from Residence to Work]]&lt;=20,"11–20",
"21+"))),"")</f>
        <v>21+</v>
      </c>
      <c r="Y553" s="53" t="str">
        <f>IFERROR(
IF(tbl_abs[[#This Row],[Body Mass Index]]&lt;18.5,"Underweight",
IF(tbl_abs[[#This Row],[Body Mass Index]]&lt;25,"Normal",
IF(tbl_abs[[#This Row],[Body Mass Index]]&lt;30,"Overweight",
"Obese"))),"")</f>
        <v>Obese</v>
      </c>
      <c r="Z553" s="53" t="str">
        <f>IFERROR(
IF(tbl_abs[[#This Row],[Absenteeism time in hours]]&lt;=2,"0–2",
IF(tbl_abs[[#This Row],[Absenteeism time in hours]]&lt;=8,"3–8",
IF(tbl_abs[[#This Row],[Absenteeism time in hours]]&lt;=16,"9–16",
"17+"))),"")</f>
        <v>0–2</v>
      </c>
    </row>
    <row r="554" spans="1:26" ht="15" customHeight="1" x14ac:dyDescent="0.3">
      <c r="A554">
        <v>3</v>
      </c>
      <c r="B554">
        <v>23</v>
      </c>
      <c r="C554" s="1">
        <v>9</v>
      </c>
      <c r="D554">
        <v>2</v>
      </c>
      <c r="E554">
        <v>1</v>
      </c>
      <c r="F554">
        <v>179</v>
      </c>
      <c r="G554" s="1">
        <v>51</v>
      </c>
      <c r="H554">
        <v>18</v>
      </c>
      <c r="I554" s="1">
        <v>38</v>
      </c>
      <c r="J554" s="2">
        <v>261756</v>
      </c>
      <c r="K554">
        <v>87</v>
      </c>
      <c r="L554">
        <v>0</v>
      </c>
      <c r="M554">
        <v>1</v>
      </c>
      <c r="N554">
        <v>0</v>
      </c>
      <c r="O554">
        <v>1</v>
      </c>
      <c r="P554">
        <v>0</v>
      </c>
      <c r="Q554">
        <v>0</v>
      </c>
      <c r="R554">
        <v>89</v>
      </c>
      <c r="S554">
        <v>170</v>
      </c>
      <c r="T554">
        <v>31</v>
      </c>
      <c r="U554">
        <v>4</v>
      </c>
      <c r="V554" s="53" t="str">
        <f>IFERROR(
IF(tbl_abs[[#This Row],[Month of absence]]=0,"Unknown",
CHOOSE(tbl_abs[[#This Row],[Month of absence]],
"Jan","Feb","Mar","Apr","May","Jun","Jul","Aug","Sep","Oct","Nov","Dec")),"")</f>
        <v>Sep</v>
      </c>
      <c r="W554" s="53" t="str">
        <f>IFERROR(
IF(tbl_abs[[#This Row],[Age]]&lt;30,"&lt;30",
IF(tbl_abs[[#This Row],[Age]]&lt;40,"30–39",
IF(tbl_abs[[#This Row],[Age]]&lt;50,"40–49",
IF(tbl_abs[[#This Row],[Age]]&lt;60,"50–59",
"60+")))),"")</f>
        <v>30–39</v>
      </c>
      <c r="X554" s="53" t="str">
        <f>IFERROR(
IF(tbl_abs[[#This Row],[Distance from Residence to Work]]&lt;=5,"0–5",
IF(tbl_abs[[#This Row],[Distance from Residence to Work]]&lt;=10,"6–10",
IF(tbl_abs[[#This Row],[Distance from Residence to Work]]&lt;=20,"11–20",
"21+"))),"")</f>
        <v>21+</v>
      </c>
      <c r="Y554" s="53" t="str">
        <f>IFERROR(
IF(tbl_abs[[#This Row],[Body Mass Index]]&lt;18.5,"Underweight",
IF(tbl_abs[[#This Row],[Body Mass Index]]&lt;25,"Normal",
IF(tbl_abs[[#This Row],[Body Mass Index]]&lt;30,"Overweight",
"Obese"))),"")</f>
        <v>Obese</v>
      </c>
      <c r="Z554" s="53" t="str">
        <f>IFERROR(
IF(tbl_abs[[#This Row],[Absenteeism time in hours]]&lt;=2,"0–2",
IF(tbl_abs[[#This Row],[Absenteeism time in hours]]&lt;=8,"3–8",
IF(tbl_abs[[#This Row],[Absenteeism time in hours]]&lt;=16,"9–16",
"17+"))),"")</f>
        <v>3–8</v>
      </c>
    </row>
    <row r="555" spans="1:26" ht="15" customHeight="1" x14ac:dyDescent="0.3">
      <c r="A555">
        <v>28</v>
      </c>
      <c r="B555">
        <v>23</v>
      </c>
      <c r="C555" s="1">
        <v>9</v>
      </c>
      <c r="D555">
        <v>4</v>
      </c>
      <c r="E555">
        <v>1</v>
      </c>
      <c r="F555">
        <v>225</v>
      </c>
      <c r="G555" s="1">
        <v>26</v>
      </c>
      <c r="H555">
        <v>9</v>
      </c>
      <c r="I555" s="1">
        <v>28</v>
      </c>
      <c r="J555" s="2">
        <v>261756</v>
      </c>
      <c r="K555">
        <v>87</v>
      </c>
      <c r="L555">
        <v>0</v>
      </c>
      <c r="M555">
        <v>1</v>
      </c>
      <c r="N555">
        <v>1</v>
      </c>
      <c r="O555">
        <v>0</v>
      </c>
      <c r="P555">
        <v>0</v>
      </c>
      <c r="Q555">
        <v>2</v>
      </c>
      <c r="R555">
        <v>69</v>
      </c>
      <c r="S555">
        <v>169</v>
      </c>
      <c r="T555">
        <v>24</v>
      </c>
      <c r="U555">
        <v>1</v>
      </c>
      <c r="V555" s="53" t="str">
        <f>IFERROR(
IF(tbl_abs[[#This Row],[Month of absence]]=0,"Unknown",
CHOOSE(tbl_abs[[#This Row],[Month of absence]],
"Jan","Feb","Mar","Apr","May","Jun","Jul","Aug","Sep","Oct","Nov","Dec")),"")</f>
        <v>Sep</v>
      </c>
      <c r="W555" s="53" t="str">
        <f>IFERROR(
IF(tbl_abs[[#This Row],[Age]]&lt;30,"&lt;30",
IF(tbl_abs[[#This Row],[Age]]&lt;40,"30–39",
IF(tbl_abs[[#This Row],[Age]]&lt;50,"40–49",
IF(tbl_abs[[#This Row],[Age]]&lt;60,"50–59",
"60+")))),"")</f>
        <v>&lt;30</v>
      </c>
      <c r="X555" s="53" t="str">
        <f>IFERROR(
IF(tbl_abs[[#This Row],[Distance from Residence to Work]]&lt;=5,"0–5",
IF(tbl_abs[[#This Row],[Distance from Residence to Work]]&lt;=10,"6–10",
IF(tbl_abs[[#This Row],[Distance from Residence to Work]]&lt;=20,"11–20",
"21+"))),"")</f>
        <v>21+</v>
      </c>
      <c r="Y555" s="53" t="str">
        <f>IFERROR(
IF(tbl_abs[[#This Row],[Body Mass Index]]&lt;18.5,"Underweight",
IF(tbl_abs[[#This Row],[Body Mass Index]]&lt;25,"Normal",
IF(tbl_abs[[#This Row],[Body Mass Index]]&lt;30,"Overweight",
"Obese"))),"")</f>
        <v>Normal</v>
      </c>
      <c r="Z555" s="53" t="str">
        <f>IFERROR(
IF(tbl_abs[[#This Row],[Absenteeism time in hours]]&lt;=2,"0–2",
IF(tbl_abs[[#This Row],[Absenteeism time in hours]]&lt;=8,"3–8",
IF(tbl_abs[[#This Row],[Absenteeism time in hours]]&lt;=16,"9–16",
"17+"))),"")</f>
        <v>0–2</v>
      </c>
    </row>
    <row r="556" spans="1:26" ht="15" customHeight="1" x14ac:dyDescent="0.3">
      <c r="A556">
        <v>22</v>
      </c>
      <c r="B556">
        <v>23</v>
      </c>
      <c r="C556" s="1">
        <v>9</v>
      </c>
      <c r="D556">
        <v>2</v>
      </c>
      <c r="E556">
        <v>1</v>
      </c>
      <c r="F556">
        <v>179</v>
      </c>
      <c r="G556" s="1">
        <v>26</v>
      </c>
      <c r="H556">
        <v>9</v>
      </c>
      <c r="I556" s="1">
        <v>30</v>
      </c>
      <c r="J556" s="2">
        <v>261756</v>
      </c>
      <c r="K556">
        <v>87</v>
      </c>
      <c r="L556">
        <v>0</v>
      </c>
      <c r="M556">
        <v>3</v>
      </c>
      <c r="N556">
        <v>0</v>
      </c>
      <c r="O556">
        <v>0</v>
      </c>
      <c r="P556">
        <v>0</v>
      </c>
      <c r="Q556">
        <v>0</v>
      </c>
      <c r="R556">
        <v>56</v>
      </c>
      <c r="T556">
        <v>19</v>
      </c>
      <c r="U556">
        <v>2</v>
      </c>
      <c r="V556" s="53" t="str">
        <f>IFERROR(
IF(tbl_abs[[#This Row],[Month of absence]]=0,"Unknown",
CHOOSE(tbl_abs[[#This Row],[Month of absence]],
"Jan","Feb","Mar","Apr","May","Jun","Jul","Aug","Sep","Oct","Nov","Dec")),"")</f>
        <v>Sep</v>
      </c>
      <c r="W556" s="53" t="str">
        <f>IFERROR(
IF(tbl_abs[[#This Row],[Age]]&lt;30,"&lt;30",
IF(tbl_abs[[#This Row],[Age]]&lt;40,"30–39",
IF(tbl_abs[[#This Row],[Age]]&lt;50,"40–49",
IF(tbl_abs[[#This Row],[Age]]&lt;60,"50–59",
"60+")))),"")</f>
        <v>30–39</v>
      </c>
      <c r="X556" s="53" t="str">
        <f>IFERROR(
IF(tbl_abs[[#This Row],[Distance from Residence to Work]]&lt;=5,"0–5",
IF(tbl_abs[[#This Row],[Distance from Residence to Work]]&lt;=10,"6–10",
IF(tbl_abs[[#This Row],[Distance from Residence to Work]]&lt;=20,"11–20",
"21+"))),"")</f>
        <v>21+</v>
      </c>
      <c r="Y556" s="53" t="str">
        <f>IFERROR(
IF(tbl_abs[[#This Row],[Body Mass Index]]&lt;18.5,"Underweight",
IF(tbl_abs[[#This Row],[Body Mass Index]]&lt;25,"Normal",
IF(tbl_abs[[#This Row],[Body Mass Index]]&lt;30,"Overweight",
"Obese"))),"")</f>
        <v>Normal</v>
      </c>
      <c r="Z556" s="53" t="str">
        <f>IFERROR(
IF(tbl_abs[[#This Row],[Absenteeism time in hours]]&lt;=2,"0–2",
IF(tbl_abs[[#This Row],[Absenteeism time in hours]]&lt;=8,"3–8",
IF(tbl_abs[[#This Row],[Absenteeism time in hours]]&lt;=16,"9–16",
"17+"))),"")</f>
        <v>0–2</v>
      </c>
    </row>
    <row r="557" spans="1:26" ht="15" customHeight="1" x14ac:dyDescent="0.3">
      <c r="A557">
        <v>13</v>
      </c>
      <c r="B557">
        <v>23</v>
      </c>
      <c r="C557" s="1">
        <v>9</v>
      </c>
      <c r="D557">
        <v>3</v>
      </c>
      <c r="E557">
        <v>4</v>
      </c>
      <c r="F557">
        <v>369</v>
      </c>
      <c r="G557" s="1">
        <v>17</v>
      </c>
      <c r="H557">
        <v>12</v>
      </c>
      <c r="I557" s="1">
        <v>31</v>
      </c>
      <c r="J557" s="2">
        <v>261756</v>
      </c>
      <c r="K557">
        <v>87</v>
      </c>
      <c r="L557">
        <v>0</v>
      </c>
      <c r="M557">
        <v>1</v>
      </c>
      <c r="N557">
        <v>3</v>
      </c>
      <c r="O557">
        <v>1</v>
      </c>
      <c r="P557">
        <v>0</v>
      </c>
      <c r="Q557">
        <v>0</v>
      </c>
      <c r="R557">
        <v>70</v>
      </c>
      <c r="T557">
        <v>25</v>
      </c>
      <c r="U557">
        <v>8</v>
      </c>
      <c r="V557" s="53" t="str">
        <f>IFERROR(
IF(tbl_abs[[#This Row],[Month of absence]]=0,"Unknown",
CHOOSE(tbl_abs[[#This Row],[Month of absence]],
"Jan","Feb","Mar","Apr","May","Jun","Jul","Aug","Sep","Oct","Nov","Dec")),"")</f>
        <v>Sep</v>
      </c>
      <c r="W557" s="53" t="str">
        <f>IFERROR(
IF(tbl_abs[[#This Row],[Age]]&lt;30,"&lt;30",
IF(tbl_abs[[#This Row],[Age]]&lt;40,"30–39",
IF(tbl_abs[[#This Row],[Age]]&lt;50,"40–49",
IF(tbl_abs[[#This Row],[Age]]&lt;60,"50–59",
"60+")))),"")</f>
        <v>30–39</v>
      </c>
      <c r="X557" s="53" t="str">
        <f>IFERROR(
IF(tbl_abs[[#This Row],[Distance from Residence to Work]]&lt;=5,"0–5",
IF(tbl_abs[[#This Row],[Distance from Residence to Work]]&lt;=10,"6–10",
IF(tbl_abs[[#This Row],[Distance from Residence to Work]]&lt;=20,"11–20",
"21+"))),"")</f>
        <v>11–20</v>
      </c>
      <c r="Y557" s="53" t="str">
        <f>IFERROR(
IF(tbl_abs[[#This Row],[Body Mass Index]]&lt;18.5,"Underweight",
IF(tbl_abs[[#This Row],[Body Mass Index]]&lt;25,"Normal",
IF(tbl_abs[[#This Row],[Body Mass Index]]&lt;30,"Overweight",
"Obese"))),"")</f>
        <v>Overweight</v>
      </c>
      <c r="Z557" s="53" t="str">
        <f>IFERROR(
IF(tbl_abs[[#This Row],[Absenteeism time in hours]]&lt;=2,"0–2",
IF(tbl_abs[[#This Row],[Absenteeism time in hours]]&lt;=8,"3–8",
IF(tbl_abs[[#This Row],[Absenteeism time in hours]]&lt;=16,"9–16",
"17+"))),"")</f>
        <v>3–8</v>
      </c>
    </row>
    <row r="558" spans="1:26" ht="15" customHeight="1" x14ac:dyDescent="0.3">
      <c r="A558">
        <v>10</v>
      </c>
      <c r="B558">
        <v>22</v>
      </c>
      <c r="C558" s="1">
        <v>9</v>
      </c>
      <c r="D558">
        <v>3</v>
      </c>
      <c r="E558">
        <v>4</v>
      </c>
      <c r="F558">
        <v>361</v>
      </c>
      <c r="G558" s="1">
        <v>52</v>
      </c>
      <c r="H558">
        <v>3</v>
      </c>
      <c r="I558" s="1">
        <v>28</v>
      </c>
      <c r="J558" s="2">
        <v>261756</v>
      </c>
      <c r="K558">
        <v>87</v>
      </c>
      <c r="L558">
        <v>0</v>
      </c>
      <c r="M558">
        <v>1</v>
      </c>
      <c r="N558">
        <v>1</v>
      </c>
      <c r="O558">
        <v>1</v>
      </c>
      <c r="P558">
        <v>0</v>
      </c>
      <c r="Q558">
        <v>4</v>
      </c>
      <c r="R558">
        <v>80</v>
      </c>
      <c r="S558">
        <v>172</v>
      </c>
      <c r="T558">
        <v>27</v>
      </c>
      <c r="U558">
        <v>8</v>
      </c>
      <c r="V558" s="53" t="str">
        <f>IFERROR(
IF(tbl_abs[[#This Row],[Month of absence]]=0,"Unknown",
CHOOSE(tbl_abs[[#This Row],[Month of absence]],
"Jan","Feb","Mar","Apr","May","Jun","Jul","Aug","Sep","Oct","Nov","Dec")),"")</f>
        <v>Sep</v>
      </c>
      <c r="W558" s="53" t="str">
        <f>IFERROR(
IF(tbl_abs[[#This Row],[Age]]&lt;30,"&lt;30",
IF(tbl_abs[[#This Row],[Age]]&lt;40,"30–39",
IF(tbl_abs[[#This Row],[Age]]&lt;50,"40–49",
IF(tbl_abs[[#This Row],[Age]]&lt;60,"50–59",
"60+")))),"")</f>
        <v>&lt;30</v>
      </c>
      <c r="X558" s="53" t="str">
        <f>IFERROR(
IF(tbl_abs[[#This Row],[Distance from Residence to Work]]&lt;=5,"0–5",
IF(tbl_abs[[#This Row],[Distance from Residence to Work]]&lt;=10,"6–10",
IF(tbl_abs[[#This Row],[Distance from Residence to Work]]&lt;=20,"11–20",
"21+"))),"")</f>
        <v>21+</v>
      </c>
      <c r="Y558" s="53" t="str">
        <f>IFERROR(
IF(tbl_abs[[#This Row],[Body Mass Index]]&lt;18.5,"Underweight",
IF(tbl_abs[[#This Row],[Body Mass Index]]&lt;25,"Normal",
IF(tbl_abs[[#This Row],[Body Mass Index]]&lt;30,"Overweight",
"Obese"))),"")</f>
        <v>Overweight</v>
      </c>
      <c r="Z558" s="53" t="str">
        <f>IFERROR(
IF(tbl_abs[[#This Row],[Absenteeism time in hours]]&lt;=2,"0–2",
IF(tbl_abs[[#This Row],[Absenteeism time in hours]]&lt;=8,"3–8",
IF(tbl_abs[[#This Row],[Absenteeism time in hours]]&lt;=16,"9–16",
"17+"))),"")</f>
        <v>3–8</v>
      </c>
    </row>
    <row r="559" spans="1:26" ht="15" customHeight="1" x14ac:dyDescent="0.3">
      <c r="A559">
        <v>3</v>
      </c>
      <c r="B559">
        <v>23</v>
      </c>
      <c r="C559" s="1">
        <v>10</v>
      </c>
      <c r="D559">
        <v>3</v>
      </c>
      <c r="E559">
        <v>4</v>
      </c>
      <c r="F559">
        <v>179</v>
      </c>
      <c r="G559" s="1">
        <v>51</v>
      </c>
      <c r="H559">
        <v>18</v>
      </c>
      <c r="I559" s="1">
        <v>38</v>
      </c>
      <c r="J559" s="2">
        <v>253465</v>
      </c>
      <c r="K559">
        <v>93</v>
      </c>
      <c r="L559">
        <v>0</v>
      </c>
      <c r="M559">
        <v>1</v>
      </c>
      <c r="N559">
        <v>0</v>
      </c>
      <c r="O559">
        <v>1</v>
      </c>
      <c r="P559">
        <v>0</v>
      </c>
      <c r="Q559">
        <v>0</v>
      </c>
      <c r="R559">
        <v>89</v>
      </c>
      <c r="S559">
        <v>170</v>
      </c>
      <c r="T559">
        <v>31</v>
      </c>
      <c r="U559">
        <v>3</v>
      </c>
      <c r="V559" s="53" t="str">
        <f>IFERROR(
IF(tbl_abs[[#This Row],[Month of absence]]=0,"Unknown",
CHOOSE(tbl_abs[[#This Row],[Month of absence]],
"Jan","Feb","Mar","Apr","May","Jun","Jul","Aug","Sep","Oct","Nov","Dec")),"")</f>
        <v>Oct</v>
      </c>
      <c r="W559" s="53" t="str">
        <f>IFERROR(
IF(tbl_abs[[#This Row],[Age]]&lt;30,"&lt;30",
IF(tbl_abs[[#This Row],[Age]]&lt;40,"30–39",
IF(tbl_abs[[#This Row],[Age]]&lt;50,"40–49",
IF(tbl_abs[[#This Row],[Age]]&lt;60,"50–59",
"60+")))),"")</f>
        <v>30–39</v>
      </c>
      <c r="X559" s="53" t="str">
        <f>IFERROR(
IF(tbl_abs[[#This Row],[Distance from Residence to Work]]&lt;=5,"0–5",
IF(tbl_abs[[#This Row],[Distance from Residence to Work]]&lt;=10,"6–10",
IF(tbl_abs[[#This Row],[Distance from Residence to Work]]&lt;=20,"11–20",
"21+"))),"")</f>
        <v>21+</v>
      </c>
      <c r="Y559" s="53" t="str">
        <f>IFERROR(
IF(tbl_abs[[#This Row],[Body Mass Index]]&lt;18.5,"Underweight",
IF(tbl_abs[[#This Row],[Body Mass Index]]&lt;25,"Normal",
IF(tbl_abs[[#This Row],[Body Mass Index]]&lt;30,"Overweight",
"Obese"))),"")</f>
        <v>Obese</v>
      </c>
      <c r="Z559" s="53" t="str">
        <f>IFERROR(
IF(tbl_abs[[#This Row],[Absenteeism time in hours]]&lt;=2,"0–2",
IF(tbl_abs[[#This Row],[Absenteeism time in hours]]&lt;=8,"3–8",
IF(tbl_abs[[#This Row],[Absenteeism time in hours]]&lt;=16,"9–16",
"17+"))),"")</f>
        <v>3–8</v>
      </c>
    </row>
    <row r="560" spans="1:26" ht="15" customHeight="1" x14ac:dyDescent="0.3">
      <c r="A560">
        <v>34</v>
      </c>
      <c r="B560">
        <v>23</v>
      </c>
      <c r="C560" s="1">
        <v>10</v>
      </c>
      <c r="D560">
        <v>3</v>
      </c>
      <c r="E560">
        <v>4</v>
      </c>
      <c r="F560">
        <v>118</v>
      </c>
      <c r="G560" s="1">
        <v>10</v>
      </c>
      <c r="H560">
        <v>10</v>
      </c>
      <c r="I560" s="1">
        <v>37</v>
      </c>
      <c r="J560" s="2">
        <v>253465</v>
      </c>
      <c r="K560">
        <v>93</v>
      </c>
      <c r="L560">
        <v>0</v>
      </c>
      <c r="M560">
        <v>1</v>
      </c>
      <c r="N560">
        <v>0</v>
      </c>
      <c r="O560">
        <v>0</v>
      </c>
      <c r="P560">
        <v>0</v>
      </c>
      <c r="Q560">
        <v>0</v>
      </c>
      <c r="R560">
        <v>83</v>
      </c>
      <c r="S560">
        <v>172</v>
      </c>
      <c r="T560">
        <v>28</v>
      </c>
      <c r="V560" s="53" t="str">
        <f>IFERROR(
IF(tbl_abs[[#This Row],[Month of absence]]=0,"Unknown",
CHOOSE(tbl_abs[[#This Row],[Month of absence]],
"Jan","Feb","Mar","Apr","May","Jun","Jul","Aug","Sep","Oct","Nov","Dec")),"")</f>
        <v>Oct</v>
      </c>
      <c r="W560" s="53" t="str">
        <f>IFERROR(
IF(tbl_abs[[#This Row],[Age]]&lt;30,"&lt;30",
IF(tbl_abs[[#This Row],[Age]]&lt;40,"30–39",
IF(tbl_abs[[#This Row],[Age]]&lt;50,"40–49",
IF(tbl_abs[[#This Row],[Age]]&lt;60,"50–59",
"60+")))),"")</f>
        <v>30–39</v>
      </c>
      <c r="X560" s="53" t="str">
        <f>IFERROR(
IF(tbl_abs[[#This Row],[Distance from Residence to Work]]&lt;=5,"0–5",
IF(tbl_abs[[#This Row],[Distance from Residence to Work]]&lt;=10,"6–10",
IF(tbl_abs[[#This Row],[Distance from Residence to Work]]&lt;=20,"11–20",
"21+"))),"")</f>
        <v>6–10</v>
      </c>
      <c r="Y560" s="53" t="str">
        <f>IFERROR(
IF(tbl_abs[[#This Row],[Body Mass Index]]&lt;18.5,"Underweight",
IF(tbl_abs[[#This Row],[Body Mass Index]]&lt;25,"Normal",
IF(tbl_abs[[#This Row],[Body Mass Index]]&lt;30,"Overweight",
"Obese"))),"")</f>
        <v>Overweight</v>
      </c>
      <c r="Z560" s="53" t="str">
        <f>IFERROR(
IF(tbl_abs[[#This Row],[Absenteeism time in hours]]&lt;=2,"0–2",
IF(tbl_abs[[#This Row],[Absenteeism time in hours]]&lt;=8,"3–8",
IF(tbl_abs[[#This Row],[Absenteeism time in hours]]&lt;=16,"9–16",
"17+"))),"")</f>
        <v>0–2</v>
      </c>
    </row>
    <row r="561" spans="1:26" ht="15" customHeight="1" x14ac:dyDescent="0.3">
      <c r="A561">
        <v>36</v>
      </c>
      <c r="B561">
        <v>0</v>
      </c>
      <c r="C561" s="1">
        <v>10</v>
      </c>
      <c r="D561">
        <v>4</v>
      </c>
      <c r="E561">
        <v>4</v>
      </c>
      <c r="F561">
        <v>118</v>
      </c>
      <c r="G561" s="1">
        <v>13</v>
      </c>
      <c r="H561">
        <v>18</v>
      </c>
      <c r="I561" s="1">
        <v>50</v>
      </c>
      <c r="J561" s="2">
        <v>253465</v>
      </c>
      <c r="K561">
        <v>93</v>
      </c>
      <c r="L561">
        <v>1</v>
      </c>
      <c r="M561">
        <v>1</v>
      </c>
      <c r="N561">
        <v>1</v>
      </c>
      <c r="O561">
        <v>1</v>
      </c>
      <c r="P561">
        <v>0</v>
      </c>
      <c r="Q561">
        <v>0</v>
      </c>
      <c r="R561">
        <v>98</v>
      </c>
      <c r="S561">
        <v>178</v>
      </c>
      <c r="V561" s="53" t="str">
        <f>IFERROR(
IF(tbl_abs[[#This Row],[Month of absence]]=0,"Unknown",
CHOOSE(tbl_abs[[#This Row],[Month of absence]],
"Jan","Feb","Mar","Apr","May","Jun","Jul","Aug","Sep","Oct","Nov","Dec")),"")</f>
        <v>Oct</v>
      </c>
      <c r="W561" s="53" t="str">
        <f>IFERROR(
IF(tbl_abs[[#This Row],[Age]]&lt;30,"&lt;30",
IF(tbl_abs[[#This Row],[Age]]&lt;40,"30–39",
IF(tbl_abs[[#This Row],[Age]]&lt;50,"40–49",
IF(tbl_abs[[#This Row],[Age]]&lt;60,"50–59",
"60+")))),"")</f>
        <v>50–59</v>
      </c>
      <c r="X561" s="53" t="str">
        <f>IFERROR(
IF(tbl_abs[[#This Row],[Distance from Residence to Work]]&lt;=5,"0–5",
IF(tbl_abs[[#This Row],[Distance from Residence to Work]]&lt;=10,"6–10",
IF(tbl_abs[[#This Row],[Distance from Residence to Work]]&lt;=20,"11–20",
"21+"))),"")</f>
        <v>11–20</v>
      </c>
      <c r="Y561" s="53" t="str">
        <f>IFERROR(
IF(tbl_abs[[#This Row],[Body Mass Index]]&lt;18.5,"Underweight",
IF(tbl_abs[[#This Row],[Body Mass Index]]&lt;25,"Normal",
IF(tbl_abs[[#This Row],[Body Mass Index]]&lt;30,"Overweight",
"Obese"))),"")</f>
        <v>Underweight</v>
      </c>
      <c r="Z561" s="53" t="str">
        <f>IFERROR(
IF(tbl_abs[[#This Row],[Absenteeism time in hours]]&lt;=2,"0–2",
IF(tbl_abs[[#This Row],[Absenteeism time in hours]]&lt;=8,"3–8",
IF(tbl_abs[[#This Row],[Absenteeism time in hours]]&lt;=16,"9–16",
"17+"))),"")</f>
        <v>0–2</v>
      </c>
    </row>
    <row r="562" spans="1:26" ht="15" customHeight="1" x14ac:dyDescent="0.3">
      <c r="A562">
        <v>22</v>
      </c>
      <c r="B562">
        <v>23</v>
      </c>
      <c r="C562" s="1">
        <v>10</v>
      </c>
      <c r="D562">
        <v>5</v>
      </c>
      <c r="E562">
        <v>4</v>
      </c>
      <c r="H562">
        <v>9</v>
      </c>
      <c r="I562" s="1">
        <v>30</v>
      </c>
      <c r="J562" s="2">
        <v>253465</v>
      </c>
      <c r="K562">
        <v>93</v>
      </c>
      <c r="L562">
        <v>0</v>
      </c>
      <c r="M562">
        <v>3</v>
      </c>
      <c r="N562">
        <v>0</v>
      </c>
      <c r="O562">
        <v>0</v>
      </c>
      <c r="P562">
        <v>0</v>
      </c>
      <c r="Q562">
        <v>0</v>
      </c>
      <c r="R562">
        <v>56</v>
      </c>
      <c r="S562">
        <v>171</v>
      </c>
      <c r="T562">
        <v>19</v>
      </c>
      <c r="U562">
        <v>1</v>
      </c>
      <c r="V562" s="53" t="str">
        <f>IFERROR(
IF(tbl_abs[[#This Row],[Month of absence]]=0,"Unknown",
CHOOSE(tbl_abs[[#This Row],[Month of absence]],
"Jan","Feb","Mar","Apr","May","Jun","Jul","Aug","Sep","Oct","Nov","Dec")),"")</f>
        <v>Oct</v>
      </c>
      <c r="W562" s="53" t="str">
        <f>IFERROR(
IF(tbl_abs[[#This Row],[Age]]&lt;30,"&lt;30",
IF(tbl_abs[[#This Row],[Age]]&lt;40,"30–39",
IF(tbl_abs[[#This Row],[Age]]&lt;50,"40–49",
IF(tbl_abs[[#This Row],[Age]]&lt;60,"50–59",
"60+")))),"")</f>
        <v>30–39</v>
      </c>
      <c r="X562" s="53" t="str">
        <f>IFERROR(
IF(tbl_abs[[#This Row],[Distance from Residence to Work]]&lt;=5,"0–5",
IF(tbl_abs[[#This Row],[Distance from Residence to Work]]&lt;=10,"6–10",
IF(tbl_abs[[#This Row],[Distance from Residence to Work]]&lt;=20,"11–20",
"21+"))),"")</f>
        <v>0–5</v>
      </c>
      <c r="Y562" s="53" t="str">
        <f>IFERROR(
IF(tbl_abs[[#This Row],[Body Mass Index]]&lt;18.5,"Underweight",
IF(tbl_abs[[#This Row],[Body Mass Index]]&lt;25,"Normal",
IF(tbl_abs[[#This Row],[Body Mass Index]]&lt;30,"Overweight",
"Obese"))),"")</f>
        <v>Normal</v>
      </c>
      <c r="Z562" s="53" t="str">
        <f>IFERROR(
IF(tbl_abs[[#This Row],[Absenteeism time in hours]]&lt;=2,"0–2",
IF(tbl_abs[[#This Row],[Absenteeism time in hours]]&lt;=8,"3–8",
IF(tbl_abs[[#This Row],[Absenteeism time in hours]]&lt;=16,"9–16",
"17+"))),"")</f>
        <v>0–2</v>
      </c>
    </row>
    <row r="563" spans="1:26" ht="15" customHeight="1" x14ac:dyDescent="0.3">
      <c r="A563">
        <v>28</v>
      </c>
      <c r="B563">
        <v>23</v>
      </c>
      <c r="C563" s="1">
        <v>10</v>
      </c>
      <c r="D563">
        <v>6</v>
      </c>
      <c r="E563">
        <v>4</v>
      </c>
      <c r="F563">
        <v>225</v>
      </c>
      <c r="G563" s="1">
        <v>26</v>
      </c>
      <c r="H563">
        <v>9</v>
      </c>
      <c r="I563" s="1">
        <v>28</v>
      </c>
      <c r="J563" s="2">
        <v>253465</v>
      </c>
      <c r="K563">
        <v>93</v>
      </c>
      <c r="L563">
        <v>0</v>
      </c>
      <c r="M563">
        <v>1</v>
      </c>
      <c r="N563">
        <v>1</v>
      </c>
      <c r="O563">
        <v>0</v>
      </c>
      <c r="P563">
        <v>0</v>
      </c>
      <c r="Q563">
        <v>2</v>
      </c>
      <c r="R563">
        <v>69</v>
      </c>
      <c r="S563">
        <v>169</v>
      </c>
      <c r="T563">
        <v>24</v>
      </c>
      <c r="U563">
        <v>3</v>
      </c>
      <c r="V563" s="53" t="str">
        <f>IFERROR(
IF(tbl_abs[[#This Row],[Month of absence]]=0,"Unknown",
CHOOSE(tbl_abs[[#This Row],[Month of absence]],
"Jan","Feb","Mar","Apr","May","Jun","Jul","Aug","Sep","Oct","Nov","Dec")),"")</f>
        <v>Oct</v>
      </c>
      <c r="W563" s="53" t="str">
        <f>IFERROR(
IF(tbl_abs[[#This Row],[Age]]&lt;30,"&lt;30",
IF(tbl_abs[[#This Row],[Age]]&lt;40,"30–39",
IF(tbl_abs[[#This Row],[Age]]&lt;50,"40–49",
IF(tbl_abs[[#This Row],[Age]]&lt;60,"50–59",
"60+")))),"")</f>
        <v>&lt;30</v>
      </c>
      <c r="X563" s="53" t="str">
        <f>IFERROR(
IF(tbl_abs[[#This Row],[Distance from Residence to Work]]&lt;=5,"0–5",
IF(tbl_abs[[#This Row],[Distance from Residence to Work]]&lt;=10,"6–10",
IF(tbl_abs[[#This Row],[Distance from Residence to Work]]&lt;=20,"11–20",
"21+"))),"")</f>
        <v>21+</v>
      </c>
      <c r="Y563" s="53" t="str">
        <f>IFERROR(
IF(tbl_abs[[#This Row],[Body Mass Index]]&lt;18.5,"Underweight",
IF(tbl_abs[[#This Row],[Body Mass Index]]&lt;25,"Normal",
IF(tbl_abs[[#This Row],[Body Mass Index]]&lt;30,"Overweight",
"Obese"))),"")</f>
        <v>Normal</v>
      </c>
      <c r="Z563" s="53" t="str">
        <f>IFERROR(
IF(tbl_abs[[#This Row],[Absenteeism time in hours]]&lt;=2,"0–2",
IF(tbl_abs[[#This Row],[Absenteeism time in hours]]&lt;=8,"3–8",
IF(tbl_abs[[#This Row],[Absenteeism time in hours]]&lt;=16,"9–16",
"17+"))),"")</f>
        <v>3–8</v>
      </c>
    </row>
    <row r="564" spans="1:26" ht="15" customHeight="1" x14ac:dyDescent="0.3">
      <c r="A564">
        <v>34</v>
      </c>
      <c r="B564">
        <v>23</v>
      </c>
      <c r="C564" s="1">
        <v>10</v>
      </c>
      <c r="D564">
        <v>3</v>
      </c>
      <c r="E564">
        <v>4</v>
      </c>
      <c r="F564">
        <v>118</v>
      </c>
      <c r="G564" s="1">
        <v>10</v>
      </c>
      <c r="H564">
        <v>10</v>
      </c>
      <c r="I564" s="1">
        <v>37</v>
      </c>
      <c r="J564" s="2">
        <v>253465</v>
      </c>
      <c r="K564">
        <v>93</v>
      </c>
      <c r="L564">
        <v>0</v>
      </c>
      <c r="M564">
        <v>1</v>
      </c>
      <c r="N564">
        <v>0</v>
      </c>
      <c r="O564">
        <v>0</v>
      </c>
      <c r="P564">
        <v>0</v>
      </c>
      <c r="Q564">
        <v>0</v>
      </c>
      <c r="R564">
        <v>83</v>
      </c>
      <c r="S564">
        <v>172</v>
      </c>
      <c r="T564">
        <v>28</v>
      </c>
      <c r="U564">
        <v>3</v>
      </c>
      <c r="V564" s="53" t="str">
        <f>IFERROR(
IF(tbl_abs[[#This Row],[Month of absence]]=0,"Unknown",
CHOOSE(tbl_abs[[#This Row],[Month of absence]],
"Jan","Feb","Mar","Apr","May","Jun","Jul","Aug","Sep","Oct","Nov","Dec")),"")</f>
        <v>Oct</v>
      </c>
      <c r="W564" s="53" t="str">
        <f>IFERROR(
IF(tbl_abs[[#This Row],[Age]]&lt;30,"&lt;30",
IF(tbl_abs[[#This Row],[Age]]&lt;40,"30–39",
IF(tbl_abs[[#This Row],[Age]]&lt;50,"40–49",
IF(tbl_abs[[#This Row],[Age]]&lt;60,"50–59",
"60+")))),"")</f>
        <v>30–39</v>
      </c>
      <c r="X564" s="53" t="str">
        <f>IFERROR(
IF(tbl_abs[[#This Row],[Distance from Residence to Work]]&lt;=5,"0–5",
IF(tbl_abs[[#This Row],[Distance from Residence to Work]]&lt;=10,"6–10",
IF(tbl_abs[[#This Row],[Distance from Residence to Work]]&lt;=20,"11–20",
"21+"))),"")</f>
        <v>6–10</v>
      </c>
      <c r="Y564" s="53" t="str">
        <f>IFERROR(
IF(tbl_abs[[#This Row],[Body Mass Index]]&lt;18.5,"Underweight",
IF(tbl_abs[[#This Row],[Body Mass Index]]&lt;25,"Normal",
IF(tbl_abs[[#This Row],[Body Mass Index]]&lt;30,"Overweight",
"Obese"))),"")</f>
        <v>Overweight</v>
      </c>
      <c r="Z564" s="53" t="str">
        <f>IFERROR(
IF(tbl_abs[[#This Row],[Absenteeism time in hours]]&lt;=2,"0–2",
IF(tbl_abs[[#This Row],[Absenteeism time in hours]]&lt;=8,"3–8",
IF(tbl_abs[[#This Row],[Absenteeism time in hours]]&lt;=16,"9–16",
"17+"))),"")</f>
        <v>3–8</v>
      </c>
    </row>
    <row r="565" spans="1:26" ht="15" customHeight="1" x14ac:dyDescent="0.3">
      <c r="A565">
        <v>28</v>
      </c>
      <c r="B565">
        <v>23</v>
      </c>
      <c r="C565" s="1">
        <v>10</v>
      </c>
      <c r="D565">
        <v>4</v>
      </c>
      <c r="E565">
        <v>4</v>
      </c>
      <c r="F565">
        <v>225</v>
      </c>
      <c r="G565" s="1">
        <v>26</v>
      </c>
      <c r="H565">
        <v>9</v>
      </c>
      <c r="I565" s="1">
        <v>28</v>
      </c>
      <c r="J565" s="2">
        <v>253465</v>
      </c>
      <c r="K565">
        <v>93</v>
      </c>
      <c r="L565">
        <v>0</v>
      </c>
      <c r="M565">
        <v>1</v>
      </c>
      <c r="N565">
        <v>1</v>
      </c>
      <c r="O565">
        <v>0</v>
      </c>
      <c r="P565">
        <v>0</v>
      </c>
      <c r="Q565">
        <v>2</v>
      </c>
      <c r="R565">
        <v>69</v>
      </c>
      <c r="S565">
        <v>169</v>
      </c>
      <c r="T565">
        <v>24</v>
      </c>
      <c r="U565">
        <v>2</v>
      </c>
      <c r="V565" s="53" t="str">
        <f>IFERROR(
IF(tbl_abs[[#This Row],[Month of absence]]=0,"Unknown",
CHOOSE(tbl_abs[[#This Row],[Month of absence]],
"Jan","Feb","Mar","Apr","May","Jun","Jul","Aug","Sep","Oct","Nov","Dec")),"")</f>
        <v>Oct</v>
      </c>
      <c r="W565" s="53" t="str">
        <f>IFERROR(
IF(tbl_abs[[#This Row],[Age]]&lt;30,"&lt;30",
IF(tbl_abs[[#This Row],[Age]]&lt;40,"30–39",
IF(tbl_abs[[#This Row],[Age]]&lt;50,"40–49",
IF(tbl_abs[[#This Row],[Age]]&lt;60,"50–59",
"60+")))),"")</f>
        <v>&lt;30</v>
      </c>
      <c r="X565" s="53" t="str">
        <f>IFERROR(
IF(tbl_abs[[#This Row],[Distance from Residence to Work]]&lt;=5,"0–5",
IF(tbl_abs[[#This Row],[Distance from Residence to Work]]&lt;=10,"6–10",
IF(tbl_abs[[#This Row],[Distance from Residence to Work]]&lt;=20,"11–20",
"21+"))),"")</f>
        <v>21+</v>
      </c>
      <c r="Y565" s="53" t="str">
        <f>IFERROR(
IF(tbl_abs[[#This Row],[Body Mass Index]]&lt;18.5,"Underweight",
IF(tbl_abs[[#This Row],[Body Mass Index]]&lt;25,"Normal",
IF(tbl_abs[[#This Row],[Body Mass Index]]&lt;30,"Overweight",
"Obese"))),"")</f>
        <v>Normal</v>
      </c>
      <c r="Z565" s="53" t="str">
        <f>IFERROR(
IF(tbl_abs[[#This Row],[Absenteeism time in hours]]&lt;=2,"0–2",
IF(tbl_abs[[#This Row],[Absenteeism time in hours]]&lt;=8,"3–8",
IF(tbl_abs[[#This Row],[Absenteeism time in hours]]&lt;=16,"9–16",
"17+"))),"")</f>
        <v>0–2</v>
      </c>
    </row>
    <row r="566" spans="1:26" ht="15" customHeight="1" x14ac:dyDescent="0.3">
      <c r="A566">
        <v>33</v>
      </c>
      <c r="B566">
        <v>23</v>
      </c>
      <c r="C566" s="1">
        <v>10</v>
      </c>
      <c r="D566">
        <v>4</v>
      </c>
      <c r="E566">
        <v>4</v>
      </c>
      <c r="F566">
        <v>248</v>
      </c>
      <c r="G566" s="1">
        <v>25</v>
      </c>
      <c r="H566">
        <v>14</v>
      </c>
      <c r="I566" s="1">
        <v>47</v>
      </c>
      <c r="J566" s="2">
        <v>253465</v>
      </c>
      <c r="K566">
        <v>93</v>
      </c>
      <c r="L566">
        <v>0</v>
      </c>
      <c r="M566">
        <v>1</v>
      </c>
      <c r="N566">
        <v>2</v>
      </c>
      <c r="O566">
        <v>0</v>
      </c>
      <c r="P566">
        <v>0</v>
      </c>
      <c r="Q566">
        <v>1</v>
      </c>
      <c r="R566">
        <v>86</v>
      </c>
      <c r="S566">
        <v>165</v>
      </c>
      <c r="T566">
        <v>32</v>
      </c>
      <c r="U566">
        <v>2</v>
      </c>
      <c r="V566" s="53" t="str">
        <f>IFERROR(
IF(tbl_abs[[#This Row],[Month of absence]]=0,"Unknown",
CHOOSE(tbl_abs[[#This Row],[Month of absence]],
"Jan","Feb","Mar","Apr","May","Jun","Jul","Aug","Sep","Oct","Nov","Dec")),"")</f>
        <v>Oct</v>
      </c>
      <c r="W566" s="53" t="str">
        <f>IFERROR(
IF(tbl_abs[[#This Row],[Age]]&lt;30,"&lt;30",
IF(tbl_abs[[#This Row],[Age]]&lt;40,"30–39",
IF(tbl_abs[[#This Row],[Age]]&lt;50,"40–49",
IF(tbl_abs[[#This Row],[Age]]&lt;60,"50–59",
"60+")))),"")</f>
        <v>40–49</v>
      </c>
      <c r="X566" s="53" t="str">
        <f>IFERROR(
IF(tbl_abs[[#This Row],[Distance from Residence to Work]]&lt;=5,"0–5",
IF(tbl_abs[[#This Row],[Distance from Residence to Work]]&lt;=10,"6–10",
IF(tbl_abs[[#This Row],[Distance from Residence to Work]]&lt;=20,"11–20",
"21+"))),"")</f>
        <v>21+</v>
      </c>
      <c r="Y566" s="53" t="str">
        <f>IFERROR(
IF(tbl_abs[[#This Row],[Body Mass Index]]&lt;18.5,"Underweight",
IF(tbl_abs[[#This Row],[Body Mass Index]]&lt;25,"Normal",
IF(tbl_abs[[#This Row],[Body Mass Index]]&lt;30,"Overweight",
"Obese"))),"")</f>
        <v>Obese</v>
      </c>
      <c r="Z566" s="53" t="str">
        <f>IFERROR(
IF(tbl_abs[[#This Row],[Absenteeism time in hours]]&lt;=2,"0–2",
IF(tbl_abs[[#This Row],[Absenteeism time in hours]]&lt;=8,"3–8",
IF(tbl_abs[[#This Row],[Absenteeism time in hours]]&lt;=16,"9–16",
"17+"))),"")</f>
        <v>0–2</v>
      </c>
    </row>
    <row r="567" spans="1:26" ht="15" customHeight="1" x14ac:dyDescent="0.3">
      <c r="A567">
        <v>15</v>
      </c>
      <c r="B567">
        <v>23</v>
      </c>
      <c r="C567" s="1">
        <v>10</v>
      </c>
      <c r="D567">
        <v>5</v>
      </c>
      <c r="E567">
        <v>4</v>
      </c>
      <c r="F567">
        <v>291</v>
      </c>
      <c r="G567" s="1">
        <v>31</v>
      </c>
      <c r="H567">
        <v>12</v>
      </c>
      <c r="I567" s="1">
        <v>40</v>
      </c>
      <c r="J567" s="2">
        <v>253465</v>
      </c>
      <c r="K567">
        <v>93</v>
      </c>
      <c r="L567">
        <v>0</v>
      </c>
      <c r="M567">
        <v>1</v>
      </c>
      <c r="N567">
        <v>1</v>
      </c>
      <c r="O567">
        <v>1</v>
      </c>
      <c r="P567">
        <v>0</v>
      </c>
      <c r="Q567">
        <v>1</v>
      </c>
      <c r="R567">
        <v>73</v>
      </c>
      <c r="S567">
        <v>171</v>
      </c>
      <c r="T567">
        <v>25</v>
      </c>
      <c r="U567">
        <v>5</v>
      </c>
      <c r="V567" s="53" t="str">
        <f>IFERROR(
IF(tbl_abs[[#This Row],[Month of absence]]=0,"Unknown",
CHOOSE(tbl_abs[[#This Row],[Month of absence]],
"Jan","Feb","Mar","Apr","May","Jun","Jul","Aug","Sep","Oct","Nov","Dec")),"")</f>
        <v>Oct</v>
      </c>
      <c r="W567" s="53" t="str">
        <f>IFERROR(
IF(tbl_abs[[#This Row],[Age]]&lt;30,"&lt;30",
IF(tbl_abs[[#This Row],[Age]]&lt;40,"30–39",
IF(tbl_abs[[#This Row],[Age]]&lt;50,"40–49",
IF(tbl_abs[[#This Row],[Age]]&lt;60,"50–59",
"60+")))),"")</f>
        <v>40–49</v>
      </c>
      <c r="X567" s="53" t="str">
        <f>IFERROR(
IF(tbl_abs[[#This Row],[Distance from Residence to Work]]&lt;=5,"0–5",
IF(tbl_abs[[#This Row],[Distance from Residence to Work]]&lt;=10,"6–10",
IF(tbl_abs[[#This Row],[Distance from Residence to Work]]&lt;=20,"11–20",
"21+"))),"")</f>
        <v>21+</v>
      </c>
      <c r="Y567" s="53" t="str">
        <f>IFERROR(
IF(tbl_abs[[#This Row],[Body Mass Index]]&lt;18.5,"Underweight",
IF(tbl_abs[[#This Row],[Body Mass Index]]&lt;25,"Normal",
IF(tbl_abs[[#This Row],[Body Mass Index]]&lt;30,"Overweight",
"Obese"))),"")</f>
        <v>Overweight</v>
      </c>
      <c r="Z567" s="53" t="str">
        <f>IFERROR(
IF(tbl_abs[[#This Row],[Absenteeism time in hours]]&lt;=2,"0–2",
IF(tbl_abs[[#This Row],[Absenteeism time in hours]]&lt;=8,"3–8",
IF(tbl_abs[[#This Row],[Absenteeism time in hours]]&lt;=16,"9–16",
"17+"))),"")</f>
        <v>3–8</v>
      </c>
    </row>
    <row r="568" spans="1:26" ht="15" customHeight="1" x14ac:dyDescent="0.3">
      <c r="A568">
        <v>3</v>
      </c>
      <c r="B568">
        <v>23</v>
      </c>
      <c r="C568" s="1">
        <v>10</v>
      </c>
      <c r="D568">
        <v>4</v>
      </c>
      <c r="E568">
        <v>4</v>
      </c>
      <c r="F568">
        <v>179</v>
      </c>
      <c r="G568" s="1">
        <v>51</v>
      </c>
      <c r="H568">
        <v>18</v>
      </c>
      <c r="I568" s="1">
        <v>38</v>
      </c>
      <c r="J568" s="2">
        <v>253465</v>
      </c>
      <c r="K568">
        <v>93</v>
      </c>
      <c r="L568">
        <v>0</v>
      </c>
      <c r="M568">
        <v>1</v>
      </c>
      <c r="N568">
        <v>0</v>
      </c>
      <c r="O568">
        <v>1</v>
      </c>
      <c r="P568">
        <v>0</v>
      </c>
      <c r="Q568">
        <v>0</v>
      </c>
      <c r="R568">
        <v>89</v>
      </c>
      <c r="S568">
        <v>170</v>
      </c>
      <c r="T568">
        <v>31</v>
      </c>
      <c r="U568">
        <v>8</v>
      </c>
      <c r="V568" s="53" t="str">
        <f>IFERROR(
IF(tbl_abs[[#This Row],[Month of absence]]=0,"Unknown",
CHOOSE(tbl_abs[[#This Row],[Month of absence]],
"Jan","Feb","Mar","Apr","May","Jun","Jul","Aug","Sep","Oct","Nov","Dec")),"")</f>
        <v>Oct</v>
      </c>
      <c r="W568" s="53" t="str">
        <f>IFERROR(
IF(tbl_abs[[#This Row],[Age]]&lt;30,"&lt;30",
IF(tbl_abs[[#This Row],[Age]]&lt;40,"30–39",
IF(tbl_abs[[#This Row],[Age]]&lt;50,"40–49",
IF(tbl_abs[[#This Row],[Age]]&lt;60,"50–59",
"60+")))),"")</f>
        <v>30–39</v>
      </c>
      <c r="X568" s="53" t="str">
        <f>IFERROR(
IF(tbl_abs[[#This Row],[Distance from Residence to Work]]&lt;=5,"0–5",
IF(tbl_abs[[#This Row],[Distance from Residence to Work]]&lt;=10,"6–10",
IF(tbl_abs[[#This Row],[Distance from Residence to Work]]&lt;=20,"11–20",
"21+"))),"")</f>
        <v>21+</v>
      </c>
      <c r="Y568" s="53" t="str">
        <f>IFERROR(
IF(tbl_abs[[#This Row],[Body Mass Index]]&lt;18.5,"Underweight",
IF(tbl_abs[[#This Row],[Body Mass Index]]&lt;25,"Normal",
IF(tbl_abs[[#This Row],[Body Mass Index]]&lt;30,"Overweight",
"Obese"))),"")</f>
        <v>Obese</v>
      </c>
      <c r="Z568" s="53" t="str">
        <f>IFERROR(
IF(tbl_abs[[#This Row],[Absenteeism time in hours]]&lt;=2,"0–2",
IF(tbl_abs[[#This Row],[Absenteeism time in hours]]&lt;=8,"3–8",
IF(tbl_abs[[#This Row],[Absenteeism time in hours]]&lt;=16,"9–16",
"17+"))),"")</f>
        <v>3–8</v>
      </c>
    </row>
    <row r="569" spans="1:26" ht="15" customHeight="1" x14ac:dyDescent="0.3">
      <c r="A569">
        <v>28</v>
      </c>
      <c r="B569">
        <v>23</v>
      </c>
      <c r="C569" s="1">
        <v>10</v>
      </c>
      <c r="D569">
        <v>4</v>
      </c>
      <c r="E569">
        <v>4</v>
      </c>
      <c r="F569">
        <v>225</v>
      </c>
      <c r="G569" s="1">
        <v>26</v>
      </c>
      <c r="H569">
        <v>9</v>
      </c>
      <c r="I569" s="1">
        <v>28</v>
      </c>
      <c r="J569" s="2">
        <v>253465</v>
      </c>
      <c r="K569">
        <v>93</v>
      </c>
      <c r="L569">
        <v>0</v>
      </c>
      <c r="M569">
        <v>1</v>
      </c>
      <c r="N569">
        <v>1</v>
      </c>
      <c r="O569">
        <v>0</v>
      </c>
      <c r="P569">
        <v>0</v>
      </c>
      <c r="Q569">
        <v>2</v>
      </c>
      <c r="R569">
        <v>69</v>
      </c>
      <c r="S569">
        <v>169</v>
      </c>
      <c r="T569">
        <v>24</v>
      </c>
      <c r="U569">
        <v>3</v>
      </c>
      <c r="V569" s="53" t="str">
        <f>IFERROR(
IF(tbl_abs[[#This Row],[Month of absence]]=0,"Unknown",
CHOOSE(tbl_abs[[#This Row],[Month of absence]],
"Jan","Feb","Mar","Apr","May","Jun","Jul","Aug","Sep","Oct","Nov","Dec")),"")</f>
        <v>Oct</v>
      </c>
      <c r="W569" s="53" t="str">
        <f>IFERROR(
IF(tbl_abs[[#This Row],[Age]]&lt;30,"&lt;30",
IF(tbl_abs[[#This Row],[Age]]&lt;40,"30–39",
IF(tbl_abs[[#This Row],[Age]]&lt;50,"40–49",
IF(tbl_abs[[#This Row],[Age]]&lt;60,"50–59",
"60+")))),"")</f>
        <v>&lt;30</v>
      </c>
      <c r="X569" s="53" t="str">
        <f>IFERROR(
IF(tbl_abs[[#This Row],[Distance from Residence to Work]]&lt;=5,"0–5",
IF(tbl_abs[[#This Row],[Distance from Residence to Work]]&lt;=10,"6–10",
IF(tbl_abs[[#This Row],[Distance from Residence to Work]]&lt;=20,"11–20",
"21+"))),"")</f>
        <v>21+</v>
      </c>
      <c r="Y569" s="53" t="str">
        <f>IFERROR(
IF(tbl_abs[[#This Row],[Body Mass Index]]&lt;18.5,"Underweight",
IF(tbl_abs[[#This Row],[Body Mass Index]]&lt;25,"Normal",
IF(tbl_abs[[#This Row],[Body Mass Index]]&lt;30,"Overweight",
"Obese"))),"")</f>
        <v>Normal</v>
      </c>
      <c r="Z569" s="53" t="str">
        <f>IFERROR(
IF(tbl_abs[[#This Row],[Absenteeism time in hours]]&lt;=2,"0–2",
IF(tbl_abs[[#This Row],[Absenteeism time in hours]]&lt;=8,"3–8",
IF(tbl_abs[[#This Row],[Absenteeism time in hours]]&lt;=16,"9–16",
"17+"))),"")</f>
        <v>3–8</v>
      </c>
    </row>
    <row r="570" spans="1:26" ht="15" customHeight="1" x14ac:dyDescent="0.3">
      <c r="A570">
        <v>20</v>
      </c>
      <c r="B570">
        <v>19</v>
      </c>
      <c r="C570" s="1">
        <v>10</v>
      </c>
      <c r="D570">
        <v>5</v>
      </c>
      <c r="E570">
        <v>4</v>
      </c>
      <c r="F570">
        <v>260</v>
      </c>
      <c r="G570" s="1">
        <v>50</v>
      </c>
      <c r="H570">
        <v>11</v>
      </c>
      <c r="I570" s="1">
        <v>36</v>
      </c>
      <c r="J570" s="2">
        <v>253465</v>
      </c>
      <c r="K570">
        <v>93</v>
      </c>
      <c r="L570">
        <v>0</v>
      </c>
      <c r="M570">
        <v>1</v>
      </c>
      <c r="N570">
        <v>4</v>
      </c>
      <c r="O570">
        <v>1</v>
      </c>
      <c r="P570">
        <v>0</v>
      </c>
      <c r="Q570">
        <v>0</v>
      </c>
      <c r="R570">
        <v>65</v>
      </c>
      <c r="T570">
        <v>23</v>
      </c>
      <c r="U570">
        <v>16</v>
      </c>
      <c r="V570" s="53" t="str">
        <f>IFERROR(
IF(tbl_abs[[#This Row],[Month of absence]]=0,"Unknown",
CHOOSE(tbl_abs[[#This Row],[Month of absence]],
"Jan","Feb","Mar","Apr","May","Jun","Jul","Aug","Sep","Oct","Nov","Dec")),"")</f>
        <v>Oct</v>
      </c>
      <c r="W570" s="53" t="str">
        <f>IFERROR(
IF(tbl_abs[[#This Row],[Age]]&lt;30,"&lt;30",
IF(tbl_abs[[#This Row],[Age]]&lt;40,"30–39",
IF(tbl_abs[[#This Row],[Age]]&lt;50,"40–49",
IF(tbl_abs[[#This Row],[Age]]&lt;60,"50–59",
"60+")))),"")</f>
        <v>30–39</v>
      </c>
      <c r="X570" s="53" t="str">
        <f>IFERROR(
IF(tbl_abs[[#This Row],[Distance from Residence to Work]]&lt;=5,"0–5",
IF(tbl_abs[[#This Row],[Distance from Residence to Work]]&lt;=10,"6–10",
IF(tbl_abs[[#This Row],[Distance from Residence to Work]]&lt;=20,"11–20",
"21+"))),"")</f>
        <v>21+</v>
      </c>
      <c r="Y570" s="53" t="str">
        <f>IFERROR(
IF(tbl_abs[[#This Row],[Body Mass Index]]&lt;18.5,"Underweight",
IF(tbl_abs[[#This Row],[Body Mass Index]]&lt;25,"Normal",
IF(tbl_abs[[#This Row],[Body Mass Index]]&lt;30,"Overweight",
"Obese"))),"")</f>
        <v>Normal</v>
      </c>
      <c r="Z570" s="53" t="str">
        <f>IFERROR(
IF(tbl_abs[[#This Row],[Absenteeism time in hours]]&lt;=2,"0–2",
IF(tbl_abs[[#This Row],[Absenteeism time in hours]]&lt;=8,"3–8",
IF(tbl_abs[[#This Row],[Absenteeism time in hours]]&lt;=16,"9–16",
"17+"))),"")</f>
        <v>9–16</v>
      </c>
    </row>
    <row r="571" spans="1:26" ht="15" customHeight="1" x14ac:dyDescent="0.3">
      <c r="A571">
        <v>15</v>
      </c>
      <c r="B571">
        <v>14</v>
      </c>
      <c r="C571" s="1">
        <v>10</v>
      </c>
      <c r="D571">
        <v>3</v>
      </c>
      <c r="E571">
        <v>4</v>
      </c>
      <c r="F571">
        <v>291</v>
      </c>
      <c r="G571" s="1">
        <v>31</v>
      </c>
      <c r="H571">
        <v>12</v>
      </c>
      <c r="I571" s="1">
        <v>40</v>
      </c>
      <c r="J571" s="2">
        <v>253465</v>
      </c>
      <c r="K571">
        <v>93</v>
      </c>
      <c r="L571">
        <v>0</v>
      </c>
      <c r="M571">
        <v>1</v>
      </c>
      <c r="N571">
        <v>1</v>
      </c>
      <c r="O571">
        <v>1</v>
      </c>
      <c r="P571">
        <v>0</v>
      </c>
      <c r="Q571">
        <v>1</v>
      </c>
      <c r="R571">
        <v>73</v>
      </c>
      <c r="S571">
        <v>171</v>
      </c>
      <c r="T571">
        <v>25</v>
      </c>
      <c r="U571">
        <v>8</v>
      </c>
      <c r="V571" s="53" t="str">
        <f>IFERROR(
IF(tbl_abs[[#This Row],[Month of absence]]=0,"Unknown",
CHOOSE(tbl_abs[[#This Row],[Month of absence]],
"Jan","Feb","Mar","Apr","May","Jun","Jul","Aug","Sep","Oct","Nov","Dec")),"")</f>
        <v>Oct</v>
      </c>
      <c r="W571" s="53" t="str">
        <f>IFERROR(
IF(tbl_abs[[#This Row],[Age]]&lt;30,"&lt;30",
IF(tbl_abs[[#This Row],[Age]]&lt;40,"30–39",
IF(tbl_abs[[#This Row],[Age]]&lt;50,"40–49",
IF(tbl_abs[[#This Row],[Age]]&lt;60,"50–59",
"60+")))),"")</f>
        <v>40–49</v>
      </c>
      <c r="X571" s="53" t="str">
        <f>IFERROR(
IF(tbl_abs[[#This Row],[Distance from Residence to Work]]&lt;=5,"0–5",
IF(tbl_abs[[#This Row],[Distance from Residence to Work]]&lt;=10,"6–10",
IF(tbl_abs[[#This Row],[Distance from Residence to Work]]&lt;=20,"11–20",
"21+"))),"")</f>
        <v>21+</v>
      </c>
      <c r="Y571" s="53" t="str">
        <f>IFERROR(
IF(tbl_abs[[#This Row],[Body Mass Index]]&lt;18.5,"Underweight",
IF(tbl_abs[[#This Row],[Body Mass Index]]&lt;25,"Normal",
IF(tbl_abs[[#This Row],[Body Mass Index]]&lt;30,"Overweight",
"Obese"))),"")</f>
        <v>Overweight</v>
      </c>
      <c r="Z571" s="53" t="str">
        <f>IFERROR(
IF(tbl_abs[[#This Row],[Absenteeism time in hours]]&lt;=2,"0–2",
IF(tbl_abs[[#This Row],[Absenteeism time in hours]]&lt;=8,"3–8",
IF(tbl_abs[[#This Row],[Absenteeism time in hours]]&lt;=16,"9–16",
"17+"))),"")</f>
        <v>3–8</v>
      </c>
    </row>
    <row r="572" spans="1:26" ht="15" customHeight="1" x14ac:dyDescent="0.3">
      <c r="A572">
        <v>28</v>
      </c>
      <c r="B572">
        <v>28</v>
      </c>
      <c r="C572" s="1">
        <v>10</v>
      </c>
      <c r="D572">
        <v>3</v>
      </c>
      <c r="E572">
        <v>4</v>
      </c>
      <c r="F572">
        <v>225</v>
      </c>
      <c r="G572" s="1">
        <v>26</v>
      </c>
      <c r="H572">
        <v>9</v>
      </c>
      <c r="I572" s="1">
        <v>28</v>
      </c>
      <c r="J572" s="2">
        <v>253465</v>
      </c>
      <c r="K572">
        <v>93</v>
      </c>
      <c r="L572">
        <v>0</v>
      </c>
      <c r="M572">
        <v>1</v>
      </c>
      <c r="N572">
        <v>1</v>
      </c>
      <c r="O572">
        <v>0</v>
      </c>
      <c r="P572">
        <v>0</v>
      </c>
      <c r="Q572">
        <v>2</v>
      </c>
      <c r="R572">
        <v>69</v>
      </c>
      <c r="S572">
        <v>169</v>
      </c>
      <c r="T572">
        <v>24</v>
      </c>
      <c r="U572">
        <v>2</v>
      </c>
      <c r="V572" s="53" t="str">
        <f>IFERROR(
IF(tbl_abs[[#This Row],[Month of absence]]=0,"Unknown",
CHOOSE(tbl_abs[[#This Row],[Month of absence]],
"Jan","Feb","Mar","Apr","May","Jun","Jul","Aug","Sep","Oct","Nov","Dec")),"")</f>
        <v>Oct</v>
      </c>
      <c r="W572" s="53" t="str">
        <f>IFERROR(
IF(tbl_abs[[#This Row],[Age]]&lt;30,"&lt;30",
IF(tbl_abs[[#This Row],[Age]]&lt;40,"30–39",
IF(tbl_abs[[#This Row],[Age]]&lt;50,"40–49",
IF(tbl_abs[[#This Row],[Age]]&lt;60,"50–59",
"60+")))),"")</f>
        <v>&lt;30</v>
      </c>
      <c r="X572" s="53" t="str">
        <f>IFERROR(
IF(tbl_abs[[#This Row],[Distance from Residence to Work]]&lt;=5,"0–5",
IF(tbl_abs[[#This Row],[Distance from Residence to Work]]&lt;=10,"6–10",
IF(tbl_abs[[#This Row],[Distance from Residence to Work]]&lt;=20,"11–20",
"21+"))),"")</f>
        <v>21+</v>
      </c>
      <c r="Y572" s="53" t="str">
        <f>IFERROR(
IF(tbl_abs[[#This Row],[Body Mass Index]]&lt;18.5,"Underweight",
IF(tbl_abs[[#This Row],[Body Mass Index]]&lt;25,"Normal",
IF(tbl_abs[[#This Row],[Body Mass Index]]&lt;30,"Overweight",
"Obese"))),"")</f>
        <v>Normal</v>
      </c>
      <c r="Z572" s="53" t="str">
        <f>IFERROR(
IF(tbl_abs[[#This Row],[Absenteeism time in hours]]&lt;=2,"0–2",
IF(tbl_abs[[#This Row],[Absenteeism time in hours]]&lt;=8,"3–8",
IF(tbl_abs[[#This Row],[Absenteeism time in hours]]&lt;=16,"9–16",
"17+"))),"")</f>
        <v>0–2</v>
      </c>
    </row>
    <row r="573" spans="1:26" ht="15" customHeight="1" x14ac:dyDescent="0.3">
      <c r="A573">
        <v>11</v>
      </c>
      <c r="B573">
        <v>26</v>
      </c>
      <c r="C573" s="1">
        <v>10</v>
      </c>
      <c r="D573">
        <v>4</v>
      </c>
      <c r="E573">
        <v>4</v>
      </c>
      <c r="F573">
        <v>289</v>
      </c>
      <c r="G573" s="1">
        <v>36</v>
      </c>
      <c r="H573">
        <v>13</v>
      </c>
      <c r="I573" s="1">
        <v>33</v>
      </c>
      <c r="J573" s="2"/>
      <c r="K573">
        <v>93</v>
      </c>
      <c r="L573">
        <v>0</v>
      </c>
      <c r="N573">
        <v>2</v>
      </c>
      <c r="O573">
        <v>1</v>
      </c>
      <c r="P573">
        <v>0</v>
      </c>
      <c r="Q573">
        <v>1</v>
      </c>
      <c r="R573">
        <v>90</v>
      </c>
      <c r="S573">
        <v>172</v>
      </c>
      <c r="U573">
        <v>8</v>
      </c>
      <c r="V573" s="53" t="str">
        <f>IFERROR(
IF(tbl_abs[[#This Row],[Month of absence]]=0,"Unknown",
CHOOSE(tbl_abs[[#This Row],[Month of absence]],
"Jan","Feb","Mar","Apr","May","Jun","Jul","Aug","Sep","Oct","Nov","Dec")),"")</f>
        <v>Oct</v>
      </c>
      <c r="W573" s="53" t="str">
        <f>IFERROR(
IF(tbl_abs[[#This Row],[Age]]&lt;30,"&lt;30",
IF(tbl_abs[[#This Row],[Age]]&lt;40,"30–39",
IF(tbl_abs[[#This Row],[Age]]&lt;50,"40–49",
IF(tbl_abs[[#This Row],[Age]]&lt;60,"50–59",
"60+")))),"")</f>
        <v>30–39</v>
      </c>
      <c r="X573" s="53" t="str">
        <f>IFERROR(
IF(tbl_abs[[#This Row],[Distance from Residence to Work]]&lt;=5,"0–5",
IF(tbl_abs[[#This Row],[Distance from Residence to Work]]&lt;=10,"6–10",
IF(tbl_abs[[#This Row],[Distance from Residence to Work]]&lt;=20,"11–20",
"21+"))),"")</f>
        <v>21+</v>
      </c>
      <c r="Y573" s="53" t="str">
        <f>IFERROR(
IF(tbl_abs[[#This Row],[Body Mass Index]]&lt;18.5,"Underweight",
IF(tbl_abs[[#This Row],[Body Mass Index]]&lt;25,"Normal",
IF(tbl_abs[[#This Row],[Body Mass Index]]&lt;30,"Overweight",
"Obese"))),"")</f>
        <v>Underweight</v>
      </c>
      <c r="Z573" s="53" t="str">
        <f>IFERROR(
IF(tbl_abs[[#This Row],[Absenteeism time in hours]]&lt;=2,"0–2",
IF(tbl_abs[[#This Row],[Absenteeism time in hours]]&lt;=8,"3–8",
IF(tbl_abs[[#This Row],[Absenteeism time in hours]]&lt;=16,"9–16",
"17+"))),"")</f>
        <v>3–8</v>
      </c>
    </row>
    <row r="574" spans="1:26" ht="15" customHeight="1" x14ac:dyDescent="0.3">
      <c r="A574">
        <v>10</v>
      </c>
      <c r="B574">
        <v>23</v>
      </c>
      <c r="C574" s="1">
        <v>10</v>
      </c>
      <c r="D574">
        <v>6</v>
      </c>
      <c r="E574">
        <v>4</v>
      </c>
      <c r="F574">
        <v>361</v>
      </c>
      <c r="G574" s="1">
        <v>52</v>
      </c>
      <c r="H574">
        <v>3</v>
      </c>
      <c r="I574" s="1">
        <v>28</v>
      </c>
      <c r="J574" s="2">
        <v>253465</v>
      </c>
      <c r="K574">
        <v>93</v>
      </c>
      <c r="L574">
        <v>0</v>
      </c>
      <c r="M574">
        <v>1</v>
      </c>
      <c r="N574">
        <v>1</v>
      </c>
      <c r="P574">
        <v>0</v>
      </c>
      <c r="Q574">
        <v>4</v>
      </c>
      <c r="R574">
        <v>80</v>
      </c>
      <c r="S574">
        <v>172</v>
      </c>
      <c r="T574">
        <v>27</v>
      </c>
      <c r="U574">
        <v>1</v>
      </c>
      <c r="V574" s="53" t="str">
        <f>IFERROR(
IF(tbl_abs[[#This Row],[Month of absence]]=0,"Unknown",
CHOOSE(tbl_abs[[#This Row],[Month of absence]],
"Jan","Feb","Mar","Apr","May","Jun","Jul","Aug","Sep","Oct","Nov","Dec")),"")</f>
        <v>Oct</v>
      </c>
      <c r="W574" s="53" t="str">
        <f>IFERROR(
IF(tbl_abs[[#This Row],[Age]]&lt;30,"&lt;30",
IF(tbl_abs[[#This Row],[Age]]&lt;40,"30–39",
IF(tbl_abs[[#This Row],[Age]]&lt;50,"40–49",
IF(tbl_abs[[#This Row],[Age]]&lt;60,"50–59",
"60+")))),"")</f>
        <v>&lt;30</v>
      </c>
      <c r="X574" s="53" t="str">
        <f>IFERROR(
IF(tbl_abs[[#This Row],[Distance from Residence to Work]]&lt;=5,"0–5",
IF(tbl_abs[[#This Row],[Distance from Residence to Work]]&lt;=10,"6–10",
IF(tbl_abs[[#This Row],[Distance from Residence to Work]]&lt;=20,"11–20",
"21+"))),"")</f>
        <v>21+</v>
      </c>
      <c r="Y574" s="53" t="str">
        <f>IFERROR(
IF(tbl_abs[[#This Row],[Body Mass Index]]&lt;18.5,"Underweight",
IF(tbl_abs[[#This Row],[Body Mass Index]]&lt;25,"Normal",
IF(tbl_abs[[#This Row],[Body Mass Index]]&lt;30,"Overweight",
"Obese"))),"")</f>
        <v>Overweight</v>
      </c>
      <c r="Z574" s="53" t="str">
        <f>IFERROR(
IF(tbl_abs[[#This Row],[Absenteeism time in hours]]&lt;=2,"0–2",
IF(tbl_abs[[#This Row],[Absenteeism time in hours]]&lt;=8,"3–8",
IF(tbl_abs[[#This Row],[Absenteeism time in hours]]&lt;=16,"9–16",
"17+"))),"")</f>
        <v>0–2</v>
      </c>
    </row>
    <row r="575" spans="1:26" ht="15" customHeight="1" x14ac:dyDescent="0.3">
      <c r="A575">
        <v>20</v>
      </c>
      <c r="B575">
        <v>28</v>
      </c>
      <c r="C575" s="1">
        <v>10</v>
      </c>
      <c r="D575">
        <v>6</v>
      </c>
      <c r="E575">
        <v>4</v>
      </c>
      <c r="G575" s="1">
        <v>50</v>
      </c>
      <c r="H575">
        <v>11</v>
      </c>
      <c r="I575" s="1">
        <v>36</v>
      </c>
      <c r="J575" s="2">
        <v>253465</v>
      </c>
      <c r="K575">
        <v>93</v>
      </c>
      <c r="L575">
        <v>0</v>
      </c>
      <c r="M575">
        <v>1</v>
      </c>
      <c r="O575">
        <v>1</v>
      </c>
      <c r="P575">
        <v>0</v>
      </c>
      <c r="Q575">
        <v>0</v>
      </c>
      <c r="R575">
        <v>65</v>
      </c>
      <c r="S575">
        <v>168</v>
      </c>
      <c r="T575">
        <v>23</v>
      </c>
      <c r="U575">
        <v>3</v>
      </c>
      <c r="V575" s="53" t="str">
        <f>IFERROR(
IF(tbl_abs[[#This Row],[Month of absence]]=0,"Unknown",
CHOOSE(tbl_abs[[#This Row],[Month of absence]],
"Jan","Feb","Mar","Apr","May","Jun","Jul","Aug","Sep","Oct","Nov","Dec")),"")</f>
        <v>Oct</v>
      </c>
      <c r="W575" s="53" t="str">
        <f>IFERROR(
IF(tbl_abs[[#This Row],[Age]]&lt;30,"&lt;30",
IF(tbl_abs[[#This Row],[Age]]&lt;40,"30–39",
IF(tbl_abs[[#This Row],[Age]]&lt;50,"40–49",
IF(tbl_abs[[#This Row],[Age]]&lt;60,"50–59",
"60+")))),"")</f>
        <v>30–39</v>
      </c>
      <c r="X575" s="53" t="str">
        <f>IFERROR(
IF(tbl_abs[[#This Row],[Distance from Residence to Work]]&lt;=5,"0–5",
IF(tbl_abs[[#This Row],[Distance from Residence to Work]]&lt;=10,"6–10",
IF(tbl_abs[[#This Row],[Distance from Residence to Work]]&lt;=20,"11–20",
"21+"))),"")</f>
        <v>21+</v>
      </c>
      <c r="Y575" s="53" t="str">
        <f>IFERROR(
IF(tbl_abs[[#This Row],[Body Mass Index]]&lt;18.5,"Underweight",
IF(tbl_abs[[#This Row],[Body Mass Index]]&lt;25,"Normal",
IF(tbl_abs[[#This Row],[Body Mass Index]]&lt;30,"Overweight",
"Obese"))),"")</f>
        <v>Normal</v>
      </c>
      <c r="Z575" s="53" t="str">
        <f>IFERROR(
IF(tbl_abs[[#This Row],[Absenteeism time in hours]]&lt;=2,"0–2",
IF(tbl_abs[[#This Row],[Absenteeism time in hours]]&lt;=8,"3–8",
IF(tbl_abs[[#This Row],[Absenteeism time in hours]]&lt;=16,"9–16",
"17+"))),"")</f>
        <v>3–8</v>
      </c>
    </row>
    <row r="576" spans="1:26" ht="15" customHeight="1" x14ac:dyDescent="0.3">
      <c r="A576">
        <v>11</v>
      </c>
      <c r="B576">
        <v>24</v>
      </c>
      <c r="C576" s="1">
        <v>10</v>
      </c>
      <c r="D576">
        <v>2</v>
      </c>
      <c r="E576">
        <v>4</v>
      </c>
      <c r="F576">
        <v>289</v>
      </c>
      <c r="G576" s="1">
        <v>36</v>
      </c>
      <c r="H576">
        <v>13</v>
      </c>
      <c r="I576" s="1">
        <v>33</v>
      </c>
      <c r="J576" s="2">
        <v>265017</v>
      </c>
      <c r="K576">
        <v>88</v>
      </c>
      <c r="L576">
        <v>0</v>
      </c>
      <c r="M576">
        <v>1</v>
      </c>
      <c r="N576">
        <v>2</v>
      </c>
      <c r="O576">
        <v>1</v>
      </c>
      <c r="P576">
        <v>0</v>
      </c>
      <c r="Q576">
        <v>1</v>
      </c>
      <c r="R576">
        <v>90</v>
      </c>
      <c r="S576">
        <v>172</v>
      </c>
      <c r="T576">
        <v>30</v>
      </c>
      <c r="U576">
        <v>8</v>
      </c>
      <c r="V576" s="53" t="str">
        <f>IFERROR(
IF(tbl_abs[[#This Row],[Month of absence]]=0,"Unknown",
CHOOSE(tbl_abs[[#This Row],[Month of absence]],
"Jan","Feb","Mar","Apr","May","Jun","Jul","Aug","Sep","Oct","Nov","Dec")),"")</f>
        <v>Oct</v>
      </c>
      <c r="W576" s="53" t="str">
        <f>IFERROR(
IF(tbl_abs[[#This Row],[Age]]&lt;30,"&lt;30",
IF(tbl_abs[[#This Row],[Age]]&lt;40,"30–39",
IF(tbl_abs[[#This Row],[Age]]&lt;50,"40–49",
IF(tbl_abs[[#This Row],[Age]]&lt;60,"50–59",
"60+")))),"")</f>
        <v>30–39</v>
      </c>
      <c r="X576" s="53" t="str">
        <f>IFERROR(
IF(tbl_abs[[#This Row],[Distance from Residence to Work]]&lt;=5,"0–5",
IF(tbl_abs[[#This Row],[Distance from Residence to Work]]&lt;=10,"6–10",
IF(tbl_abs[[#This Row],[Distance from Residence to Work]]&lt;=20,"11–20",
"21+"))),"")</f>
        <v>21+</v>
      </c>
      <c r="Y576" s="53" t="str">
        <f>IFERROR(
IF(tbl_abs[[#This Row],[Body Mass Index]]&lt;18.5,"Underweight",
IF(tbl_abs[[#This Row],[Body Mass Index]]&lt;25,"Normal",
IF(tbl_abs[[#This Row],[Body Mass Index]]&lt;30,"Overweight",
"Obese"))),"")</f>
        <v>Obese</v>
      </c>
      <c r="Z576" s="53" t="str">
        <f>IFERROR(
IF(tbl_abs[[#This Row],[Absenteeism time in hours]]&lt;=2,"0–2",
IF(tbl_abs[[#This Row],[Absenteeism time in hours]]&lt;=8,"3–8",
IF(tbl_abs[[#This Row],[Absenteeism time in hours]]&lt;=16,"9–16",
"17+"))),"")</f>
        <v>3–8</v>
      </c>
    </row>
    <row r="577" spans="1:26" ht="15" customHeight="1" x14ac:dyDescent="0.3">
      <c r="A577">
        <v>1</v>
      </c>
      <c r="B577">
        <v>26</v>
      </c>
      <c r="C577" s="1">
        <v>10</v>
      </c>
      <c r="D577">
        <v>2</v>
      </c>
      <c r="E577">
        <v>4</v>
      </c>
      <c r="F577">
        <v>235</v>
      </c>
      <c r="G577" s="1">
        <v>11</v>
      </c>
      <c r="H577">
        <v>14</v>
      </c>
      <c r="I577" s="1">
        <v>37</v>
      </c>
      <c r="J577" s="2">
        <v>265017</v>
      </c>
      <c r="K577">
        <v>88</v>
      </c>
      <c r="L577">
        <v>0</v>
      </c>
      <c r="M577">
        <v>3</v>
      </c>
      <c r="N577">
        <v>1</v>
      </c>
      <c r="O577">
        <v>0</v>
      </c>
      <c r="P577">
        <v>0</v>
      </c>
      <c r="Q577">
        <v>1</v>
      </c>
      <c r="R577">
        <v>88</v>
      </c>
      <c r="S577">
        <v>172</v>
      </c>
      <c r="T577">
        <v>29</v>
      </c>
      <c r="U577">
        <v>4</v>
      </c>
      <c r="V577" s="53" t="str">
        <f>IFERROR(
IF(tbl_abs[[#This Row],[Month of absence]]=0,"Unknown",
CHOOSE(tbl_abs[[#This Row],[Month of absence]],
"Jan","Feb","Mar","Apr","May","Jun","Jul","Aug","Sep","Oct","Nov","Dec")),"")</f>
        <v>Oct</v>
      </c>
      <c r="W577" s="53" t="str">
        <f>IFERROR(
IF(tbl_abs[[#This Row],[Age]]&lt;30,"&lt;30",
IF(tbl_abs[[#This Row],[Age]]&lt;40,"30–39",
IF(tbl_abs[[#This Row],[Age]]&lt;50,"40–49",
IF(tbl_abs[[#This Row],[Age]]&lt;60,"50–59",
"60+")))),"")</f>
        <v>30–39</v>
      </c>
      <c r="X577" s="53" t="str">
        <f>IFERROR(
IF(tbl_abs[[#This Row],[Distance from Residence to Work]]&lt;=5,"0–5",
IF(tbl_abs[[#This Row],[Distance from Residence to Work]]&lt;=10,"6–10",
IF(tbl_abs[[#This Row],[Distance from Residence to Work]]&lt;=20,"11–20",
"21+"))),"")</f>
        <v>11–20</v>
      </c>
      <c r="Y577" s="53" t="str">
        <f>IFERROR(
IF(tbl_abs[[#This Row],[Body Mass Index]]&lt;18.5,"Underweight",
IF(tbl_abs[[#This Row],[Body Mass Index]]&lt;25,"Normal",
IF(tbl_abs[[#This Row],[Body Mass Index]]&lt;30,"Overweight",
"Obese"))),"")</f>
        <v>Overweight</v>
      </c>
      <c r="Z577" s="53" t="str">
        <f>IFERROR(
IF(tbl_abs[[#This Row],[Absenteeism time in hours]]&lt;=2,"0–2",
IF(tbl_abs[[#This Row],[Absenteeism time in hours]]&lt;=8,"3–8",
IF(tbl_abs[[#This Row],[Absenteeism time in hours]]&lt;=16,"9–16",
"17+"))),"")</f>
        <v>3–8</v>
      </c>
    </row>
    <row r="578" spans="1:26" ht="15" customHeight="1" x14ac:dyDescent="0.3">
      <c r="A578">
        <v>11</v>
      </c>
      <c r="B578">
        <v>26</v>
      </c>
      <c r="C578" s="1">
        <v>10</v>
      </c>
      <c r="D578">
        <v>2</v>
      </c>
      <c r="E578">
        <v>4</v>
      </c>
      <c r="F578">
        <v>289</v>
      </c>
      <c r="G578" s="1">
        <v>36</v>
      </c>
      <c r="H578">
        <v>13</v>
      </c>
      <c r="I578" s="1">
        <v>33</v>
      </c>
      <c r="J578" s="2">
        <v>265017</v>
      </c>
      <c r="K578">
        <v>88</v>
      </c>
      <c r="L578">
        <v>0</v>
      </c>
      <c r="M578">
        <v>1</v>
      </c>
      <c r="N578">
        <v>2</v>
      </c>
      <c r="O578">
        <v>1</v>
      </c>
      <c r="P578">
        <v>0</v>
      </c>
      <c r="Q578">
        <v>1</v>
      </c>
      <c r="R578">
        <v>90</v>
      </c>
      <c r="S578">
        <v>172</v>
      </c>
      <c r="T578">
        <v>30</v>
      </c>
      <c r="U578">
        <v>8</v>
      </c>
      <c r="V578" s="53" t="str">
        <f>IFERROR(
IF(tbl_abs[[#This Row],[Month of absence]]=0,"Unknown",
CHOOSE(tbl_abs[[#This Row],[Month of absence]],
"Jan","Feb","Mar","Apr","May","Jun","Jul","Aug","Sep","Oct","Nov","Dec")),"")</f>
        <v>Oct</v>
      </c>
      <c r="W578" s="53" t="str">
        <f>IFERROR(
IF(tbl_abs[[#This Row],[Age]]&lt;30,"&lt;30",
IF(tbl_abs[[#This Row],[Age]]&lt;40,"30–39",
IF(tbl_abs[[#This Row],[Age]]&lt;50,"40–49",
IF(tbl_abs[[#This Row],[Age]]&lt;60,"50–59",
"60+")))),"")</f>
        <v>30–39</v>
      </c>
      <c r="X578" s="53" t="str">
        <f>IFERROR(
IF(tbl_abs[[#This Row],[Distance from Residence to Work]]&lt;=5,"0–5",
IF(tbl_abs[[#This Row],[Distance from Residence to Work]]&lt;=10,"6–10",
IF(tbl_abs[[#This Row],[Distance from Residence to Work]]&lt;=20,"11–20",
"21+"))),"")</f>
        <v>21+</v>
      </c>
      <c r="Y578" s="53" t="str">
        <f>IFERROR(
IF(tbl_abs[[#This Row],[Body Mass Index]]&lt;18.5,"Underweight",
IF(tbl_abs[[#This Row],[Body Mass Index]]&lt;25,"Normal",
IF(tbl_abs[[#This Row],[Body Mass Index]]&lt;30,"Overweight",
"Obese"))),"")</f>
        <v>Obese</v>
      </c>
      <c r="Z578" s="53" t="str">
        <f>IFERROR(
IF(tbl_abs[[#This Row],[Absenteeism time in hours]]&lt;=2,"0–2",
IF(tbl_abs[[#This Row],[Absenteeism time in hours]]&lt;=8,"3–8",
IF(tbl_abs[[#This Row],[Absenteeism time in hours]]&lt;=16,"9–16",
"17+"))),"")</f>
        <v>3–8</v>
      </c>
    </row>
    <row r="579" spans="1:26" ht="15" customHeight="1" x14ac:dyDescent="0.3">
      <c r="A579">
        <v>11</v>
      </c>
      <c r="B579">
        <v>22</v>
      </c>
      <c r="C579" s="1">
        <v>10</v>
      </c>
      <c r="D579">
        <v>6</v>
      </c>
      <c r="E579">
        <v>4</v>
      </c>
      <c r="F579">
        <v>289</v>
      </c>
      <c r="G579" s="1">
        <v>36</v>
      </c>
      <c r="H579">
        <v>13</v>
      </c>
      <c r="I579" s="1">
        <v>33</v>
      </c>
      <c r="J579" s="2">
        <v>265017</v>
      </c>
      <c r="K579">
        <v>88</v>
      </c>
      <c r="L579">
        <v>0</v>
      </c>
      <c r="M579">
        <v>1</v>
      </c>
      <c r="N579">
        <v>2</v>
      </c>
      <c r="O579">
        <v>1</v>
      </c>
      <c r="P579">
        <v>0</v>
      </c>
      <c r="Q579">
        <v>1</v>
      </c>
      <c r="R579">
        <v>90</v>
      </c>
      <c r="S579">
        <v>172</v>
      </c>
      <c r="T579">
        <v>30</v>
      </c>
      <c r="U579">
        <v>8</v>
      </c>
      <c r="V579" s="53" t="str">
        <f>IFERROR(
IF(tbl_abs[[#This Row],[Month of absence]]=0,"Unknown",
CHOOSE(tbl_abs[[#This Row],[Month of absence]],
"Jan","Feb","Mar","Apr","May","Jun","Jul","Aug","Sep","Oct","Nov","Dec")),"")</f>
        <v>Oct</v>
      </c>
      <c r="W579" s="53" t="str">
        <f>IFERROR(
IF(tbl_abs[[#This Row],[Age]]&lt;30,"&lt;30",
IF(tbl_abs[[#This Row],[Age]]&lt;40,"30–39",
IF(tbl_abs[[#This Row],[Age]]&lt;50,"40–49",
IF(tbl_abs[[#This Row],[Age]]&lt;60,"50–59",
"60+")))),"")</f>
        <v>30–39</v>
      </c>
      <c r="X579" s="53" t="str">
        <f>IFERROR(
IF(tbl_abs[[#This Row],[Distance from Residence to Work]]&lt;=5,"0–5",
IF(tbl_abs[[#This Row],[Distance from Residence to Work]]&lt;=10,"6–10",
IF(tbl_abs[[#This Row],[Distance from Residence to Work]]&lt;=20,"11–20",
"21+"))),"")</f>
        <v>21+</v>
      </c>
      <c r="Y579" s="53" t="str">
        <f>IFERROR(
IF(tbl_abs[[#This Row],[Body Mass Index]]&lt;18.5,"Underweight",
IF(tbl_abs[[#This Row],[Body Mass Index]]&lt;25,"Normal",
IF(tbl_abs[[#This Row],[Body Mass Index]]&lt;30,"Overweight",
"Obese"))),"")</f>
        <v>Obese</v>
      </c>
      <c r="Z579" s="53" t="str">
        <f>IFERROR(
IF(tbl_abs[[#This Row],[Absenteeism time in hours]]&lt;=2,"0–2",
IF(tbl_abs[[#This Row],[Absenteeism time in hours]]&lt;=8,"3–8",
IF(tbl_abs[[#This Row],[Absenteeism time in hours]]&lt;=16,"9–16",
"17+"))),"")</f>
        <v>3–8</v>
      </c>
    </row>
    <row r="580" spans="1:26" ht="15" customHeight="1" x14ac:dyDescent="0.3">
      <c r="A580">
        <v>36</v>
      </c>
      <c r="B580">
        <v>0</v>
      </c>
      <c r="C580" s="1">
        <v>10</v>
      </c>
      <c r="D580">
        <v>6</v>
      </c>
      <c r="E580">
        <v>4</v>
      </c>
      <c r="F580">
        <v>118</v>
      </c>
      <c r="G580" s="1">
        <v>13</v>
      </c>
      <c r="H580">
        <v>18</v>
      </c>
      <c r="I580" s="1">
        <v>50</v>
      </c>
      <c r="J580" s="2">
        <v>265017</v>
      </c>
      <c r="K580">
        <v>88</v>
      </c>
      <c r="L580">
        <v>1</v>
      </c>
      <c r="M580">
        <v>1</v>
      </c>
      <c r="N580">
        <v>1</v>
      </c>
      <c r="O580">
        <v>1</v>
      </c>
      <c r="P580">
        <v>0</v>
      </c>
      <c r="Q580">
        <v>0</v>
      </c>
      <c r="R580">
        <v>98</v>
      </c>
      <c r="S580">
        <v>178</v>
      </c>
      <c r="T580">
        <v>31</v>
      </c>
      <c r="U580">
        <v>0</v>
      </c>
      <c r="V580" s="53" t="str">
        <f>IFERROR(
IF(tbl_abs[[#This Row],[Month of absence]]=0,"Unknown",
CHOOSE(tbl_abs[[#This Row],[Month of absence]],
"Jan","Feb","Mar","Apr","May","Jun","Jul","Aug","Sep","Oct","Nov","Dec")),"")</f>
        <v>Oct</v>
      </c>
      <c r="W580" s="53" t="str">
        <f>IFERROR(
IF(tbl_abs[[#This Row],[Age]]&lt;30,"&lt;30",
IF(tbl_abs[[#This Row],[Age]]&lt;40,"30–39",
IF(tbl_abs[[#This Row],[Age]]&lt;50,"40–49",
IF(tbl_abs[[#This Row],[Age]]&lt;60,"50–59",
"60+")))),"")</f>
        <v>50–59</v>
      </c>
      <c r="X580" s="53" t="str">
        <f>IFERROR(
IF(tbl_abs[[#This Row],[Distance from Residence to Work]]&lt;=5,"0–5",
IF(tbl_abs[[#This Row],[Distance from Residence to Work]]&lt;=10,"6–10",
IF(tbl_abs[[#This Row],[Distance from Residence to Work]]&lt;=20,"11–20",
"21+"))),"")</f>
        <v>11–20</v>
      </c>
      <c r="Y580" s="53" t="str">
        <f>IFERROR(
IF(tbl_abs[[#This Row],[Body Mass Index]]&lt;18.5,"Underweight",
IF(tbl_abs[[#This Row],[Body Mass Index]]&lt;25,"Normal",
IF(tbl_abs[[#This Row],[Body Mass Index]]&lt;30,"Overweight",
"Obese"))),"")</f>
        <v>Obese</v>
      </c>
      <c r="Z580" s="53" t="str">
        <f>IFERROR(
IF(tbl_abs[[#This Row],[Absenteeism time in hours]]&lt;=2,"0–2",
IF(tbl_abs[[#This Row],[Absenteeism time in hours]]&lt;=8,"3–8",
IF(tbl_abs[[#This Row],[Absenteeism time in hours]]&lt;=16,"9–16",
"17+"))),"")</f>
        <v>0–2</v>
      </c>
    </row>
    <row r="581" spans="1:26" ht="15" customHeight="1" x14ac:dyDescent="0.3">
      <c r="A581">
        <v>33</v>
      </c>
      <c r="B581">
        <v>0</v>
      </c>
      <c r="C581" s="1">
        <v>10</v>
      </c>
      <c r="D581">
        <v>6</v>
      </c>
      <c r="E581">
        <v>4</v>
      </c>
      <c r="F581">
        <v>248</v>
      </c>
      <c r="G581" s="1">
        <v>25</v>
      </c>
      <c r="H581">
        <v>14</v>
      </c>
      <c r="I581" s="1">
        <v>47</v>
      </c>
      <c r="J581" s="2">
        <v>265017</v>
      </c>
      <c r="K581">
        <v>88</v>
      </c>
      <c r="L581">
        <v>1</v>
      </c>
      <c r="M581">
        <v>1</v>
      </c>
      <c r="N581">
        <v>2</v>
      </c>
      <c r="O581">
        <v>0</v>
      </c>
      <c r="P581">
        <v>0</v>
      </c>
      <c r="Q581">
        <v>1</v>
      </c>
      <c r="R581">
        <v>86</v>
      </c>
      <c r="S581">
        <v>165</v>
      </c>
      <c r="T581">
        <v>32</v>
      </c>
      <c r="U581">
        <v>0</v>
      </c>
      <c r="V581" s="53" t="str">
        <f>IFERROR(
IF(tbl_abs[[#This Row],[Month of absence]]=0,"Unknown",
CHOOSE(tbl_abs[[#This Row],[Month of absence]],
"Jan","Feb","Mar","Apr","May","Jun","Jul","Aug","Sep","Oct","Nov","Dec")),"")</f>
        <v>Oct</v>
      </c>
      <c r="W581" s="53" t="str">
        <f>IFERROR(
IF(tbl_abs[[#This Row],[Age]]&lt;30,"&lt;30",
IF(tbl_abs[[#This Row],[Age]]&lt;40,"30–39",
IF(tbl_abs[[#This Row],[Age]]&lt;50,"40–49",
IF(tbl_abs[[#This Row],[Age]]&lt;60,"50–59",
"60+")))),"")</f>
        <v>40–49</v>
      </c>
      <c r="X581" s="53" t="str">
        <f>IFERROR(
IF(tbl_abs[[#This Row],[Distance from Residence to Work]]&lt;=5,"0–5",
IF(tbl_abs[[#This Row],[Distance from Residence to Work]]&lt;=10,"6–10",
IF(tbl_abs[[#This Row],[Distance from Residence to Work]]&lt;=20,"11–20",
"21+"))),"")</f>
        <v>21+</v>
      </c>
      <c r="Y581" s="53" t="str">
        <f>IFERROR(
IF(tbl_abs[[#This Row],[Body Mass Index]]&lt;18.5,"Underweight",
IF(tbl_abs[[#This Row],[Body Mass Index]]&lt;25,"Normal",
IF(tbl_abs[[#This Row],[Body Mass Index]]&lt;30,"Overweight",
"Obese"))),"")</f>
        <v>Obese</v>
      </c>
      <c r="Z581" s="53" t="str">
        <f>IFERROR(
IF(tbl_abs[[#This Row],[Absenteeism time in hours]]&lt;=2,"0–2",
IF(tbl_abs[[#This Row],[Absenteeism time in hours]]&lt;=8,"3–8",
IF(tbl_abs[[#This Row],[Absenteeism time in hours]]&lt;=16,"9–16",
"17+"))),"")</f>
        <v>0–2</v>
      </c>
    </row>
    <row r="582" spans="1:26" ht="15" customHeight="1" x14ac:dyDescent="0.3">
      <c r="A582">
        <v>22</v>
      </c>
      <c r="B582">
        <v>1</v>
      </c>
      <c r="C582" s="1">
        <v>10</v>
      </c>
      <c r="D582">
        <v>2</v>
      </c>
      <c r="E582">
        <v>4</v>
      </c>
      <c r="F582">
        <v>179</v>
      </c>
      <c r="G582" s="1">
        <v>26</v>
      </c>
      <c r="H582">
        <v>9</v>
      </c>
      <c r="I582" s="1">
        <v>30</v>
      </c>
      <c r="J582" s="2">
        <v>265017</v>
      </c>
      <c r="K582">
        <v>88</v>
      </c>
      <c r="L582">
        <v>0</v>
      </c>
      <c r="M582">
        <v>3</v>
      </c>
      <c r="N582">
        <v>0</v>
      </c>
      <c r="O582">
        <v>0</v>
      </c>
      <c r="P582">
        <v>0</v>
      </c>
      <c r="Q582">
        <v>0</v>
      </c>
      <c r="R582">
        <v>56</v>
      </c>
      <c r="S582">
        <v>171</v>
      </c>
      <c r="T582">
        <v>19</v>
      </c>
      <c r="U582">
        <v>8</v>
      </c>
      <c r="V582" s="53" t="str">
        <f>IFERROR(
IF(tbl_abs[[#This Row],[Month of absence]]=0,"Unknown",
CHOOSE(tbl_abs[[#This Row],[Month of absence]],
"Jan","Feb","Mar","Apr","May","Jun","Jul","Aug","Sep","Oct","Nov","Dec")),"")</f>
        <v>Oct</v>
      </c>
      <c r="W582" s="53" t="str">
        <f>IFERROR(
IF(tbl_abs[[#This Row],[Age]]&lt;30,"&lt;30",
IF(tbl_abs[[#This Row],[Age]]&lt;40,"30–39",
IF(tbl_abs[[#This Row],[Age]]&lt;50,"40–49",
IF(tbl_abs[[#This Row],[Age]]&lt;60,"50–59",
"60+")))),"")</f>
        <v>30–39</v>
      </c>
      <c r="X582" s="53" t="str">
        <f>IFERROR(
IF(tbl_abs[[#This Row],[Distance from Residence to Work]]&lt;=5,"0–5",
IF(tbl_abs[[#This Row],[Distance from Residence to Work]]&lt;=10,"6–10",
IF(tbl_abs[[#This Row],[Distance from Residence to Work]]&lt;=20,"11–20",
"21+"))),"")</f>
        <v>21+</v>
      </c>
      <c r="Y582" s="53" t="str">
        <f>IFERROR(
IF(tbl_abs[[#This Row],[Body Mass Index]]&lt;18.5,"Underweight",
IF(tbl_abs[[#This Row],[Body Mass Index]]&lt;25,"Normal",
IF(tbl_abs[[#This Row],[Body Mass Index]]&lt;30,"Overweight",
"Obese"))),"")</f>
        <v>Normal</v>
      </c>
      <c r="Z582" s="53" t="str">
        <f>IFERROR(
IF(tbl_abs[[#This Row],[Absenteeism time in hours]]&lt;=2,"0–2",
IF(tbl_abs[[#This Row],[Absenteeism time in hours]]&lt;=8,"3–8",
IF(tbl_abs[[#This Row],[Absenteeism time in hours]]&lt;=16,"9–16",
"17+"))),"")</f>
        <v>3–8</v>
      </c>
    </row>
    <row r="583" spans="1:26" ht="15" customHeight="1" x14ac:dyDescent="0.3">
      <c r="A583">
        <v>34</v>
      </c>
      <c r="B583">
        <v>7</v>
      </c>
      <c r="C583" s="1">
        <v>10</v>
      </c>
      <c r="D583">
        <v>2</v>
      </c>
      <c r="E583">
        <v>4</v>
      </c>
      <c r="F583">
        <v>118</v>
      </c>
      <c r="G583" s="1">
        <v>10</v>
      </c>
      <c r="H583">
        <v>10</v>
      </c>
      <c r="I583" s="1">
        <v>37</v>
      </c>
      <c r="J583" s="2">
        <v>265017</v>
      </c>
      <c r="K583">
        <v>88</v>
      </c>
      <c r="L583">
        <v>0</v>
      </c>
      <c r="M583">
        <v>1</v>
      </c>
      <c r="N583">
        <v>0</v>
      </c>
      <c r="O583">
        <v>0</v>
      </c>
      <c r="P583">
        <v>0</v>
      </c>
      <c r="Q583">
        <v>0</v>
      </c>
      <c r="R583">
        <v>83</v>
      </c>
      <c r="S583">
        <v>172</v>
      </c>
      <c r="T583">
        <v>28</v>
      </c>
      <c r="U583">
        <v>3</v>
      </c>
      <c r="V583" s="53" t="str">
        <f>IFERROR(
IF(tbl_abs[[#This Row],[Month of absence]]=0,"Unknown",
CHOOSE(tbl_abs[[#This Row],[Month of absence]],
"Jan","Feb","Mar","Apr","May","Jun","Jul","Aug","Sep","Oct","Nov","Dec")),"")</f>
        <v>Oct</v>
      </c>
      <c r="W583" s="53" t="str">
        <f>IFERROR(
IF(tbl_abs[[#This Row],[Age]]&lt;30,"&lt;30",
IF(tbl_abs[[#This Row],[Age]]&lt;40,"30–39",
IF(tbl_abs[[#This Row],[Age]]&lt;50,"40–49",
IF(tbl_abs[[#This Row],[Age]]&lt;60,"50–59",
"60+")))),"")</f>
        <v>30–39</v>
      </c>
      <c r="X583" s="53" t="str">
        <f>IFERROR(
IF(tbl_abs[[#This Row],[Distance from Residence to Work]]&lt;=5,"0–5",
IF(tbl_abs[[#This Row],[Distance from Residence to Work]]&lt;=10,"6–10",
IF(tbl_abs[[#This Row],[Distance from Residence to Work]]&lt;=20,"11–20",
"21+"))),"")</f>
        <v>6–10</v>
      </c>
      <c r="Y583" s="53" t="str">
        <f>IFERROR(
IF(tbl_abs[[#This Row],[Body Mass Index]]&lt;18.5,"Underweight",
IF(tbl_abs[[#This Row],[Body Mass Index]]&lt;25,"Normal",
IF(tbl_abs[[#This Row],[Body Mass Index]]&lt;30,"Overweight",
"Obese"))),"")</f>
        <v>Overweight</v>
      </c>
      <c r="Z583" s="53" t="str">
        <f>IFERROR(
IF(tbl_abs[[#This Row],[Absenteeism time in hours]]&lt;=2,"0–2",
IF(tbl_abs[[#This Row],[Absenteeism time in hours]]&lt;=8,"3–8",
IF(tbl_abs[[#This Row],[Absenteeism time in hours]]&lt;=16,"9–16",
"17+"))),"")</f>
        <v>3–8</v>
      </c>
    </row>
    <row r="584" spans="1:26" ht="15" customHeight="1" x14ac:dyDescent="0.3">
      <c r="A584">
        <v>13</v>
      </c>
      <c r="B584">
        <v>22</v>
      </c>
      <c r="C584" s="1">
        <v>10</v>
      </c>
      <c r="D584">
        <v>2</v>
      </c>
      <c r="E584">
        <v>4</v>
      </c>
      <c r="F584">
        <v>369</v>
      </c>
      <c r="G584" s="1">
        <v>17</v>
      </c>
      <c r="H584">
        <v>12</v>
      </c>
      <c r="I584" s="1">
        <v>31</v>
      </c>
      <c r="J584" s="2">
        <v>265017</v>
      </c>
      <c r="K584">
        <v>88</v>
      </c>
      <c r="L584">
        <v>0</v>
      </c>
      <c r="M584">
        <v>1</v>
      </c>
      <c r="N584">
        <v>3</v>
      </c>
      <c r="O584">
        <v>1</v>
      </c>
      <c r="P584">
        <v>0</v>
      </c>
      <c r="Q584">
        <v>0</v>
      </c>
      <c r="R584">
        <v>70</v>
      </c>
      <c r="S584">
        <v>169</v>
      </c>
      <c r="T584">
        <v>25</v>
      </c>
      <c r="U584">
        <v>8</v>
      </c>
      <c r="V584" s="53" t="str">
        <f>IFERROR(
IF(tbl_abs[[#This Row],[Month of absence]]=0,"Unknown",
CHOOSE(tbl_abs[[#This Row],[Month of absence]],
"Jan","Feb","Mar","Apr","May","Jun","Jul","Aug","Sep","Oct","Nov","Dec")),"")</f>
        <v>Oct</v>
      </c>
      <c r="W584" s="53" t="str">
        <f>IFERROR(
IF(tbl_abs[[#This Row],[Age]]&lt;30,"&lt;30",
IF(tbl_abs[[#This Row],[Age]]&lt;40,"30–39",
IF(tbl_abs[[#This Row],[Age]]&lt;50,"40–49",
IF(tbl_abs[[#This Row],[Age]]&lt;60,"50–59",
"60+")))),"")</f>
        <v>30–39</v>
      </c>
      <c r="X584" s="53" t="str">
        <f>IFERROR(
IF(tbl_abs[[#This Row],[Distance from Residence to Work]]&lt;=5,"0–5",
IF(tbl_abs[[#This Row],[Distance from Residence to Work]]&lt;=10,"6–10",
IF(tbl_abs[[#This Row],[Distance from Residence to Work]]&lt;=20,"11–20",
"21+"))),"")</f>
        <v>11–20</v>
      </c>
      <c r="Y584" s="53" t="str">
        <f>IFERROR(
IF(tbl_abs[[#This Row],[Body Mass Index]]&lt;18.5,"Underweight",
IF(tbl_abs[[#This Row],[Body Mass Index]]&lt;25,"Normal",
IF(tbl_abs[[#This Row],[Body Mass Index]]&lt;30,"Overweight",
"Obese"))),"")</f>
        <v>Overweight</v>
      </c>
      <c r="Z584" s="53" t="str">
        <f>IFERROR(
IF(tbl_abs[[#This Row],[Absenteeism time in hours]]&lt;=2,"0–2",
IF(tbl_abs[[#This Row],[Absenteeism time in hours]]&lt;=8,"3–8",
IF(tbl_abs[[#This Row],[Absenteeism time in hours]]&lt;=16,"9–16",
"17+"))),"")</f>
        <v>3–8</v>
      </c>
    </row>
    <row r="585" spans="1:26" ht="15" customHeight="1" x14ac:dyDescent="0.3">
      <c r="A585">
        <v>3</v>
      </c>
      <c r="B585">
        <v>28</v>
      </c>
      <c r="C585" s="1">
        <v>10</v>
      </c>
      <c r="D585">
        <v>4</v>
      </c>
      <c r="E585">
        <v>4</v>
      </c>
      <c r="F585">
        <v>179</v>
      </c>
      <c r="G585" s="1">
        <v>51</v>
      </c>
      <c r="H585">
        <v>18</v>
      </c>
      <c r="I585" s="1">
        <v>38</v>
      </c>
      <c r="J585" s="2">
        <v>265017</v>
      </c>
      <c r="K585">
        <v>88</v>
      </c>
      <c r="L585">
        <v>0</v>
      </c>
      <c r="M585">
        <v>1</v>
      </c>
      <c r="N585">
        <v>0</v>
      </c>
      <c r="O585">
        <v>1</v>
      </c>
      <c r="P585">
        <v>0</v>
      </c>
      <c r="Q585">
        <v>0</v>
      </c>
      <c r="R585">
        <v>89</v>
      </c>
      <c r="S585">
        <v>170</v>
      </c>
      <c r="T585">
        <v>31</v>
      </c>
      <c r="U585">
        <v>1</v>
      </c>
      <c r="V585" s="53" t="str">
        <f>IFERROR(
IF(tbl_abs[[#This Row],[Month of absence]]=0,"Unknown",
CHOOSE(tbl_abs[[#This Row],[Month of absence]],
"Jan","Feb","Mar","Apr","May","Jun","Jul","Aug","Sep","Oct","Nov","Dec")),"")</f>
        <v>Oct</v>
      </c>
      <c r="W585" s="53" t="str">
        <f>IFERROR(
IF(tbl_abs[[#This Row],[Age]]&lt;30,"&lt;30",
IF(tbl_abs[[#This Row],[Age]]&lt;40,"30–39",
IF(tbl_abs[[#This Row],[Age]]&lt;50,"40–49",
IF(tbl_abs[[#This Row],[Age]]&lt;60,"50–59",
"60+")))),"")</f>
        <v>30–39</v>
      </c>
      <c r="X585" s="53" t="str">
        <f>IFERROR(
IF(tbl_abs[[#This Row],[Distance from Residence to Work]]&lt;=5,"0–5",
IF(tbl_abs[[#This Row],[Distance from Residence to Work]]&lt;=10,"6–10",
IF(tbl_abs[[#This Row],[Distance from Residence to Work]]&lt;=20,"11–20",
"21+"))),"")</f>
        <v>21+</v>
      </c>
      <c r="Y585" s="53" t="str">
        <f>IFERROR(
IF(tbl_abs[[#This Row],[Body Mass Index]]&lt;18.5,"Underweight",
IF(tbl_abs[[#This Row],[Body Mass Index]]&lt;25,"Normal",
IF(tbl_abs[[#This Row],[Body Mass Index]]&lt;30,"Overweight",
"Obese"))),"")</f>
        <v>Obese</v>
      </c>
      <c r="Z585" s="53" t="str">
        <f>IFERROR(
IF(tbl_abs[[#This Row],[Absenteeism time in hours]]&lt;=2,"0–2",
IF(tbl_abs[[#This Row],[Absenteeism time in hours]]&lt;=8,"3–8",
IF(tbl_abs[[#This Row],[Absenteeism time in hours]]&lt;=16,"9–16",
"17+"))),"")</f>
        <v>0–2</v>
      </c>
    </row>
    <row r="586" spans="1:26" ht="15" customHeight="1" x14ac:dyDescent="0.3">
      <c r="A586">
        <v>22</v>
      </c>
      <c r="B586">
        <v>1</v>
      </c>
      <c r="C586" s="1">
        <v>10</v>
      </c>
      <c r="D586">
        <v>4</v>
      </c>
      <c r="E586">
        <v>4</v>
      </c>
      <c r="F586">
        <v>179</v>
      </c>
      <c r="G586" s="1">
        <v>26</v>
      </c>
      <c r="H586">
        <v>9</v>
      </c>
      <c r="I586" s="1">
        <v>30</v>
      </c>
      <c r="J586" s="2">
        <v>265017</v>
      </c>
      <c r="K586">
        <v>88</v>
      </c>
      <c r="L586">
        <v>0</v>
      </c>
      <c r="M586">
        <v>3</v>
      </c>
      <c r="N586">
        <v>0</v>
      </c>
      <c r="O586">
        <v>0</v>
      </c>
      <c r="P586">
        <v>0</v>
      </c>
      <c r="Q586">
        <v>0</v>
      </c>
      <c r="R586">
        <v>56</v>
      </c>
      <c r="S586">
        <v>171</v>
      </c>
      <c r="T586">
        <v>19</v>
      </c>
      <c r="U586">
        <v>64</v>
      </c>
      <c r="V586" s="53" t="str">
        <f>IFERROR(
IF(tbl_abs[[#This Row],[Month of absence]]=0,"Unknown",
CHOOSE(tbl_abs[[#This Row],[Month of absence]],
"Jan","Feb","Mar","Apr","May","Jun","Jul","Aug","Sep","Oct","Nov","Dec")),"")</f>
        <v>Oct</v>
      </c>
      <c r="W586" s="53" t="str">
        <f>IFERROR(
IF(tbl_abs[[#This Row],[Age]]&lt;30,"&lt;30",
IF(tbl_abs[[#This Row],[Age]]&lt;40,"30–39",
IF(tbl_abs[[#This Row],[Age]]&lt;50,"40–49",
IF(tbl_abs[[#This Row],[Age]]&lt;60,"50–59",
"60+")))),"")</f>
        <v>30–39</v>
      </c>
      <c r="X586" s="53" t="str">
        <f>IFERROR(
IF(tbl_abs[[#This Row],[Distance from Residence to Work]]&lt;=5,"0–5",
IF(tbl_abs[[#This Row],[Distance from Residence to Work]]&lt;=10,"6–10",
IF(tbl_abs[[#This Row],[Distance from Residence to Work]]&lt;=20,"11–20",
"21+"))),"")</f>
        <v>21+</v>
      </c>
      <c r="Y586" s="53" t="str">
        <f>IFERROR(
IF(tbl_abs[[#This Row],[Body Mass Index]]&lt;18.5,"Underweight",
IF(tbl_abs[[#This Row],[Body Mass Index]]&lt;25,"Normal",
IF(tbl_abs[[#This Row],[Body Mass Index]]&lt;30,"Overweight",
"Obese"))),"")</f>
        <v>Normal</v>
      </c>
      <c r="Z586" s="53" t="str">
        <f>IFERROR(
IF(tbl_abs[[#This Row],[Absenteeism time in hours]]&lt;=2,"0–2",
IF(tbl_abs[[#This Row],[Absenteeism time in hours]]&lt;=8,"3–8",
IF(tbl_abs[[#This Row],[Absenteeism time in hours]]&lt;=16,"9–16",
"17+"))),"")</f>
        <v>17+</v>
      </c>
    </row>
    <row r="587" spans="1:26" ht="15" customHeight="1" x14ac:dyDescent="0.3">
      <c r="A587">
        <v>5</v>
      </c>
      <c r="B587">
        <v>0</v>
      </c>
      <c r="C587" s="1">
        <v>10</v>
      </c>
      <c r="D587">
        <v>4</v>
      </c>
      <c r="E587">
        <v>4</v>
      </c>
      <c r="F587">
        <v>235</v>
      </c>
      <c r="G587" s="1">
        <v>20</v>
      </c>
      <c r="H587">
        <v>13</v>
      </c>
      <c r="I587" s="1">
        <v>43</v>
      </c>
      <c r="J587" s="2">
        <v>265017</v>
      </c>
      <c r="K587">
        <v>88</v>
      </c>
      <c r="L587">
        <v>1</v>
      </c>
      <c r="M587">
        <v>1</v>
      </c>
      <c r="N587">
        <v>1</v>
      </c>
      <c r="O587">
        <v>1</v>
      </c>
      <c r="P587">
        <v>0</v>
      </c>
      <c r="Q587">
        <v>0</v>
      </c>
      <c r="R587">
        <v>106</v>
      </c>
      <c r="S587">
        <v>167</v>
      </c>
      <c r="T587">
        <v>38</v>
      </c>
      <c r="U587">
        <v>0</v>
      </c>
      <c r="V587" s="53" t="str">
        <f>IFERROR(
IF(tbl_abs[[#This Row],[Month of absence]]=0,"Unknown",
CHOOSE(tbl_abs[[#This Row],[Month of absence]],
"Jan","Feb","Mar","Apr","May","Jun","Jul","Aug","Sep","Oct","Nov","Dec")),"")</f>
        <v>Oct</v>
      </c>
      <c r="W587" s="53" t="str">
        <f>IFERROR(
IF(tbl_abs[[#This Row],[Age]]&lt;30,"&lt;30",
IF(tbl_abs[[#This Row],[Age]]&lt;40,"30–39",
IF(tbl_abs[[#This Row],[Age]]&lt;50,"40–49",
IF(tbl_abs[[#This Row],[Age]]&lt;60,"50–59",
"60+")))),"")</f>
        <v>40–49</v>
      </c>
      <c r="X587" s="53" t="str">
        <f>IFERROR(
IF(tbl_abs[[#This Row],[Distance from Residence to Work]]&lt;=5,"0–5",
IF(tbl_abs[[#This Row],[Distance from Residence to Work]]&lt;=10,"6–10",
IF(tbl_abs[[#This Row],[Distance from Residence to Work]]&lt;=20,"11–20",
"21+"))),"")</f>
        <v>11–20</v>
      </c>
      <c r="Y587" s="53" t="str">
        <f>IFERROR(
IF(tbl_abs[[#This Row],[Body Mass Index]]&lt;18.5,"Underweight",
IF(tbl_abs[[#This Row],[Body Mass Index]]&lt;25,"Normal",
IF(tbl_abs[[#This Row],[Body Mass Index]]&lt;30,"Overweight",
"Obese"))),"")</f>
        <v>Obese</v>
      </c>
      <c r="Z587" s="53" t="str">
        <f>IFERROR(
IF(tbl_abs[[#This Row],[Absenteeism time in hours]]&lt;=2,"0–2",
IF(tbl_abs[[#This Row],[Absenteeism time in hours]]&lt;=8,"3–8",
IF(tbl_abs[[#This Row],[Absenteeism time in hours]]&lt;=16,"9–16",
"17+"))),"")</f>
        <v>0–2</v>
      </c>
    </row>
    <row r="588" spans="1:26" ht="15" customHeight="1" x14ac:dyDescent="0.3">
      <c r="A588">
        <v>11</v>
      </c>
      <c r="B588">
        <v>19</v>
      </c>
      <c r="C588" s="1">
        <v>10</v>
      </c>
      <c r="D588">
        <v>5</v>
      </c>
      <c r="E588">
        <v>4</v>
      </c>
      <c r="F588">
        <v>289</v>
      </c>
      <c r="G588" s="1">
        <v>36</v>
      </c>
      <c r="H588">
        <v>13</v>
      </c>
      <c r="I588" s="1">
        <v>33</v>
      </c>
      <c r="J588" s="2">
        <v>265017</v>
      </c>
      <c r="K588">
        <v>88</v>
      </c>
      <c r="L588">
        <v>0</v>
      </c>
      <c r="M588">
        <v>1</v>
      </c>
      <c r="N588">
        <v>2</v>
      </c>
      <c r="O588">
        <v>1</v>
      </c>
      <c r="P588">
        <v>0</v>
      </c>
      <c r="Q588">
        <v>1</v>
      </c>
      <c r="R588">
        <v>90</v>
      </c>
      <c r="S588">
        <v>172</v>
      </c>
      <c r="T588">
        <v>30</v>
      </c>
      <c r="U588">
        <v>16</v>
      </c>
      <c r="V588" s="53" t="str">
        <f>IFERROR(
IF(tbl_abs[[#This Row],[Month of absence]]=0,"Unknown",
CHOOSE(tbl_abs[[#This Row],[Month of absence]],
"Jan","Feb","Mar","Apr","May","Jun","Jul","Aug","Sep","Oct","Nov","Dec")),"")</f>
        <v>Oct</v>
      </c>
      <c r="W588" s="53" t="str">
        <f>IFERROR(
IF(tbl_abs[[#This Row],[Age]]&lt;30,"&lt;30",
IF(tbl_abs[[#This Row],[Age]]&lt;40,"30–39",
IF(tbl_abs[[#This Row],[Age]]&lt;50,"40–49",
IF(tbl_abs[[#This Row],[Age]]&lt;60,"50–59",
"60+")))),"")</f>
        <v>30–39</v>
      </c>
      <c r="X588" s="53" t="str">
        <f>IFERROR(
IF(tbl_abs[[#This Row],[Distance from Residence to Work]]&lt;=5,"0–5",
IF(tbl_abs[[#This Row],[Distance from Residence to Work]]&lt;=10,"6–10",
IF(tbl_abs[[#This Row],[Distance from Residence to Work]]&lt;=20,"11–20",
"21+"))),"")</f>
        <v>21+</v>
      </c>
      <c r="Y588" s="53" t="str">
        <f>IFERROR(
IF(tbl_abs[[#This Row],[Body Mass Index]]&lt;18.5,"Underweight",
IF(tbl_abs[[#This Row],[Body Mass Index]]&lt;25,"Normal",
IF(tbl_abs[[#This Row],[Body Mass Index]]&lt;30,"Overweight",
"Obese"))),"")</f>
        <v>Obese</v>
      </c>
      <c r="Z588" s="53" t="str">
        <f>IFERROR(
IF(tbl_abs[[#This Row],[Absenteeism time in hours]]&lt;=2,"0–2",
IF(tbl_abs[[#This Row],[Absenteeism time in hours]]&lt;=8,"3–8",
IF(tbl_abs[[#This Row],[Absenteeism time in hours]]&lt;=16,"9–16",
"17+"))),"")</f>
        <v>9–16</v>
      </c>
    </row>
    <row r="589" spans="1:26" ht="15" customHeight="1" x14ac:dyDescent="0.3">
      <c r="A589">
        <v>20</v>
      </c>
      <c r="B589">
        <v>28</v>
      </c>
      <c r="C589" s="1">
        <v>10</v>
      </c>
      <c r="D589">
        <v>6</v>
      </c>
      <c r="E589">
        <v>4</v>
      </c>
      <c r="F589">
        <v>260</v>
      </c>
      <c r="G589" s="1">
        <v>50</v>
      </c>
      <c r="H589">
        <v>11</v>
      </c>
      <c r="I589" s="1">
        <v>36</v>
      </c>
      <c r="J589" s="2">
        <v>265017</v>
      </c>
      <c r="K589">
        <v>88</v>
      </c>
      <c r="L589">
        <v>0</v>
      </c>
      <c r="M589">
        <v>1</v>
      </c>
      <c r="N589">
        <v>4</v>
      </c>
      <c r="O589">
        <v>1</v>
      </c>
      <c r="P589">
        <v>0</v>
      </c>
      <c r="Q589">
        <v>0</v>
      </c>
      <c r="R589">
        <v>65</v>
      </c>
      <c r="S589">
        <v>168</v>
      </c>
      <c r="T589">
        <v>23</v>
      </c>
      <c r="V589" s="53" t="str">
        <f>IFERROR(
IF(tbl_abs[[#This Row],[Month of absence]]=0,"Unknown",
CHOOSE(tbl_abs[[#This Row],[Month of absence]],
"Jan","Feb","Mar","Apr","May","Jun","Jul","Aug","Sep","Oct","Nov","Dec")),"")</f>
        <v>Oct</v>
      </c>
      <c r="W589" s="53" t="str">
        <f>IFERROR(
IF(tbl_abs[[#This Row],[Age]]&lt;30,"&lt;30",
IF(tbl_abs[[#This Row],[Age]]&lt;40,"30–39",
IF(tbl_abs[[#This Row],[Age]]&lt;50,"40–49",
IF(tbl_abs[[#This Row],[Age]]&lt;60,"50–59",
"60+")))),"")</f>
        <v>30–39</v>
      </c>
      <c r="X589" s="53" t="str">
        <f>IFERROR(
IF(tbl_abs[[#This Row],[Distance from Residence to Work]]&lt;=5,"0–5",
IF(tbl_abs[[#This Row],[Distance from Residence to Work]]&lt;=10,"6–10",
IF(tbl_abs[[#This Row],[Distance from Residence to Work]]&lt;=20,"11–20",
"21+"))),"")</f>
        <v>21+</v>
      </c>
      <c r="Y589" s="53" t="str">
        <f>IFERROR(
IF(tbl_abs[[#This Row],[Body Mass Index]]&lt;18.5,"Underweight",
IF(tbl_abs[[#This Row],[Body Mass Index]]&lt;25,"Normal",
IF(tbl_abs[[#This Row],[Body Mass Index]]&lt;30,"Overweight",
"Obese"))),"")</f>
        <v>Normal</v>
      </c>
      <c r="Z589" s="53" t="str">
        <f>IFERROR(
IF(tbl_abs[[#This Row],[Absenteeism time in hours]]&lt;=2,"0–2",
IF(tbl_abs[[#This Row],[Absenteeism time in hours]]&lt;=8,"3–8",
IF(tbl_abs[[#This Row],[Absenteeism time in hours]]&lt;=16,"9–16",
"17+"))),"")</f>
        <v>0–2</v>
      </c>
    </row>
    <row r="590" spans="1:26" ht="15" customHeight="1" x14ac:dyDescent="0.3">
      <c r="A590">
        <v>5</v>
      </c>
      <c r="B590">
        <v>0</v>
      </c>
      <c r="C590" s="1">
        <v>10</v>
      </c>
      <c r="D590">
        <v>6</v>
      </c>
      <c r="E590">
        <v>4</v>
      </c>
      <c r="F590">
        <v>235</v>
      </c>
      <c r="G590" s="1">
        <v>20</v>
      </c>
      <c r="H590">
        <v>13</v>
      </c>
      <c r="I590" s="1">
        <v>43</v>
      </c>
      <c r="J590" s="2">
        <v>265017</v>
      </c>
      <c r="K590">
        <v>88</v>
      </c>
      <c r="L590">
        <v>1</v>
      </c>
      <c r="M590">
        <v>1</v>
      </c>
      <c r="N590">
        <v>1</v>
      </c>
      <c r="O590">
        <v>1</v>
      </c>
      <c r="P590">
        <v>0</v>
      </c>
      <c r="Q590">
        <v>0</v>
      </c>
      <c r="R590">
        <v>106</v>
      </c>
      <c r="S590">
        <v>167</v>
      </c>
      <c r="T590">
        <v>38</v>
      </c>
      <c r="U590">
        <v>0</v>
      </c>
      <c r="V590" s="53" t="str">
        <f>IFERROR(
IF(tbl_abs[[#This Row],[Month of absence]]=0,"Unknown",
CHOOSE(tbl_abs[[#This Row],[Month of absence]],
"Jan","Feb","Mar","Apr","May","Jun","Jul","Aug","Sep","Oct","Nov","Dec")),"")</f>
        <v>Oct</v>
      </c>
      <c r="W590" s="53" t="str">
        <f>IFERROR(
IF(tbl_abs[[#This Row],[Age]]&lt;30,"&lt;30",
IF(tbl_abs[[#This Row],[Age]]&lt;40,"30–39",
IF(tbl_abs[[#This Row],[Age]]&lt;50,"40–49",
IF(tbl_abs[[#This Row],[Age]]&lt;60,"50–59",
"60+")))),"")</f>
        <v>40–49</v>
      </c>
      <c r="X590" s="53" t="str">
        <f>IFERROR(
IF(tbl_abs[[#This Row],[Distance from Residence to Work]]&lt;=5,"0–5",
IF(tbl_abs[[#This Row],[Distance from Residence to Work]]&lt;=10,"6–10",
IF(tbl_abs[[#This Row],[Distance from Residence to Work]]&lt;=20,"11–20",
"21+"))),"")</f>
        <v>11–20</v>
      </c>
      <c r="Y590" s="53" t="str">
        <f>IFERROR(
IF(tbl_abs[[#This Row],[Body Mass Index]]&lt;18.5,"Underweight",
IF(tbl_abs[[#This Row],[Body Mass Index]]&lt;25,"Normal",
IF(tbl_abs[[#This Row],[Body Mass Index]]&lt;30,"Overweight",
"Obese"))),"")</f>
        <v>Obese</v>
      </c>
      <c r="Z590" s="53" t="str">
        <f>IFERROR(
IF(tbl_abs[[#This Row],[Absenteeism time in hours]]&lt;=2,"0–2",
IF(tbl_abs[[#This Row],[Absenteeism time in hours]]&lt;=8,"3–8",
IF(tbl_abs[[#This Row],[Absenteeism time in hours]]&lt;=16,"9–16",
"17+"))),"")</f>
        <v>0–2</v>
      </c>
    </row>
    <row r="591" spans="1:26" ht="15" customHeight="1" x14ac:dyDescent="0.3">
      <c r="A591">
        <v>5</v>
      </c>
      <c r="B591">
        <v>23</v>
      </c>
      <c r="C591" s="1">
        <v>10</v>
      </c>
      <c r="D591">
        <v>2</v>
      </c>
      <c r="E591">
        <v>4</v>
      </c>
      <c r="F591">
        <v>235</v>
      </c>
      <c r="G591" s="1">
        <v>20</v>
      </c>
      <c r="H591">
        <v>13</v>
      </c>
      <c r="I591" s="1">
        <v>43</v>
      </c>
      <c r="J591" s="2">
        <v>265017</v>
      </c>
      <c r="K591">
        <v>88</v>
      </c>
      <c r="L591">
        <v>0</v>
      </c>
      <c r="M591">
        <v>1</v>
      </c>
      <c r="N591">
        <v>1</v>
      </c>
      <c r="O591">
        <v>1</v>
      </c>
      <c r="P591">
        <v>0</v>
      </c>
      <c r="Q591">
        <v>0</v>
      </c>
      <c r="R591">
        <v>106</v>
      </c>
      <c r="S591">
        <v>167</v>
      </c>
      <c r="T591">
        <v>38</v>
      </c>
      <c r="U591">
        <v>2</v>
      </c>
      <c r="V591" s="53" t="str">
        <f>IFERROR(
IF(tbl_abs[[#This Row],[Month of absence]]=0,"Unknown",
CHOOSE(tbl_abs[[#This Row],[Month of absence]],
"Jan","Feb","Mar","Apr","May","Jun","Jul","Aug","Sep","Oct","Nov","Dec")),"")</f>
        <v>Oct</v>
      </c>
      <c r="W591" s="53" t="str">
        <f>IFERROR(
IF(tbl_abs[[#This Row],[Age]]&lt;30,"&lt;30",
IF(tbl_abs[[#This Row],[Age]]&lt;40,"30–39",
IF(tbl_abs[[#This Row],[Age]]&lt;50,"40–49",
IF(tbl_abs[[#This Row],[Age]]&lt;60,"50–59",
"60+")))),"")</f>
        <v>40–49</v>
      </c>
      <c r="X591" s="53" t="str">
        <f>IFERROR(
IF(tbl_abs[[#This Row],[Distance from Residence to Work]]&lt;=5,"0–5",
IF(tbl_abs[[#This Row],[Distance from Residence to Work]]&lt;=10,"6–10",
IF(tbl_abs[[#This Row],[Distance from Residence to Work]]&lt;=20,"11–20",
"21+"))),"")</f>
        <v>11–20</v>
      </c>
      <c r="Y591" s="53" t="str">
        <f>IFERROR(
IF(tbl_abs[[#This Row],[Body Mass Index]]&lt;18.5,"Underweight",
IF(tbl_abs[[#This Row],[Body Mass Index]]&lt;25,"Normal",
IF(tbl_abs[[#This Row],[Body Mass Index]]&lt;30,"Overweight",
"Obese"))),"")</f>
        <v>Obese</v>
      </c>
      <c r="Z591" s="53" t="str">
        <f>IFERROR(
IF(tbl_abs[[#This Row],[Absenteeism time in hours]]&lt;=2,"0–2",
IF(tbl_abs[[#This Row],[Absenteeism time in hours]]&lt;=8,"3–8",
IF(tbl_abs[[#This Row],[Absenteeism time in hours]]&lt;=16,"9–16",
"17+"))),"")</f>
        <v>0–2</v>
      </c>
    </row>
    <row r="592" spans="1:26" ht="15" customHeight="1" x14ac:dyDescent="0.3">
      <c r="A592">
        <v>5</v>
      </c>
      <c r="B592">
        <v>23</v>
      </c>
      <c r="C592" s="1">
        <v>10</v>
      </c>
      <c r="D592">
        <v>2</v>
      </c>
      <c r="E592">
        <v>4</v>
      </c>
      <c r="F592">
        <v>235</v>
      </c>
      <c r="G592" s="1">
        <v>20</v>
      </c>
      <c r="H592">
        <v>13</v>
      </c>
      <c r="I592" s="1">
        <v>43</v>
      </c>
      <c r="J592" s="2">
        <v>265017</v>
      </c>
      <c r="K592">
        <v>88</v>
      </c>
      <c r="L592">
        <v>0</v>
      </c>
      <c r="M592">
        <v>1</v>
      </c>
      <c r="N592">
        <v>1</v>
      </c>
      <c r="O592">
        <v>1</v>
      </c>
      <c r="P592">
        <v>0</v>
      </c>
      <c r="Q592">
        <v>0</v>
      </c>
      <c r="R592">
        <v>106</v>
      </c>
      <c r="S592">
        <v>167</v>
      </c>
      <c r="T592">
        <v>38</v>
      </c>
      <c r="U592">
        <v>2</v>
      </c>
      <c r="V592" s="53" t="str">
        <f>IFERROR(
IF(tbl_abs[[#This Row],[Month of absence]]=0,"Unknown",
CHOOSE(tbl_abs[[#This Row],[Month of absence]],
"Jan","Feb","Mar","Apr","May","Jun","Jul","Aug","Sep","Oct","Nov","Dec")),"")</f>
        <v>Oct</v>
      </c>
      <c r="W592" s="53" t="str">
        <f>IFERROR(
IF(tbl_abs[[#This Row],[Age]]&lt;30,"&lt;30",
IF(tbl_abs[[#This Row],[Age]]&lt;40,"30–39",
IF(tbl_abs[[#This Row],[Age]]&lt;50,"40–49",
IF(tbl_abs[[#This Row],[Age]]&lt;60,"50–59",
"60+")))),"")</f>
        <v>40–49</v>
      </c>
      <c r="X592" s="53" t="str">
        <f>IFERROR(
IF(tbl_abs[[#This Row],[Distance from Residence to Work]]&lt;=5,"0–5",
IF(tbl_abs[[#This Row],[Distance from Residence to Work]]&lt;=10,"6–10",
IF(tbl_abs[[#This Row],[Distance from Residence to Work]]&lt;=20,"11–20",
"21+"))),"")</f>
        <v>11–20</v>
      </c>
      <c r="Y592" s="53" t="str">
        <f>IFERROR(
IF(tbl_abs[[#This Row],[Body Mass Index]]&lt;18.5,"Underweight",
IF(tbl_abs[[#This Row],[Body Mass Index]]&lt;25,"Normal",
IF(tbl_abs[[#This Row],[Body Mass Index]]&lt;30,"Overweight",
"Obese"))),"")</f>
        <v>Obese</v>
      </c>
      <c r="Z592" s="53" t="str">
        <f>IFERROR(
IF(tbl_abs[[#This Row],[Absenteeism time in hours]]&lt;=2,"0–2",
IF(tbl_abs[[#This Row],[Absenteeism time in hours]]&lt;=8,"3–8",
IF(tbl_abs[[#This Row],[Absenteeism time in hours]]&lt;=16,"9–16",
"17+"))),"")</f>
        <v>0–2</v>
      </c>
    </row>
    <row r="593" spans="1:26" ht="15" customHeight="1" x14ac:dyDescent="0.3">
      <c r="A593">
        <v>36</v>
      </c>
      <c r="B593">
        <v>28</v>
      </c>
      <c r="C593" s="1">
        <v>10</v>
      </c>
      <c r="D593">
        <v>3</v>
      </c>
      <c r="E593">
        <v>4</v>
      </c>
      <c r="F593">
        <v>118</v>
      </c>
      <c r="G593" s="1">
        <v>13</v>
      </c>
      <c r="H593">
        <v>18</v>
      </c>
      <c r="I593" s="1">
        <v>50</v>
      </c>
      <c r="J593" s="2">
        <v>265017</v>
      </c>
      <c r="K593">
        <v>88</v>
      </c>
      <c r="L593">
        <v>0</v>
      </c>
      <c r="M593">
        <v>1</v>
      </c>
      <c r="N593">
        <v>1</v>
      </c>
      <c r="O593">
        <v>1</v>
      </c>
      <c r="P593">
        <v>0</v>
      </c>
      <c r="Q593">
        <v>0</v>
      </c>
      <c r="R593">
        <v>98</v>
      </c>
      <c r="S593">
        <v>178</v>
      </c>
      <c r="T593">
        <v>31</v>
      </c>
      <c r="U593">
        <v>1</v>
      </c>
      <c r="V593" s="53" t="str">
        <f>IFERROR(
IF(tbl_abs[[#This Row],[Month of absence]]=0,"Unknown",
CHOOSE(tbl_abs[[#This Row],[Month of absence]],
"Jan","Feb","Mar","Apr","May","Jun","Jul","Aug","Sep","Oct","Nov","Dec")),"")</f>
        <v>Oct</v>
      </c>
      <c r="W593" s="53" t="str">
        <f>IFERROR(
IF(tbl_abs[[#This Row],[Age]]&lt;30,"&lt;30",
IF(tbl_abs[[#This Row],[Age]]&lt;40,"30–39",
IF(tbl_abs[[#This Row],[Age]]&lt;50,"40–49",
IF(tbl_abs[[#This Row],[Age]]&lt;60,"50–59",
"60+")))),"")</f>
        <v>50–59</v>
      </c>
      <c r="X593" s="53" t="str">
        <f>IFERROR(
IF(tbl_abs[[#This Row],[Distance from Residence to Work]]&lt;=5,"0–5",
IF(tbl_abs[[#This Row],[Distance from Residence to Work]]&lt;=10,"6–10",
IF(tbl_abs[[#This Row],[Distance from Residence to Work]]&lt;=20,"11–20",
"21+"))),"")</f>
        <v>11–20</v>
      </c>
      <c r="Y593" s="53" t="str">
        <f>IFERROR(
IF(tbl_abs[[#This Row],[Body Mass Index]]&lt;18.5,"Underweight",
IF(tbl_abs[[#This Row],[Body Mass Index]]&lt;25,"Normal",
IF(tbl_abs[[#This Row],[Body Mass Index]]&lt;30,"Overweight",
"Obese"))),"")</f>
        <v>Obese</v>
      </c>
      <c r="Z593" s="53" t="str">
        <f>IFERROR(
IF(tbl_abs[[#This Row],[Absenteeism time in hours]]&lt;=2,"0–2",
IF(tbl_abs[[#This Row],[Absenteeism time in hours]]&lt;=8,"3–8",
IF(tbl_abs[[#This Row],[Absenteeism time in hours]]&lt;=16,"9–16",
"17+"))),"")</f>
        <v>0–2</v>
      </c>
    </row>
    <row r="594" spans="1:26" ht="15" customHeight="1" x14ac:dyDescent="0.3">
      <c r="A594">
        <v>15</v>
      </c>
      <c r="B594">
        <v>28</v>
      </c>
      <c r="C594" s="1">
        <v>10</v>
      </c>
      <c r="D594">
        <v>3</v>
      </c>
      <c r="E594">
        <v>4</v>
      </c>
      <c r="F594">
        <v>291</v>
      </c>
      <c r="G594" s="1">
        <v>31</v>
      </c>
      <c r="H594">
        <v>12</v>
      </c>
      <c r="I594" s="1">
        <v>40</v>
      </c>
      <c r="J594" s="2">
        <v>265017</v>
      </c>
      <c r="K594">
        <v>88</v>
      </c>
      <c r="L594">
        <v>0</v>
      </c>
      <c r="M594">
        <v>1</v>
      </c>
      <c r="N594">
        <v>1</v>
      </c>
      <c r="O594">
        <v>1</v>
      </c>
      <c r="P594">
        <v>0</v>
      </c>
      <c r="Q594">
        <v>1</v>
      </c>
      <c r="R594">
        <v>73</v>
      </c>
      <c r="S594">
        <v>171</v>
      </c>
      <c r="T594">
        <v>25</v>
      </c>
      <c r="U594">
        <v>4</v>
      </c>
      <c r="V594" s="53" t="str">
        <f>IFERROR(
IF(tbl_abs[[#This Row],[Month of absence]]=0,"Unknown",
CHOOSE(tbl_abs[[#This Row],[Month of absence]],
"Jan","Feb","Mar","Apr","May","Jun","Jul","Aug","Sep","Oct","Nov","Dec")),"")</f>
        <v>Oct</v>
      </c>
      <c r="W594" s="53" t="str">
        <f>IFERROR(
IF(tbl_abs[[#This Row],[Age]]&lt;30,"&lt;30",
IF(tbl_abs[[#This Row],[Age]]&lt;40,"30–39",
IF(tbl_abs[[#This Row],[Age]]&lt;50,"40–49",
IF(tbl_abs[[#This Row],[Age]]&lt;60,"50–59",
"60+")))),"")</f>
        <v>40–49</v>
      </c>
      <c r="X594" s="53" t="str">
        <f>IFERROR(
IF(tbl_abs[[#This Row],[Distance from Residence to Work]]&lt;=5,"0–5",
IF(tbl_abs[[#This Row],[Distance from Residence to Work]]&lt;=10,"6–10",
IF(tbl_abs[[#This Row],[Distance from Residence to Work]]&lt;=20,"11–20",
"21+"))),"")</f>
        <v>21+</v>
      </c>
      <c r="Y594" s="53" t="str">
        <f>IFERROR(
IF(tbl_abs[[#This Row],[Body Mass Index]]&lt;18.5,"Underweight",
IF(tbl_abs[[#This Row],[Body Mass Index]]&lt;25,"Normal",
IF(tbl_abs[[#This Row],[Body Mass Index]]&lt;30,"Overweight",
"Obese"))),"")</f>
        <v>Overweight</v>
      </c>
      <c r="Z594" s="53" t="str">
        <f>IFERROR(
IF(tbl_abs[[#This Row],[Absenteeism time in hours]]&lt;=2,"0–2",
IF(tbl_abs[[#This Row],[Absenteeism time in hours]]&lt;=8,"3–8",
IF(tbl_abs[[#This Row],[Absenteeism time in hours]]&lt;=16,"9–16",
"17+"))),"")</f>
        <v>3–8</v>
      </c>
    </row>
    <row r="595" spans="1:26" ht="15" customHeight="1" x14ac:dyDescent="0.3">
      <c r="A595">
        <v>22</v>
      </c>
      <c r="B595">
        <v>23</v>
      </c>
      <c r="C595" s="1">
        <v>10</v>
      </c>
      <c r="D595">
        <v>5</v>
      </c>
      <c r="E595">
        <v>4</v>
      </c>
      <c r="F595">
        <v>179</v>
      </c>
      <c r="G595" s="1">
        <v>26</v>
      </c>
      <c r="H595">
        <v>9</v>
      </c>
      <c r="I595" s="1">
        <v>30</v>
      </c>
      <c r="J595" s="2">
        <v>265017</v>
      </c>
      <c r="K595">
        <v>88</v>
      </c>
      <c r="L595">
        <v>0</v>
      </c>
      <c r="M595">
        <v>3</v>
      </c>
      <c r="N595">
        <v>0</v>
      </c>
      <c r="O595">
        <v>0</v>
      </c>
      <c r="P595">
        <v>0</v>
      </c>
      <c r="Q595">
        <v>0</v>
      </c>
      <c r="R595">
        <v>56</v>
      </c>
      <c r="S595">
        <v>171</v>
      </c>
      <c r="T595">
        <v>19</v>
      </c>
      <c r="U595">
        <v>16</v>
      </c>
      <c r="V595" s="53" t="str">
        <f>IFERROR(
IF(tbl_abs[[#This Row],[Month of absence]]=0,"Unknown",
CHOOSE(tbl_abs[[#This Row],[Month of absence]],
"Jan","Feb","Mar","Apr","May","Jun","Jul","Aug","Sep","Oct","Nov","Dec")),"")</f>
        <v>Oct</v>
      </c>
      <c r="W595" s="53" t="str">
        <f>IFERROR(
IF(tbl_abs[[#This Row],[Age]]&lt;30,"&lt;30",
IF(tbl_abs[[#This Row],[Age]]&lt;40,"30–39",
IF(tbl_abs[[#This Row],[Age]]&lt;50,"40–49",
IF(tbl_abs[[#This Row],[Age]]&lt;60,"50–59",
"60+")))),"")</f>
        <v>30–39</v>
      </c>
      <c r="X595" s="53" t="str">
        <f>IFERROR(
IF(tbl_abs[[#This Row],[Distance from Residence to Work]]&lt;=5,"0–5",
IF(tbl_abs[[#This Row],[Distance from Residence to Work]]&lt;=10,"6–10",
IF(tbl_abs[[#This Row],[Distance from Residence to Work]]&lt;=20,"11–20",
"21+"))),"")</f>
        <v>21+</v>
      </c>
      <c r="Y595" s="53" t="str">
        <f>IFERROR(
IF(tbl_abs[[#This Row],[Body Mass Index]]&lt;18.5,"Underweight",
IF(tbl_abs[[#This Row],[Body Mass Index]]&lt;25,"Normal",
IF(tbl_abs[[#This Row],[Body Mass Index]]&lt;30,"Overweight",
"Obese"))),"")</f>
        <v>Normal</v>
      </c>
      <c r="Z595" s="53" t="str">
        <f>IFERROR(
IF(tbl_abs[[#This Row],[Absenteeism time in hours]]&lt;=2,"0–2",
IF(tbl_abs[[#This Row],[Absenteeism time in hours]]&lt;=8,"3–8",
IF(tbl_abs[[#This Row],[Absenteeism time in hours]]&lt;=16,"9–16",
"17+"))),"")</f>
        <v>9–16</v>
      </c>
    </row>
    <row r="596" spans="1:26" ht="15" customHeight="1" x14ac:dyDescent="0.3">
      <c r="A596">
        <v>36</v>
      </c>
      <c r="B596">
        <v>28</v>
      </c>
      <c r="C596" s="1">
        <v>10</v>
      </c>
      <c r="D596">
        <v>5</v>
      </c>
      <c r="E596">
        <v>4</v>
      </c>
      <c r="F596">
        <v>118</v>
      </c>
      <c r="G596" s="1">
        <v>13</v>
      </c>
      <c r="H596">
        <v>18</v>
      </c>
      <c r="I596" s="1">
        <v>50</v>
      </c>
      <c r="J596" s="2">
        <v>265017</v>
      </c>
      <c r="K596">
        <v>88</v>
      </c>
      <c r="L596">
        <v>0</v>
      </c>
      <c r="M596">
        <v>1</v>
      </c>
      <c r="N596">
        <v>1</v>
      </c>
      <c r="O596">
        <v>1</v>
      </c>
      <c r="P596">
        <v>0</v>
      </c>
      <c r="Q596">
        <v>0</v>
      </c>
      <c r="R596">
        <v>98</v>
      </c>
      <c r="S596">
        <v>178</v>
      </c>
      <c r="T596">
        <v>31</v>
      </c>
      <c r="U596">
        <v>1</v>
      </c>
      <c r="V596" s="53" t="str">
        <f>IFERROR(
IF(tbl_abs[[#This Row],[Month of absence]]=0,"Unknown",
CHOOSE(tbl_abs[[#This Row],[Month of absence]],
"Jan","Feb","Mar","Apr","May","Jun","Jul","Aug","Sep","Oct","Nov","Dec")),"")</f>
        <v>Oct</v>
      </c>
      <c r="W596" s="53" t="str">
        <f>IFERROR(
IF(tbl_abs[[#This Row],[Age]]&lt;30,"&lt;30",
IF(tbl_abs[[#This Row],[Age]]&lt;40,"30–39",
IF(tbl_abs[[#This Row],[Age]]&lt;50,"40–49",
IF(tbl_abs[[#This Row],[Age]]&lt;60,"50–59",
"60+")))),"")</f>
        <v>50–59</v>
      </c>
      <c r="X596" s="53" t="str">
        <f>IFERROR(
IF(tbl_abs[[#This Row],[Distance from Residence to Work]]&lt;=5,"0–5",
IF(tbl_abs[[#This Row],[Distance from Residence to Work]]&lt;=10,"6–10",
IF(tbl_abs[[#This Row],[Distance from Residence to Work]]&lt;=20,"11–20",
"21+"))),"")</f>
        <v>11–20</v>
      </c>
      <c r="Y596" s="53" t="str">
        <f>IFERROR(
IF(tbl_abs[[#This Row],[Body Mass Index]]&lt;18.5,"Underweight",
IF(tbl_abs[[#This Row],[Body Mass Index]]&lt;25,"Normal",
IF(tbl_abs[[#This Row],[Body Mass Index]]&lt;30,"Overweight",
"Obese"))),"")</f>
        <v>Obese</v>
      </c>
      <c r="Z596" s="53" t="str">
        <f>IFERROR(
IF(tbl_abs[[#This Row],[Absenteeism time in hours]]&lt;=2,"0–2",
IF(tbl_abs[[#This Row],[Absenteeism time in hours]]&lt;=8,"3–8",
IF(tbl_abs[[#This Row],[Absenteeism time in hours]]&lt;=16,"9–16",
"17+"))),"")</f>
        <v>0–2</v>
      </c>
    </row>
    <row r="597" spans="1:26" ht="15" customHeight="1" x14ac:dyDescent="0.3">
      <c r="A597">
        <v>10</v>
      </c>
      <c r="B597">
        <v>10</v>
      </c>
      <c r="C597" s="1">
        <v>10</v>
      </c>
      <c r="D597">
        <v>2</v>
      </c>
      <c r="E597">
        <v>4</v>
      </c>
      <c r="F597">
        <v>361</v>
      </c>
      <c r="G597" s="1">
        <v>52</v>
      </c>
      <c r="H597">
        <v>3</v>
      </c>
      <c r="I597" s="1">
        <v>28</v>
      </c>
      <c r="J597" s="2">
        <v>265017</v>
      </c>
      <c r="K597">
        <v>88</v>
      </c>
      <c r="L597">
        <v>0</v>
      </c>
      <c r="M597">
        <v>1</v>
      </c>
      <c r="N597">
        <v>1</v>
      </c>
      <c r="O597">
        <v>1</v>
      </c>
      <c r="P597">
        <v>0</v>
      </c>
      <c r="Q597">
        <v>4</v>
      </c>
      <c r="R597">
        <v>80</v>
      </c>
      <c r="S597">
        <v>172</v>
      </c>
      <c r="T597">
        <v>27</v>
      </c>
      <c r="U597">
        <v>8</v>
      </c>
      <c r="V597" s="53" t="str">
        <f>IFERROR(
IF(tbl_abs[[#This Row],[Month of absence]]=0,"Unknown",
CHOOSE(tbl_abs[[#This Row],[Month of absence]],
"Jan","Feb","Mar","Apr","May","Jun","Jul","Aug","Sep","Oct","Nov","Dec")),"")</f>
        <v>Oct</v>
      </c>
      <c r="W597" s="53" t="str">
        <f>IFERROR(
IF(tbl_abs[[#This Row],[Age]]&lt;30,"&lt;30",
IF(tbl_abs[[#This Row],[Age]]&lt;40,"30–39",
IF(tbl_abs[[#This Row],[Age]]&lt;50,"40–49",
IF(tbl_abs[[#This Row],[Age]]&lt;60,"50–59",
"60+")))),"")</f>
        <v>&lt;30</v>
      </c>
      <c r="X597" s="53" t="str">
        <f>IFERROR(
IF(tbl_abs[[#This Row],[Distance from Residence to Work]]&lt;=5,"0–5",
IF(tbl_abs[[#This Row],[Distance from Residence to Work]]&lt;=10,"6–10",
IF(tbl_abs[[#This Row],[Distance from Residence to Work]]&lt;=20,"11–20",
"21+"))),"")</f>
        <v>21+</v>
      </c>
      <c r="Y597" s="53" t="str">
        <f>IFERROR(
IF(tbl_abs[[#This Row],[Body Mass Index]]&lt;18.5,"Underweight",
IF(tbl_abs[[#This Row],[Body Mass Index]]&lt;25,"Normal",
IF(tbl_abs[[#This Row],[Body Mass Index]]&lt;30,"Overweight",
"Obese"))),"")</f>
        <v>Overweight</v>
      </c>
      <c r="Z597" s="53" t="str">
        <f>IFERROR(
IF(tbl_abs[[#This Row],[Absenteeism time in hours]]&lt;=2,"0–2",
IF(tbl_abs[[#This Row],[Absenteeism time in hours]]&lt;=8,"3–8",
IF(tbl_abs[[#This Row],[Absenteeism time in hours]]&lt;=16,"9–16",
"17+"))),"")</f>
        <v>3–8</v>
      </c>
    </row>
    <row r="598" spans="1:26" ht="15" customHeight="1" x14ac:dyDescent="0.3">
      <c r="A598">
        <v>20</v>
      </c>
      <c r="B598">
        <v>0</v>
      </c>
      <c r="C598" s="1">
        <v>10</v>
      </c>
      <c r="D598">
        <v>3</v>
      </c>
      <c r="E598">
        <v>4</v>
      </c>
      <c r="F598">
        <v>260</v>
      </c>
      <c r="G598" s="1">
        <v>50</v>
      </c>
      <c r="H598">
        <v>11</v>
      </c>
      <c r="I598" s="1">
        <v>36</v>
      </c>
      <c r="J598" s="2">
        <v>265017</v>
      </c>
      <c r="K598">
        <v>88</v>
      </c>
      <c r="L598">
        <v>1</v>
      </c>
      <c r="M598">
        <v>1</v>
      </c>
      <c r="N598">
        <v>4</v>
      </c>
      <c r="O598">
        <v>1</v>
      </c>
      <c r="P598">
        <v>0</v>
      </c>
      <c r="Q598">
        <v>0</v>
      </c>
      <c r="R598">
        <v>65</v>
      </c>
      <c r="S598">
        <v>168</v>
      </c>
      <c r="T598">
        <v>23</v>
      </c>
      <c r="U598">
        <v>0</v>
      </c>
      <c r="V598" s="53" t="str">
        <f>IFERROR(
IF(tbl_abs[[#This Row],[Month of absence]]=0,"Unknown",
CHOOSE(tbl_abs[[#This Row],[Month of absence]],
"Jan","Feb","Mar","Apr","May","Jun","Jul","Aug","Sep","Oct","Nov","Dec")),"")</f>
        <v>Oct</v>
      </c>
      <c r="W598" s="53" t="str">
        <f>IFERROR(
IF(tbl_abs[[#This Row],[Age]]&lt;30,"&lt;30",
IF(tbl_abs[[#This Row],[Age]]&lt;40,"30–39",
IF(tbl_abs[[#This Row],[Age]]&lt;50,"40–49",
IF(tbl_abs[[#This Row],[Age]]&lt;60,"50–59",
"60+")))),"")</f>
        <v>30–39</v>
      </c>
      <c r="X598" s="53" t="str">
        <f>IFERROR(
IF(tbl_abs[[#This Row],[Distance from Residence to Work]]&lt;=5,"0–5",
IF(tbl_abs[[#This Row],[Distance from Residence to Work]]&lt;=10,"6–10",
IF(tbl_abs[[#This Row],[Distance from Residence to Work]]&lt;=20,"11–20",
"21+"))),"")</f>
        <v>21+</v>
      </c>
      <c r="Y598" s="53" t="str">
        <f>IFERROR(
IF(tbl_abs[[#This Row],[Body Mass Index]]&lt;18.5,"Underweight",
IF(tbl_abs[[#This Row],[Body Mass Index]]&lt;25,"Normal",
IF(tbl_abs[[#This Row],[Body Mass Index]]&lt;30,"Overweight",
"Obese"))),"")</f>
        <v>Normal</v>
      </c>
      <c r="Z598" s="53" t="str">
        <f>IFERROR(
IF(tbl_abs[[#This Row],[Absenteeism time in hours]]&lt;=2,"0–2",
IF(tbl_abs[[#This Row],[Absenteeism time in hours]]&lt;=8,"3–8",
IF(tbl_abs[[#This Row],[Absenteeism time in hours]]&lt;=16,"9–16",
"17+"))),"")</f>
        <v>0–2</v>
      </c>
    </row>
    <row r="599" spans="1:26" ht="15" customHeight="1" x14ac:dyDescent="0.3">
      <c r="A599">
        <v>15</v>
      </c>
      <c r="B599">
        <v>0</v>
      </c>
      <c r="C599" s="1">
        <v>10</v>
      </c>
      <c r="D599">
        <v>3</v>
      </c>
      <c r="E599">
        <v>4</v>
      </c>
      <c r="F599">
        <v>291</v>
      </c>
      <c r="G599" s="1">
        <v>31</v>
      </c>
      <c r="H599">
        <v>12</v>
      </c>
      <c r="I599" s="1">
        <v>40</v>
      </c>
      <c r="J599" s="2">
        <v>265017</v>
      </c>
      <c r="K599">
        <v>88</v>
      </c>
      <c r="L599">
        <v>1</v>
      </c>
      <c r="M599">
        <v>1</v>
      </c>
      <c r="N599">
        <v>1</v>
      </c>
      <c r="O599">
        <v>1</v>
      </c>
      <c r="P599">
        <v>0</v>
      </c>
      <c r="Q599">
        <v>1</v>
      </c>
      <c r="R599">
        <v>73</v>
      </c>
      <c r="S599">
        <v>171</v>
      </c>
      <c r="T599">
        <v>25</v>
      </c>
      <c r="U599">
        <v>0</v>
      </c>
      <c r="V599" s="53" t="str">
        <f>IFERROR(
IF(tbl_abs[[#This Row],[Month of absence]]=0,"Unknown",
CHOOSE(tbl_abs[[#This Row],[Month of absence]],
"Jan","Feb","Mar","Apr","May","Jun","Jul","Aug","Sep","Oct","Nov","Dec")),"")</f>
        <v>Oct</v>
      </c>
      <c r="W599" s="53" t="str">
        <f>IFERROR(
IF(tbl_abs[[#This Row],[Age]]&lt;30,"&lt;30",
IF(tbl_abs[[#This Row],[Age]]&lt;40,"30–39",
IF(tbl_abs[[#This Row],[Age]]&lt;50,"40–49",
IF(tbl_abs[[#This Row],[Age]]&lt;60,"50–59",
"60+")))),"")</f>
        <v>40–49</v>
      </c>
      <c r="X599" s="53" t="str">
        <f>IFERROR(
IF(tbl_abs[[#This Row],[Distance from Residence to Work]]&lt;=5,"0–5",
IF(tbl_abs[[#This Row],[Distance from Residence to Work]]&lt;=10,"6–10",
IF(tbl_abs[[#This Row],[Distance from Residence to Work]]&lt;=20,"11–20",
"21+"))),"")</f>
        <v>21+</v>
      </c>
      <c r="Y599" s="53" t="str">
        <f>IFERROR(
IF(tbl_abs[[#This Row],[Body Mass Index]]&lt;18.5,"Underweight",
IF(tbl_abs[[#This Row],[Body Mass Index]]&lt;25,"Normal",
IF(tbl_abs[[#This Row],[Body Mass Index]]&lt;30,"Overweight",
"Obese"))),"")</f>
        <v>Overweight</v>
      </c>
      <c r="Z599" s="53" t="str">
        <f>IFERROR(
IF(tbl_abs[[#This Row],[Absenteeism time in hours]]&lt;=2,"0–2",
IF(tbl_abs[[#This Row],[Absenteeism time in hours]]&lt;=8,"3–8",
IF(tbl_abs[[#This Row],[Absenteeism time in hours]]&lt;=16,"9–16",
"17+"))),"")</f>
        <v>0–2</v>
      </c>
    </row>
    <row r="600" spans="1:26" ht="15" customHeight="1" x14ac:dyDescent="0.3">
      <c r="A600">
        <v>30</v>
      </c>
      <c r="B600">
        <v>0</v>
      </c>
      <c r="C600" s="1">
        <v>10</v>
      </c>
      <c r="D600">
        <v>3</v>
      </c>
      <c r="E600">
        <v>4</v>
      </c>
      <c r="F600">
        <v>157</v>
      </c>
      <c r="G600" s="1">
        <v>27</v>
      </c>
      <c r="H600">
        <v>6</v>
      </c>
      <c r="I600" s="1">
        <v>29</v>
      </c>
      <c r="J600" s="2">
        <v>265017</v>
      </c>
      <c r="K600">
        <v>88</v>
      </c>
      <c r="L600">
        <v>1</v>
      </c>
      <c r="M600">
        <v>1</v>
      </c>
      <c r="N600">
        <v>0</v>
      </c>
      <c r="O600">
        <v>1</v>
      </c>
      <c r="P600">
        <v>1</v>
      </c>
      <c r="Q600">
        <v>0</v>
      </c>
      <c r="R600">
        <v>75</v>
      </c>
      <c r="S600">
        <v>185</v>
      </c>
      <c r="T600">
        <v>22</v>
      </c>
      <c r="V600" s="53" t="str">
        <f>IFERROR(
IF(tbl_abs[[#This Row],[Month of absence]]=0,"Unknown",
CHOOSE(tbl_abs[[#This Row],[Month of absence]],
"Jan","Feb","Mar","Apr","May","Jun","Jul","Aug","Sep","Oct","Nov","Dec")),"")</f>
        <v>Oct</v>
      </c>
      <c r="W600" s="53" t="str">
        <f>IFERROR(
IF(tbl_abs[[#This Row],[Age]]&lt;30,"&lt;30",
IF(tbl_abs[[#This Row],[Age]]&lt;40,"30–39",
IF(tbl_abs[[#This Row],[Age]]&lt;50,"40–49",
IF(tbl_abs[[#This Row],[Age]]&lt;60,"50–59",
"60+")))),"")</f>
        <v>&lt;30</v>
      </c>
      <c r="X600" s="53" t="str">
        <f>IFERROR(
IF(tbl_abs[[#This Row],[Distance from Residence to Work]]&lt;=5,"0–5",
IF(tbl_abs[[#This Row],[Distance from Residence to Work]]&lt;=10,"6–10",
IF(tbl_abs[[#This Row],[Distance from Residence to Work]]&lt;=20,"11–20",
"21+"))),"")</f>
        <v>21+</v>
      </c>
      <c r="Y600" s="53" t="str">
        <f>IFERROR(
IF(tbl_abs[[#This Row],[Body Mass Index]]&lt;18.5,"Underweight",
IF(tbl_abs[[#This Row],[Body Mass Index]]&lt;25,"Normal",
IF(tbl_abs[[#This Row],[Body Mass Index]]&lt;30,"Overweight",
"Obese"))),"")</f>
        <v>Normal</v>
      </c>
      <c r="Z600" s="53" t="str">
        <f>IFERROR(
IF(tbl_abs[[#This Row],[Absenteeism time in hours]]&lt;=2,"0–2",
IF(tbl_abs[[#This Row],[Absenteeism time in hours]]&lt;=8,"3–8",
IF(tbl_abs[[#This Row],[Absenteeism time in hours]]&lt;=16,"9–16",
"17+"))),"")</f>
        <v>0–2</v>
      </c>
    </row>
    <row r="601" spans="1:26" ht="15" customHeight="1" x14ac:dyDescent="0.3">
      <c r="A601">
        <v>22</v>
      </c>
      <c r="B601">
        <v>1</v>
      </c>
      <c r="C601" s="1">
        <v>10</v>
      </c>
      <c r="D601">
        <v>4</v>
      </c>
      <c r="E601">
        <v>4</v>
      </c>
      <c r="F601">
        <v>179</v>
      </c>
      <c r="G601" s="1">
        <v>26</v>
      </c>
      <c r="H601">
        <v>9</v>
      </c>
      <c r="I601" s="1">
        <v>30</v>
      </c>
      <c r="J601" s="2">
        <v>265017</v>
      </c>
      <c r="K601">
        <v>88</v>
      </c>
      <c r="L601">
        <v>0</v>
      </c>
      <c r="M601">
        <v>3</v>
      </c>
      <c r="N601">
        <v>0</v>
      </c>
      <c r="O601">
        <v>0</v>
      </c>
      <c r="P601">
        <v>0</v>
      </c>
      <c r="Q601">
        <v>0</v>
      </c>
      <c r="R601">
        <v>56</v>
      </c>
      <c r="S601">
        <v>171</v>
      </c>
      <c r="T601">
        <v>19</v>
      </c>
      <c r="U601">
        <v>5</v>
      </c>
      <c r="V601" s="53" t="str">
        <f>IFERROR(
IF(tbl_abs[[#This Row],[Month of absence]]=0,"Unknown",
CHOOSE(tbl_abs[[#This Row],[Month of absence]],
"Jan","Feb","Mar","Apr","May","Jun","Jul","Aug","Sep","Oct","Nov","Dec")),"")</f>
        <v>Oct</v>
      </c>
      <c r="W601" s="53" t="str">
        <f>IFERROR(
IF(tbl_abs[[#This Row],[Age]]&lt;30,"&lt;30",
IF(tbl_abs[[#This Row],[Age]]&lt;40,"30–39",
IF(tbl_abs[[#This Row],[Age]]&lt;50,"40–49",
IF(tbl_abs[[#This Row],[Age]]&lt;60,"50–59",
"60+")))),"")</f>
        <v>30–39</v>
      </c>
      <c r="X601" s="53" t="str">
        <f>IFERROR(
IF(tbl_abs[[#This Row],[Distance from Residence to Work]]&lt;=5,"0–5",
IF(tbl_abs[[#This Row],[Distance from Residence to Work]]&lt;=10,"6–10",
IF(tbl_abs[[#This Row],[Distance from Residence to Work]]&lt;=20,"11–20",
"21+"))),"")</f>
        <v>21+</v>
      </c>
      <c r="Y601" s="53" t="str">
        <f>IFERROR(
IF(tbl_abs[[#This Row],[Body Mass Index]]&lt;18.5,"Underweight",
IF(tbl_abs[[#This Row],[Body Mass Index]]&lt;25,"Normal",
IF(tbl_abs[[#This Row],[Body Mass Index]]&lt;30,"Overweight",
"Obese"))),"")</f>
        <v>Normal</v>
      </c>
      <c r="Z601" s="53" t="str">
        <f>IFERROR(
IF(tbl_abs[[#This Row],[Absenteeism time in hours]]&lt;=2,"0–2",
IF(tbl_abs[[#This Row],[Absenteeism time in hours]]&lt;=8,"3–8",
IF(tbl_abs[[#This Row],[Absenteeism time in hours]]&lt;=16,"9–16",
"17+"))),"")</f>
        <v>3–8</v>
      </c>
    </row>
    <row r="602" spans="1:26" ht="15" customHeight="1" x14ac:dyDescent="0.3">
      <c r="A602">
        <v>22</v>
      </c>
      <c r="B602">
        <v>7</v>
      </c>
      <c r="C602" s="1">
        <v>10</v>
      </c>
      <c r="D602">
        <v>4</v>
      </c>
      <c r="E602">
        <v>4</v>
      </c>
      <c r="F602">
        <v>179</v>
      </c>
      <c r="G602" s="1">
        <v>26</v>
      </c>
      <c r="H602">
        <v>9</v>
      </c>
      <c r="I602" s="1">
        <v>30</v>
      </c>
      <c r="J602" s="2">
        <v>265017</v>
      </c>
      <c r="K602">
        <v>88</v>
      </c>
      <c r="L602">
        <v>0</v>
      </c>
      <c r="M602">
        <v>3</v>
      </c>
      <c r="N602">
        <v>0</v>
      </c>
      <c r="O602">
        <v>0</v>
      </c>
      <c r="P602">
        <v>0</v>
      </c>
      <c r="Q602">
        <v>0</v>
      </c>
      <c r="R602">
        <v>56</v>
      </c>
      <c r="S602">
        <v>171</v>
      </c>
      <c r="T602">
        <v>19</v>
      </c>
      <c r="U602">
        <v>5</v>
      </c>
      <c r="V602" s="53" t="str">
        <f>IFERROR(
IF(tbl_abs[[#This Row],[Month of absence]]=0,"Unknown",
CHOOSE(tbl_abs[[#This Row],[Month of absence]],
"Jan","Feb","Mar","Apr","May","Jun","Jul","Aug","Sep","Oct","Nov","Dec")),"")</f>
        <v>Oct</v>
      </c>
      <c r="W602" s="53" t="str">
        <f>IFERROR(
IF(tbl_abs[[#This Row],[Age]]&lt;30,"&lt;30",
IF(tbl_abs[[#This Row],[Age]]&lt;40,"30–39",
IF(tbl_abs[[#This Row],[Age]]&lt;50,"40–49",
IF(tbl_abs[[#This Row],[Age]]&lt;60,"50–59",
"60+")))),"")</f>
        <v>30–39</v>
      </c>
      <c r="X602" s="53" t="str">
        <f>IFERROR(
IF(tbl_abs[[#This Row],[Distance from Residence to Work]]&lt;=5,"0–5",
IF(tbl_abs[[#This Row],[Distance from Residence to Work]]&lt;=10,"6–10",
IF(tbl_abs[[#This Row],[Distance from Residence to Work]]&lt;=20,"11–20",
"21+"))),"")</f>
        <v>21+</v>
      </c>
      <c r="Y602" s="53" t="str">
        <f>IFERROR(
IF(tbl_abs[[#This Row],[Body Mass Index]]&lt;18.5,"Underweight",
IF(tbl_abs[[#This Row],[Body Mass Index]]&lt;25,"Normal",
IF(tbl_abs[[#This Row],[Body Mass Index]]&lt;30,"Overweight",
"Obese"))),"")</f>
        <v>Normal</v>
      </c>
      <c r="Z602" s="53" t="str">
        <f>IFERROR(
IF(tbl_abs[[#This Row],[Absenteeism time in hours]]&lt;=2,"0–2",
IF(tbl_abs[[#This Row],[Absenteeism time in hours]]&lt;=8,"3–8",
IF(tbl_abs[[#This Row],[Absenteeism time in hours]]&lt;=16,"9–16",
"17+"))),"")</f>
        <v>3–8</v>
      </c>
    </row>
    <row r="603" spans="1:26" ht="15" customHeight="1" x14ac:dyDescent="0.3">
      <c r="A603">
        <v>36</v>
      </c>
      <c r="B603">
        <v>23</v>
      </c>
      <c r="C603" s="1">
        <v>10</v>
      </c>
      <c r="D603">
        <v>5</v>
      </c>
      <c r="E603">
        <v>4</v>
      </c>
      <c r="F603">
        <v>118</v>
      </c>
      <c r="G603" s="1">
        <v>13</v>
      </c>
      <c r="H603">
        <v>18</v>
      </c>
      <c r="I603" s="1">
        <v>50</v>
      </c>
      <c r="J603" s="2">
        <v>265017</v>
      </c>
      <c r="K603">
        <v>88</v>
      </c>
      <c r="L603">
        <v>0</v>
      </c>
      <c r="M603">
        <v>1</v>
      </c>
      <c r="N603">
        <v>1</v>
      </c>
      <c r="O603">
        <v>1</v>
      </c>
      <c r="P603">
        <v>0</v>
      </c>
      <c r="Q603">
        <v>0</v>
      </c>
      <c r="R603">
        <v>98</v>
      </c>
      <c r="S603">
        <v>178</v>
      </c>
      <c r="T603">
        <v>31</v>
      </c>
      <c r="U603">
        <v>1</v>
      </c>
      <c r="V603" s="53" t="str">
        <f>IFERROR(
IF(tbl_abs[[#This Row],[Month of absence]]=0,"Unknown",
CHOOSE(tbl_abs[[#This Row],[Month of absence]],
"Jan","Feb","Mar","Apr","May","Jun","Jul","Aug","Sep","Oct","Nov","Dec")),"")</f>
        <v>Oct</v>
      </c>
      <c r="W603" s="53" t="str">
        <f>IFERROR(
IF(tbl_abs[[#This Row],[Age]]&lt;30,"&lt;30",
IF(tbl_abs[[#This Row],[Age]]&lt;40,"30–39",
IF(tbl_abs[[#This Row],[Age]]&lt;50,"40–49",
IF(tbl_abs[[#This Row],[Age]]&lt;60,"50–59",
"60+")))),"")</f>
        <v>50–59</v>
      </c>
      <c r="X603" s="53" t="str">
        <f>IFERROR(
IF(tbl_abs[[#This Row],[Distance from Residence to Work]]&lt;=5,"0–5",
IF(tbl_abs[[#This Row],[Distance from Residence to Work]]&lt;=10,"6–10",
IF(tbl_abs[[#This Row],[Distance from Residence to Work]]&lt;=20,"11–20",
"21+"))),"")</f>
        <v>11–20</v>
      </c>
      <c r="Y603" s="53" t="str">
        <f>IFERROR(
IF(tbl_abs[[#This Row],[Body Mass Index]]&lt;18.5,"Underweight",
IF(tbl_abs[[#This Row],[Body Mass Index]]&lt;25,"Normal",
IF(tbl_abs[[#This Row],[Body Mass Index]]&lt;30,"Overweight",
"Obese"))),"")</f>
        <v>Obese</v>
      </c>
      <c r="Z603" s="53" t="str">
        <f>IFERROR(
IF(tbl_abs[[#This Row],[Absenteeism time in hours]]&lt;=2,"0–2",
IF(tbl_abs[[#This Row],[Absenteeism time in hours]]&lt;=8,"3–8",
IF(tbl_abs[[#This Row],[Absenteeism time in hours]]&lt;=16,"9–16",
"17+"))),"")</f>
        <v>0–2</v>
      </c>
    </row>
    <row r="604" spans="1:26" ht="15" customHeight="1" x14ac:dyDescent="0.3">
      <c r="A604">
        <v>32</v>
      </c>
      <c r="B604">
        <v>4</v>
      </c>
      <c r="C604" s="1">
        <v>10</v>
      </c>
      <c r="D604">
        <v>5</v>
      </c>
      <c r="E604">
        <v>4</v>
      </c>
      <c r="F604">
        <v>289</v>
      </c>
      <c r="G604" s="1">
        <v>48</v>
      </c>
      <c r="H604">
        <v>29</v>
      </c>
      <c r="I604" s="1">
        <v>49</v>
      </c>
      <c r="J604" s="2">
        <v>284853</v>
      </c>
      <c r="K604">
        <v>91</v>
      </c>
      <c r="L604">
        <v>0</v>
      </c>
      <c r="M604">
        <v>1</v>
      </c>
      <c r="N604">
        <v>0</v>
      </c>
      <c r="O604">
        <v>0</v>
      </c>
      <c r="P604">
        <v>0</v>
      </c>
      <c r="Q604">
        <v>2</v>
      </c>
      <c r="R604">
        <v>108</v>
      </c>
      <c r="S604">
        <v>172</v>
      </c>
      <c r="T604">
        <v>36</v>
      </c>
      <c r="U604">
        <v>1</v>
      </c>
      <c r="V604" s="53" t="str">
        <f>IFERROR(
IF(tbl_abs[[#This Row],[Month of absence]]=0,"Unknown",
CHOOSE(tbl_abs[[#This Row],[Month of absence]],
"Jan","Feb","Mar","Apr","May","Jun","Jul","Aug","Sep","Oct","Nov","Dec")),"")</f>
        <v>Oct</v>
      </c>
      <c r="W604" s="53" t="str">
        <f>IFERROR(
IF(tbl_abs[[#This Row],[Age]]&lt;30,"&lt;30",
IF(tbl_abs[[#This Row],[Age]]&lt;40,"30–39",
IF(tbl_abs[[#This Row],[Age]]&lt;50,"40–49",
IF(tbl_abs[[#This Row],[Age]]&lt;60,"50–59",
"60+")))),"")</f>
        <v>40–49</v>
      </c>
      <c r="X604" s="53" t="str">
        <f>IFERROR(
IF(tbl_abs[[#This Row],[Distance from Residence to Work]]&lt;=5,"0–5",
IF(tbl_abs[[#This Row],[Distance from Residence to Work]]&lt;=10,"6–10",
IF(tbl_abs[[#This Row],[Distance from Residence to Work]]&lt;=20,"11–20",
"21+"))),"")</f>
        <v>21+</v>
      </c>
      <c r="Y604" s="53" t="str">
        <f>IFERROR(
IF(tbl_abs[[#This Row],[Body Mass Index]]&lt;18.5,"Underweight",
IF(tbl_abs[[#This Row],[Body Mass Index]]&lt;25,"Normal",
IF(tbl_abs[[#This Row],[Body Mass Index]]&lt;30,"Overweight",
"Obese"))),"")</f>
        <v>Obese</v>
      </c>
      <c r="Z604" s="53" t="str">
        <f>IFERROR(
IF(tbl_abs[[#This Row],[Absenteeism time in hours]]&lt;=2,"0–2",
IF(tbl_abs[[#This Row],[Absenteeism time in hours]]&lt;=8,"3–8",
IF(tbl_abs[[#This Row],[Absenteeism time in hours]]&lt;=16,"9–16",
"17+"))),"")</f>
        <v>0–2</v>
      </c>
    </row>
    <row r="605" spans="1:26" ht="15" customHeight="1" x14ac:dyDescent="0.3">
      <c r="A605">
        <v>25</v>
      </c>
      <c r="B605">
        <v>11</v>
      </c>
      <c r="C605" s="1">
        <v>10</v>
      </c>
      <c r="D605">
        <v>5</v>
      </c>
      <c r="E605">
        <v>4</v>
      </c>
      <c r="F605">
        <v>235</v>
      </c>
      <c r="G605" s="1">
        <v>16</v>
      </c>
      <c r="H605">
        <v>8</v>
      </c>
      <c r="I605" s="1">
        <v>32</v>
      </c>
      <c r="J605" s="2">
        <v>284853</v>
      </c>
      <c r="K605">
        <v>91</v>
      </c>
      <c r="L605">
        <v>0</v>
      </c>
      <c r="M605">
        <v>3</v>
      </c>
      <c r="N605">
        <v>0</v>
      </c>
      <c r="O605">
        <v>0</v>
      </c>
      <c r="P605">
        <v>0</v>
      </c>
      <c r="Q605">
        <v>0</v>
      </c>
      <c r="R605">
        <v>75</v>
      </c>
      <c r="S605">
        <v>178</v>
      </c>
      <c r="T605">
        <v>25</v>
      </c>
      <c r="U605">
        <v>3</v>
      </c>
      <c r="V605" s="53" t="str">
        <f>IFERROR(
IF(tbl_abs[[#This Row],[Month of absence]]=0,"Unknown",
CHOOSE(tbl_abs[[#This Row],[Month of absence]],
"Jan","Feb","Mar","Apr","May","Jun","Jul","Aug","Sep","Oct","Nov","Dec")),"")</f>
        <v>Oct</v>
      </c>
      <c r="W605" s="53" t="str">
        <f>IFERROR(
IF(tbl_abs[[#This Row],[Age]]&lt;30,"&lt;30",
IF(tbl_abs[[#This Row],[Age]]&lt;40,"30–39",
IF(tbl_abs[[#This Row],[Age]]&lt;50,"40–49",
IF(tbl_abs[[#This Row],[Age]]&lt;60,"50–59",
"60+")))),"")</f>
        <v>30–39</v>
      </c>
      <c r="X605" s="53" t="str">
        <f>IFERROR(
IF(tbl_abs[[#This Row],[Distance from Residence to Work]]&lt;=5,"0–5",
IF(tbl_abs[[#This Row],[Distance from Residence to Work]]&lt;=10,"6–10",
IF(tbl_abs[[#This Row],[Distance from Residence to Work]]&lt;=20,"11–20",
"21+"))),"")</f>
        <v>11–20</v>
      </c>
      <c r="Y605" s="53" t="str">
        <f>IFERROR(
IF(tbl_abs[[#This Row],[Body Mass Index]]&lt;18.5,"Underweight",
IF(tbl_abs[[#This Row],[Body Mass Index]]&lt;25,"Normal",
IF(tbl_abs[[#This Row],[Body Mass Index]]&lt;30,"Overweight",
"Obese"))),"")</f>
        <v>Overweight</v>
      </c>
      <c r="Z605" s="53" t="str">
        <f>IFERROR(
IF(tbl_abs[[#This Row],[Absenteeism time in hours]]&lt;=2,"0–2",
IF(tbl_abs[[#This Row],[Absenteeism time in hours]]&lt;=8,"3–8",
IF(tbl_abs[[#This Row],[Absenteeism time in hours]]&lt;=16,"9–16",
"17+"))),"")</f>
        <v>3–8</v>
      </c>
    </row>
    <row r="606" spans="1:26" ht="15" customHeight="1" x14ac:dyDescent="0.3">
      <c r="A606">
        <v>24</v>
      </c>
      <c r="B606">
        <v>26</v>
      </c>
      <c r="C606" s="1">
        <v>10</v>
      </c>
      <c r="D606">
        <v>6</v>
      </c>
      <c r="E606">
        <v>4</v>
      </c>
      <c r="F606">
        <v>246</v>
      </c>
      <c r="G606" s="1">
        <v>25</v>
      </c>
      <c r="H606">
        <v>16</v>
      </c>
      <c r="I606" s="1">
        <v>41</v>
      </c>
      <c r="J606" s="2">
        <v>284853</v>
      </c>
      <c r="K606">
        <v>91</v>
      </c>
      <c r="L606">
        <v>0</v>
      </c>
      <c r="M606">
        <v>1</v>
      </c>
      <c r="N606">
        <v>0</v>
      </c>
      <c r="O606">
        <v>1</v>
      </c>
      <c r="P606">
        <v>0</v>
      </c>
      <c r="Q606">
        <v>0</v>
      </c>
      <c r="R606">
        <v>67</v>
      </c>
      <c r="T606">
        <v>23</v>
      </c>
      <c r="U606">
        <v>8</v>
      </c>
      <c r="V606" s="53" t="str">
        <f>IFERROR(
IF(tbl_abs[[#This Row],[Month of absence]]=0,"Unknown",
CHOOSE(tbl_abs[[#This Row],[Month of absence]],
"Jan","Feb","Mar","Apr","May","Jun","Jul","Aug","Sep","Oct","Nov","Dec")),"")</f>
        <v>Oct</v>
      </c>
      <c r="W606" s="53" t="str">
        <f>IFERROR(
IF(tbl_abs[[#This Row],[Age]]&lt;30,"&lt;30",
IF(tbl_abs[[#This Row],[Age]]&lt;40,"30–39",
IF(tbl_abs[[#This Row],[Age]]&lt;50,"40–49",
IF(tbl_abs[[#This Row],[Age]]&lt;60,"50–59",
"60+")))),"")</f>
        <v>40–49</v>
      </c>
      <c r="X606" s="53" t="str">
        <f>IFERROR(
IF(tbl_abs[[#This Row],[Distance from Residence to Work]]&lt;=5,"0–5",
IF(tbl_abs[[#This Row],[Distance from Residence to Work]]&lt;=10,"6–10",
IF(tbl_abs[[#This Row],[Distance from Residence to Work]]&lt;=20,"11–20",
"21+"))),"")</f>
        <v>21+</v>
      </c>
      <c r="Y606" s="53" t="str">
        <f>IFERROR(
IF(tbl_abs[[#This Row],[Body Mass Index]]&lt;18.5,"Underweight",
IF(tbl_abs[[#This Row],[Body Mass Index]]&lt;25,"Normal",
IF(tbl_abs[[#This Row],[Body Mass Index]]&lt;30,"Overweight",
"Obese"))),"")</f>
        <v>Normal</v>
      </c>
      <c r="Z606" s="53" t="str">
        <f>IFERROR(
IF(tbl_abs[[#This Row],[Absenteeism time in hours]]&lt;=2,"0–2",
IF(tbl_abs[[#This Row],[Absenteeism time in hours]]&lt;=8,"3–8",
IF(tbl_abs[[#This Row],[Absenteeism time in hours]]&lt;=16,"9–16",
"17+"))),"")</f>
        <v>3–8</v>
      </c>
    </row>
    <row r="607" spans="1:26" ht="15" customHeight="1" x14ac:dyDescent="0.3">
      <c r="A607">
        <v>32</v>
      </c>
      <c r="B607">
        <v>14</v>
      </c>
      <c r="C607" s="1">
        <v>10</v>
      </c>
      <c r="D607">
        <v>4</v>
      </c>
      <c r="E607">
        <v>4</v>
      </c>
      <c r="F607">
        <v>289</v>
      </c>
      <c r="G607" s="1">
        <v>48</v>
      </c>
      <c r="H607">
        <v>29</v>
      </c>
      <c r="I607" s="1">
        <v>49</v>
      </c>
      <c r="J607" s="2">
        <v>284853</v>
      </c>
      <c r="K607">
        <v>91</v>
      </c>
      <c r="L607">
        <v>0</v>
      </c>
      <c r="M607">
        <v>1</v>
      </c>
      <c r="N607">
        <v>0</v>
      </c>
      <c r="O607">
        <v>0</v>
      </c>
      <c r="P607">
        <v>0</v>
      </c>
      <c r="Q607">
        <v>2</v>
      </c>
      <c r="R607">
        <v>108</v>
      </c>
      <c r="T607">
        <v>36</v>
      </c>
      <c r="U607">
        <v>3</v>
      </c>
      <c r="V607" s="53" t="str">
        <f>IFERROR(
IF(tbl_abs[[#This Row],[Month of absence]]=0,"Unknown",
CHOOSE(tbl_abs[[#This Row],[Month of absence]],
"Jan","Feb","Mar","Apr","May","Jun","Jul","Aug","Sep","Oct","Nov","Dec")),"")</f>
        <v>Oct</v>
      </c>
      <c r="W607" s="53" t="str">
        <f>IFERROR(
IF(tbl_abs[[#This Row],[Age]]&lt;30,"&lt;30",
IF(tbl_abs[[#This Row],[Age]]&lt;40,"30–39",
IF(tbl_abs[[#This Row],[Age]]&lt;50,"40–49",
IF(tbl_abs[[#This Row],[Age]]&lt;60,"50–59",
"60+")))),"")</f>
        <v>40–49</v>
      </c>
      <c r="X607" s="53" t="str">
        <f>IFERROR(
IF(tbl_abs[[#This Row],[Distance from Residence to Work]]&lt;=5,"0–5",
IF(tbl_abs[[#This Row],[Distance from Residence to Work]]&lt;=10,"6–10",
IF(tbl_abs[[#This Row],[Distance from Residence to Work]]&lt;=20,"11–20",
"21+"))),"")</f>
        <v>21+</v>
      </c>
      <c r="Y607" s="53" t="str">
        <f>IFERROR(
IF(tbl_abs[[#This Row],[Body Mass Index]]&lt;18.5,"Underweight",
IF(tbl_abs[[#This Row],[Body Mass Index]]&lt;25,"Normal",
IF(tbl_abs[[#This Row],[Body Mass Index]]&lt;30,"Overweight",
"Obese"))),"")</f>
        <v>Obese</v>
      </c>
      <c r="Z607" s="53" t="str">
        <f>IFERROR(
IF(tbl_abs[[#This Row],[Absenteeism time in hours]]&lt;=2,"0–2",
IF(tbl_abs[[#This Row],[Absenteeism time in hours]]&lt;=8,"3–8",
IF(tbl_abs[[#This Row],[Absenteeism time in hours]]&lt;=16,"9–16",
"17+"))),"")</f>
        <v>3–8</v>
      </c>
    </row>
    <row r="608" spans="1:26" ht="15" customHeight="1" x14ac:dyDescent="0.3">
      <c r="A608">
        <v>15</v>
      </c>
      <c r="B608">
        <v>28</v>
      </c>
      <c r="C608" s="1">
        <v>10</v>
      </c>
      <c r="D608">
        <v>4</v>
      </c>
      <c r="E608">
        <v>4</v>
      </c>
      <c r="F608">
        <v>291</v>
      </c>
      <c r="G608" s="1">
        <v>31</v>
      </c>
      <c r="H608">
        <v>12</v>
      </c>
      <c r="I608" s="1">
        <v>40</v>
      </c>
      <c r="J608" s="2">
        <v>284853</v>
      </c>
      <c r="K608">
        <v>91</v>
      </c>
      <c r="L608">
        <v>0</v>
      </c>
      <c r="M608">
        <v>1</v>
      </c>
      <c r="N608">
        <v>1</v>
      </c>
      <c r="O608">
        <v>1</v>
      </c>
      <c r="P608">
        <v>0</v>
      </c>
      <c r="Q608">
        <v>1</v>
      </c>
      <c r="R608">
        <v>73</v>
      </c>
      <c r="S608">
        <v>171</v>
      </c>
      <c r="T608">
        <v>25</v>
      </c>
      <c r="U608">
        <v>2</v>
      </c>
      <c r="V608" s="53" t="str">
        <f>IFERROR(
IF(tbl_abs[[#This Row],[Month of absence]]=0,"Unknown",
CHOOSE(tbl_abs[[#This Row],[Month of absence]],
"Jan","Feb","Mar","Apr","May","Jun","Jul","Aug","Sep","Oct","Nov","Dec")),"")</f>
        <v>Oct</v>
      </c>
      <c r="W608" s="53" t="str">
        <f>IFERROR(
IF(tbl_abs[[#This Row],[Age]]&lt;30,"&lt;30",
IF(tbl_abs[[#This Row],[Age]]&lt;40,"30–39",
IF(tbl_abs[[#This Row],[Age]]&lt;50,"40–49",
IF(tbl_abs[[#This Row],[Age]]&lt;60,"50–59",
"60+")))),"")</f>
        <v>40–49</v>
      </c>
      <c r="X608" s="53" t="str">
        <f>IFERROR(
IF(tbl_abs[[#This Row],[Distance from Residence to Work]]&lt;=5,"0–5",
IF(tbl_abs[[#This Row],[Distance from Residence to Work]]&lt;=10,"6–10",
IF(tbl_abs[[#This Row],[Distance from Residence to Work]]&lt;=20,"11–20",
"21+"))),"")</f>
        <v>21+</v>
      </c>
      <c r="Y608" s="53" t="str">
        <f>IFERROR(
IF(tbl_abs[[#This Row],[Body Mass Index]]&lt;18.5,"Underweight",
IF(tbl_abs[[#This Row],[Body Mass Index]]&lt;25,"Normal",
IF(tbl_abs[[#This Row],[Body Mass Index]]&lt;30,"Overweight",
"Obese"))),"")</f>
        <v>Overweight</v>
      </c>
      <c r="Z608" s="53" t="str">
        <f>IFERROR(
IF(tbl_abs[[#This Row],[Absenteeism time in hours]]&lt;=2,"0–2",
IF(tbl_abs[[#This Row],[Absenteeism time in hours]]&lt;=8,"3–8",
IF(tbl_abs[[#This Row],[Absenteeism time in hours]]&lt;=16,"9–16",
"17+"))),"")</f>
        <v>0–2</v>
      </c>
    </row>
    <row r="609" spans="1:26" ht="15" customHeight="1" x14ac:dyDescent="0.3">
      <c r="A609">
        <v>34</v>
      </c>
      <c r="B609">
        <v>23</v>
      </c>
      <c r="C609" s="1">
        <v>10</v>
      </c>
      <c r="D609">
        <v>3</v>
      </c>
      <c r="E609">
        <v>4</v>
      </c>
      <c r="F609">
        <v>118</v>
      </c>
      <c r="G609" s="1">
        <v>10</v>
      </c>
      <c r="H609">
        <v>10</v>
      </c>
      <c r="I609" s="1">
        <v>37</v>
      </c>
      <c r="J609" s="2">
        <v>284853</v>
      </c>
      <c r="K609">
        <v>91</v>
      </c>
      <c r="L609">
        <v>0</v>
      </c>
      <c r="M609">
        <v>1</v>
      </c>
      <c r="N609">
        <v>0</v>
      </c>
      <c r="O609">
        <v>0</v>
      </c>
      <c r="P609">
        <v>0</v>
      </c>
      <c r="Q609">
        <v>0</v>
      </c>
      <c r="R609">
        <v>83</v>
      </c>
      <c r="S609">
        <v>172</v>
      </c>
      <c r="T609">
        <v>28</v>
      </c>
      <c r="U609">
        <v>2</v>
      </c>
      <c r="V609" s="53" t="str">
        <f>IFERROR(
IF(tbl_abs[[#This Row],[Month of absence]]=0,"Unknown",
CHOOSE(tbl_abs[[#This Row],[Month of absence]],
"Jan","Feb","Mar","Apr","May","Jun","Jul","Aug","Sep","Oct","Nov","Dec")),"")</f>
        <v>Oct</v>
      </c>
      <c r="W609" s="53" t="str">
        <f>IFERROR(
IF(tbl_abs[[#This Row],[Age]]&lt;30,"&lt;30",
IF(tbl_abs[[#This Row],[Age]]&lt;40,"30–39",
IF(tbl_abs[[#This Row],[Age]]&lt;50,"40–49",
IF(tbl_abs[[#This Row],[Age]]&lt;60,"50–59",
"60+")))),"")</f>
        <v>30–39</v>
      </c>
      <c r="X609" s="53" t="str">
        <f>IFERROR(
IF(tbl_abs[[#This Row],[Distance from Residence to Work]]&lt;=5,"0–5",
IF(tbl_abs[[#This Row],[Distance from Residence to Work]]&lt;=10,"6–10",
IF(tbl_abs[[#This Row],[Distance from Residence to Work]]&lt;=20,"11–20",
"21+"))),"")</f>
        <v>6–10</v>
      </c>
      <c r="Y609" s="53" t="str">
        <f>IFERROR(
IF(tbl_abs[[#This Row],[Body Mass Index]]&lt;18.5,"Underweight",
IF(tbl_abs[[#This Row],[Body Mass Index]]&lt;25,"Normal",
IF(tbl_abs[[#This Row],[Body Mass Index]]&lt;30,"Overweight",
"Obese"))),"")</f>
        <v>Overweight</v>
      </c>
      <c r="Z609" s="53" t="str">
        <f>IFERROR(
IF(tbl_abs[[#This Row],[Absenteeism time in hours]]&lt;=2,"0–2",
IF(tbl_abs[[#This Row],[Absenteeism time in hours]]&lt;=8,"3–8",
IF(tbl_abs[[#This Row],[Absenteeism time in hours]]&lt;=16,"9–16",
"17+"))),"")</f>
        <v>0–2</v>
      </c>
    </row>
    <row r="610" spans="1:26" ht="15" customHeight="1" x14ac:dyDescent="0.3">
      <c r="A610">
        <v>32</v>
      </c>
      <c r="B610">
        <v>23</v>
      </c>
      <c r="C610" s="1">
        <v>10</v>
      </c>
      <c r="D610">
        <v>5</v>
      </c>
      <c r="E610">
        <v>4</v>
      </c>
      <c r="F610">
        <v>289</v>
      </c>
      <c r="G610" s="1">
        <v>48</v>
      </c>
      <c r="H610">
        <v>29</v>
      </c>
      <c r="I610" s="1">
        <v>49</v>
      </c>
      <c r="J610" s="2">
        <v>284853</v>
      </c>
      <c r="K610">
        <v>91</v>
      </c>
      <c r="L610">
        <v>0</v>
      </c>
      <c r="M610">
        <v>1</v>
      </c>
      <c r="N610">
        <v>0</v>
      </c>
      <c r="O610">
        <v>0</v>
      </c>
      <c r="P610">
        <v>0</v>
      </c>
      <c r="Q610">
        <v>2</v>
      </c>
      <c r="R610">
        <v>108</v>
      </c>
      <c r="S610">
        <v>172</v>
      </c>
      <c r="T610">
        <v>36</v>
      </c>
      <c r="U610">
        <v>2</v>
      </c>
      <c r="V610" s="53" t="str">
        <f>IFERROR(
IF(tbl_abs[[#This Row],[Month of absence]]=0,"Unknown",
CHOOSE(tbl_abs[[#This Row],[Month of absence]],
"Jan","Feb","Mar","Apr","May","Jun","Jul","Aug","Sep","Oct","Nov","Dec")),"")</f>
        <v>Oct</v>
      </c>
      <c r="W610" s="53" t="str">
        <f>IFERROR(
IF(tbl_abs[[#This Row],[Age]]&lt;30,"&lt;30",
IF(tbl_abs[[#This Row],[Age]]&lt;40,"30–39",
IF(tbl_abs[[#This Row],[Age]]&lt;50,"40–49",
IF(tbl_abs[[#This Row],[Age]]&lt;60,"50–59",
"60+")))),"")</f>
        <v>40–49</v>
      </c>
      <c r="X610" s="53" t="str">
        <f>IFERROR(
IF(tbl_abs[[#This Row],[Distance from Residence to Work]]&lt;=5,"0–5",
IF(tbl_abs[[#This Row],[Distance from Residence to Work]]&lt;=10,"6–10",
IF(tbl_abs[[#This Row],[Distance from Residence to Work]]&lt;=20,"11–20",
"21+"))),"")</f>
        <v>21+</v>
      </c>
      <c r="Y610" s="53" t="str">
        <f>IFERROR(
IF(tbl_abs[[#This Row],[Body Mass Index]]&lt;18.5,"Underweight",
IF(tbl_abs[[#This Row],[Body Mass Index]]&lt;25,"Normal",
IF(tbl_abs[[#This Row],[Body Mass Index]]&lt;30,"Overweight",
"Obese"))),"")</f>
        <v>Obese</v>
      </c>
      <c r="Z610" s="53" t="str">
        <f>IFERROR(
IF(tbl_abs[[#This Row],[Absenteeism time in hours]]&lt;=2,"0–2",
IF(tbl_abs[[#This Row],[Absenteeism time in hours]]&lt;=8,"3–8",
IF(tbl_abs[[#This Row],[Absenteeism time in hours]]&lt;=16,"9–16",
"17+"))),"")</f>
        <v>0–2</v>
      </c>
    </row>
    <row r="611" spans="1:26" ht="15" customHeight="1" x14ac:dyDescent="0.3">
      <c r="A611">
        <v>15</v>
      </c>
      <c r="B611">
        <v>23</v>
      </c>
      <c r="C611" s="1">
        <v>10</v>
      </c>
      <c r="D611">
        <v>6</v>
      </c>
      <c r="E611">
        <v>4</v>
      </c>
      <c r="F611">
        <v>291</v>
      </c>
      <c r="G611" s="1">
        <v>31</v>
      </c>
      <c r="H611">
        <v>12</v>
      </c>
      <c r="I611" s="1">
        <v>40</v>
      </c>
      <c r="J611" s="2">
        <v>284853</v>
      </c>
      <c r="K611">
        <v>91</v>
      </c>
      <c r="L611">
        <v>0</v>
      </c>
      <c r="M611">
        <v>1</v>
      </c>
      <c r="N611">
        <v>1</v>
      </c>
      <c r="O611">
        <v>1</v>
      </c>
      <c r="P611">
        <v>0</v>
      </c>
      <c r="Q611">
        <v>1</v>
      </c>
      <c r="R611">
        <v>73</v>
      </c>
      <c r="S611">
        <v>171</v>
      </c>
      <c r="T611">
        <v>25</v>
      </c>
      <c r="U611">
        <v>1</v>
      </c>
      <c r="V611" s="53" t="str">
        <f>IFERROR(
IF(tbl_abs[[#This Row],[Month of absence]]=0,"Unknown",
CHOOSE(tbl_abs[[#This Row],[Month of absence]],
"Jan","Feb","Mar","Apr","May","Jun","Jul","Aug","Sep","Oct","Nov","Dec")),"")</f>
        <v>Oct</v>
      </c>
      <c r="W611" s="53" t="str">
        <f>IFERROR(
IF(tbl_abs[[#This Row],[Age]]&lt;30,"&lt;30",
IF(tbl_abs[[#This Row],[Age]]&lt;40,"30–39",
IF(tbl_abs[[#This Row],[Age]]&lt;50,"40–49",
IF(tbl_abs[[#This Row],[Age]]&lt;60,"50–59",
"60+")))),"")</f>
        <v>40–49</v>
      </c>
      <c r="X611" s="53" t="str">
        <f>IFERROR(
IF(tbl_abs[[#This Row],[Distance from Residence to Work]]&lt;=5,"0–5",
IF(tbl_abs[[#This Row],[Distance from Residence to Work]]&lt;=10,"6–10",
IF(tbl_abs[[#This Row],[Distance from Residence to Work]]&lt;=20,"11–20",
"21+"))),"")</f>
        <v>21+</v>
      </c>
      <c r="Y611" s="53" t="str">
        <f>IFERROR(
IF(tbl_abs[[#This Row],[Body Mass Index]]&lt;18.5,"Underweight",
IF(tbl_abs[[#This Row],[Body Mass Index]]&lt;25,"Normal",
IF(tbl_abs[[#This Row],[Body Mass Index]]&lt;30,"Overweight",
"Obese"))),"")</f>
        <v>Overweight</v>
      </c>
      <c r="Z611" s="53" t="str">
        <f>IFERROR(
IF(tbl_abs[[#This Row],[Absenteeism time in hours]]&lt;=2,"0–2",
IF(tbl_abs[[#This Row],[Absenteeism time in hours]]&lt;=8,"3–8",
IF(tbl_abs[[#This Row],[Absenteeism time in hours]]&lt;=16,"9–16",
"17+"))),"")</f>
        <v>0–2</v>
      </c>
    </row>
    <row r="612" spans="1:26" ht="15" customHeight="1" x14ac:dyDescent="0.3">
      <c r="A612">
        <v>28</v>
      </c>
      <c r="B612">
        <v>23</v>
      </c>
      <c r="C612" s="1">
        <v>10</v>
      </c>
      <c r="D612">
        <v>3</v>
      </c>
      <c r="E612">
        <v>4</v>
      </c>
      <c r="F612">
        <v>225</v>
      </c>
      <c r="G612" s="1">
        <v>26</v>
      </c>
      <c r="H612">
        <v>9</v>
      </c>
      <c r="I612" s="1">
        <v>28</v>
      </c>
      <c r="J612" s="2">
        <v>284853</v>
      </c>
      <c r="K612">
        <v>91</v>
      </c>
      <c r="L612">
        <v>0</v>
      </c>
      <c r="M612">
        <v>1</v>
      </c>
      <c r="N612">
        <v>1</v>
      </c>
      <c r="O612">
        <v>0</v>
      </c>
      <c r="P612">
        <v>0</v>
      </c>
      <c r="Q612">
        <v>2</v>
      </c>
      <c r="R612">
        <v>69</v>
      </c>
      <c r="S612">
        <v>169</v>
      </c>
      <c r="T612">
        <v>24</v>
      </c>
      <c r="U612">
        <v>2</v>
      </c>
      <c r="V612" s="53" t="str">
        <f>IFERROR(
IF(tbl_abs[[#This Row],[Month of absence]]=0,"Unknown",
CHOOSE(tbl_abs[[#This Row],[Month of absence]],
"Jan","Feb","Mar","Apr","May","Jun","Jul","Aug","Sep","Oct","Nov","Dec")),"")</f>
        <v>Oct</v>
      </c>
      <c r="W612" s="53" t="str">
        <f>IFERROR(
IF(tbl_abs[[#This Row],[Age]]&lt;30,"&lt;30",
IF(tbl_abs[[#This Row],[Age]]&lt;40,"30–39",
IF(tbl_abs[[#This Row],[Age]]&lt;50,"40–49",
IF(tbl_abs[[#This Row],[Age]]&lt;60,"50–59",
"60+")))),"")</f>
        <v>&lt;30</v>
      </c>
      <c r="X612" s="53" t="str">
        <f>IFERROR(
IF(tbl_abs[[#This Row],[Distance from Residence to Work]]&lt;=5,"0–5",
IF(tbl_abs[[#This Row],[Distance from Residence to Work]]&lt;=10,"6–10",
IF(tbl_abs[[#This Row],[Distance from Residence to Work]]&lt;=20,"11–20",
"21+"))),"")</f>
        <v>21+</v>
      </c>
      <c r="Y612" s="53" t="str">
        <f>IFERROR(
IF(tbl_abs[[#This Row],[Body Mass Index]]&lt;18.5,"Underweight",
IF(tbl_abs[[#This Row],[Body Mass Index]]&lt;25,"Normal",
IF(tbl_abs[[#This Row],[Body Mass Index]]&lt;30,"Overweight",
"Obese"))),"")</f>
        <v>Normal</v>
      </c>
      <c r="Z612" s="53" t="str">
        <f>IFERROR(
IF(tbl_abs[[#This Row],[Absenteeism time in hours]]&lt;=2,"0–2",
IF(tbl_abs[[#This Row],[Absenteeism time in hours]]&lt;=8,"3–8",
IF(tbl_abs[[#This Row],[Absenteeism time in hours]]&lt;=16,"9–16",
"17+"))),"")</f>
        <v>0–2</v>
      </c>
    </row>
    <row r="613" spans="1:26" ht="15" customHeight="1" x14ac:dyDescent="0.3">
      <c r="A613">
        <v>13</v>
      </c>
      <c r="B613">
        <v>23</v>
      </c>
      <c r="C613" s="1">
        <v>10</v>
      </c>
      <c r="D613">
        <v>3</v>
      </c>
      <c r="E613">
        <v>4</v>
      </c>
      <c r="F613">
        <v>369</v>
      </c>
      <c r="G613" s="1">
        <v>17</v>
      </c>
      <c r="H613">
        <v>12</v>
      </c>
      <c r="I613" s="1">
        <v>31</v>
      </c>
      <c r="J613" s="2">
        <v>284853</v>
      </c>
      <c r="K613">
        <v>91</v>
      </c>
      <c r="L613">
        <v>0</v>
      </c>
      <c r="M613">
        <v>1</v>
      </c>
      <c r="N613">
        <v>3</v>
      </c>
      <c r="O613">
        <v>1</v>
      </c>
      <c r="P613">
        <v>0</v>
      </c>
      <c r="Q613">
        <v>0</v>
      </c>
      <c r="R613">
        <v>70</v>
      </c>
      <c r="S613">
        <v>169</v>
      </c>
      <c r="T613">
        <v>25</v>
      </c>
      <c r="U613">
        <v>8</v>
      </c>
      <c r="V613" s="53" t="str">
        <f>IFERROR(
IF(tbl_abs[[#This Row],[Month of absence]]=0,"Unknown",
CHOOSE(tbl_abs[[#This Row],[Month of absence]],
"Jan","Feb","Mar","Apr","May","Jun","Jul","Aug","Sep","Oct","Nov","Dec")),"")</f>
        <v>Oct</v>
      </c>
      <c r="W613" s="53" t="str">
        <f>IFERROR(
IF(tbl_abs[[#This Row],[Age]]&lt;30,"&lt;30",
IF(tbl_abs[[#This Row],[Age]]&lt;40,"30–39",
IF(tbl_abs[[#This Row],[Age]]&lt;50,"40–49",
IF(tbl_abs[[#This Row],[Age]]&lt;60,"50–59",
"60+")))),"")</f>
        <v>30–39</v>
      </c>
      <c r="X613" s="53" t="str">
        <f>IFERROR(
IF(tbl_abs[[#This Row],[Distance from Residence to Work]]&lt;=5,"0–5",
IF(tbl_abs[[#This Row],[Distance from Residence to Work]]&lt;=10,"6–10",
IF(tbl_abs[[#This Row],[Distance from Residence to Work]]&lt;=20,"11–20",
"21+"))),"")</f>
        <v>11–20</v>
      </c>
      <c r="Y613" s="53" t="str">
        <f>IFERROR(
IF(tbl_abs[[#This Row],[Body Mass Index]]&lt;18.5,"Underweight",
IF(tbl_abs[[#This Row],[Body Mass Index]]&lt;25,"Normal",
IF(tbl_abs[[#This Row],[Body Mass Index]]&lt;30,"Overweight",
"Obese"))),"")</f>
        <v>Overweight</v>
      </c>
      <c r="Z613" s="53" t="str">
        <f>IFERROR(
IF(tbl_abs[[#This Row],[Absenteeism time in hours]]&lt;=2,"0–2",
IF(tbl_abs[[#This Row],[Absenteeism time in hours]]&lt;=8,"3–8",
IF(tbl_abs[[#This Row],[Absenteeism time in hours]]&lt;=16,"9–16",
"17+"))),"")</f>
        <v>3–8</v>
      </c>
    </row>
    <row r="614" spans="1:26" ht="15" customHeight="1" x14ac:dyDescent="0.3">
      <c r="A614">
        <v>13</v>
      </c>
      <c r="B614">
        <v>23</v>
      </c>
      <c r="C614" s="1">
        <v>10</v>
      </c>
      <c r="D614">
        <v>3</v>
      </c>
      <c r="E614">
        <v>4</v>
      </c>
      <c r="F614">
        <v>369</v>
      </c>
      <c r="G614" s="1">
        <v>17</v>
      </c>
      <c r="H614">
        <v>12</v>
      </c>
      <c r="I614" s="1">
        <v>31</v>
      </c>
      <c r="J614" s="2">
        <v>284853</v>
      </c>
      <c r="K614">
        <v>91</v>
      </c>
      <c r="L614">
        <v>0</v>
      </c>
      <c r="M614">
        <v>1</v>
      </c>
      <c r="N614">
        <v>3</v>
      </c>
      <c r="O614">
        <v>1</v>
      </c>
      <c r="P614">
        <v>0</v>
      </c>
      <c r="R614">
        <v>70</v>
      </c>
      <c r="S614">
        <v>169</v>
      </c>
      <c r="T614">
        <v>25</v>
      </c>
      <c r="U614">
        <v>3</v>
      </c>
      <c r="V614" s="53" t="str">
        <f>IFERROR(
IF(tbl_abs[[#This Row],[Month of absence]]=0,"Unknown",
CHOOSE(tbl_abs[[#This Row],[Month of absence]],
"Jan","Feb","Mar","Apr","May","Jun","Jul","Aug","Sep","Oct","Nov","Dec")),"")</f>
        <v>Oct</v>
      </c>
      <c r="W614" s="53" t="str">
        <f>IFERROR(
IF(tbl_abs[[#This Row],[Age]]&lt;30,"&lt;30",
IF(tbl_abs[[#This Row],[Age]]&lt;40,"30–39",
IF(tbl_abs[[#This Row],[Age]]&lt;50,"40–49",
IF(tbl_abs[[#This Row],[Age]]&lt;60,"50–59",
"60+")))),"")</f>
        <v>30–39</v>
      </c>
      <c r="X614" s="53" t="str">
        <f>IFERROR(
IF(tbl_abs[[#This Row],[Distance from Residence to Work]]&lt;=5,"0–5",
IF(tbl_abs[[#This Row],[Distance from Residence to Work]]&lt;=10,"6–10",
IF(tbl_abs[[#This Row],[Distance from Residence to Work]]&lt;=20,"11–20",
"21+"))),"")</f>
        <v>11–20</v>
      </c>
      <c r="Y614" s="53" t="str">
        <f>IFERROR(
IF(tbl_abs[[#This Row],[Body Mass Index]]&lt;18.5,"Underweight",
IF(tbl_abs[[#This Row],[Body Mass Index]]&lt;25,"Normal",
IF(tbl_abs[[#This Row],[Body Mass Index]]&lt;30,"Overweight",
"Obese"))),"")</f>
        <v>Overweight</v>
      </c>
      <c r="Z614" s="53" t="str">
        <f>IFERROR(
IF(tbl_abs[[#This Row],[Absenteeism time in hours]]&lt;=2,"0–2",
IF(tbl_abs[[#This Row],[Absenteeism time in hours]]&lt;=8,"3–8",
IF(tbl_abs[[#This Row],[Absenteeism time in hours]]&lt;=16,"9–16",
"17+"))),"")</f>
        <v>3–8</v>
      </c>
    </row>
    <row r="615" spans="1:26" ht="15" customHeight="1" x14ac:dyDescent="0.3">
      <c r="A615">
        <v>28</v>
      </c>
      <c r="B615">
        <v>23</v>
      </c>
      <c r="C615" s="1">
        <v>10</v>
      </c>
      <c r="D615">
        <v>3</v>
      </c>
      <c r="E615">
        <v>4</v>
      </c>
      <c r="F615">
        <v>225</v>
      </c>
      <c r="G615" s="1">
        <v>26</v>
      </c>
      <c r="H615">
        <v>9</v>
      </c>
      <c r="I615" s="1">
        <v>28</v>
      </c>
      <c r="J615" s="2">
        <v>284853</v>
      </c>
      <c r="K615">
        <v>91</v>
      </c>
      <c r="L615">
        <v>0</v>
      </c>
      <c r="M615">
        <v>1</v>
      </c>
      <c r="N615">
        <v>1</v>
      </c>
      <c r="O615">
        <v>0</v>
      </c>
      <c r="P615">
        <v>0</v>
      </c>
      <c r="Q615">
        <v>2</v>
      </c>
      <c r="R615">
        <v>69</v>
      </c>
      <c r="T615">
        <v>24</v>
      </c>
      <c r="U615">
        <v>4</v>
      </c>
      <c r="V615" s="53" t="str">
        <f>IFERROR(
IF(tbl_abs[[#This Row],[Month of absence]]=0,"Unknown",
CHOOSE(tbl_abs[[#This Row],[Month of absence]],
"Jan","Feb","Mar","Apr","May","Jun","Jul","Aug","Sep","Oct","Nov","Dec")),"")</f>
        <v>Oct</v>
      </c>
      <c r="W615" s="53" t="str">
        <f>IFERROR(
IF(tbl_abs[[#This Row],[Age]]&lt;30,"&lt;30",
IF(tbl_abs[[#This Row],[Age]]&lt;40,"30–39",
IF(tbl_abs[[#This Row],[Age]]&lt;50,"40–49",
IF(tbl_abs[[#This Row],[Age]]&lt;60,"50–59",
"60+")))),"")</f>
        <v>&lt;30</v>
      </c>
      <c r="X615" s="53" t="str">
        <f>IFERROR(
IF(tbl_abs[[#This Row],[Distance from Residence to Work]]&lt;=5,"0–5",
IF(tbl_abs[[#This Row],[Distance from Residence to Work]]&lt;=10,"6–10",
IF(tbl_abs[[#This Row],[Distance from Residence to Work]]&lt;=20,"11–20",
"21+"))),"")</f>
        <v>21+</v>
      </c>
      <c r="Y615" s="53" t="str">
        <f>IFERROR(
IF(tbl_abs[[#This Row],[Body Mass Index]]&lt;18.5,"Underweight",
IF(tbl_abs[[#This Row],[Body Mass Index]]&lt;25,"Normal",
IF(tbl_abs[[#This Row],[Body Mass Index]]&lt;30,"Overweight",
"Obese"))),"")</f>
        <v>Normal</v>
      </c>
      <c r="Z615" s="53" t="str">
        <f>IFERROR(
IF(tbl_abs[[#This Row],[Absenteeism time in hours]]&lt;=2,"0–2",
IF(tbl_abs[[#This Row],[Absenteeism time in hours]]&lt;=8,"3–8",
IF(tbl_abs[[#This Row],[Absenteeism time in hours]]&lt;=16,"9–16",
"17+"))),"")</f>
        <v>3–8</v>
      </c>
    </row>
    <row r="616" spans="1:26" ht="15" customHeight="1" x14ac:dyDescent="0.3">
      <c r="A616">
        <v>13</v>
      </c>
      <c r="B616">
        <v>26</v>
      </c>
      <c r="C616" s="1">
        <v>10</v>
      </c>
      <c r="D616">
        <v>3</v>
      </c>
      <c r="E616">
        <v>4</v>
      </c>
      <c r="F616">
        <v>369</v>
      </c>
      <c r="G616" s="1">
        <v>17</v>
      </c>
      <c r="H616">
        <v>12</v>
      </c>
      <c r="I616" s="1">
        <v>31</v>
      </c>
      <c r="J616" s="2">
        <v>284853</v>
      </c>
      <c r="K616">
        <v>91</v>
      </c>
      <c r="L616">
        <v>0</v>
      </c>
      <c r="M616">
        <v>1</v>
      </c>
      <c r="N616">
        <v>3</v>
      </c>
      <c r="O616">
        <v>1</v>
      </c>
      <c r="P616">
        <v>0</v>
      </c>
      <c r="Q616">
        <v>0</v>
      </c>
      <c r="R616">
        <v>70</v>
      </c>
      <c r="S616">
        <v>169</v>
      </c>
      <c r="T616">
        <v>25</v>
      </c>
      <c r="U616">
        <v>8</v>
      </c>
      <c r="V616" s="53" t="str">
        <f>IFERROR(
IF(tbl_abs[[#This Row],[Month of absence]]=0,"Unknown",
CHOOSE(tbl_abs[[#This Row],[Month of absence]],
"Jan","Feb","Mar","Apr","May","Jun","Jul","Aug","Sep","Oct","Nov","Dec")),"")</f>
        <v>Oct</v>
      </c>
      <c r="W616" s="53" t="str">
        <f>IFERROR(
IF(tbl_abs[[#This Row],[Age]]&lt;30,"&lt;30",
IF(tbl_abs[[#This Row],[Age]]&lt;40,"30–39",
IF(tbl_abs[[#This Row],[Age]]&lt;50,"40–49",
IF(tbl_abs[[#This Row],[Age]]&lt;60,"50–59",
"60+")))),"")</f>
        <v>30–39</v>
      </c>
      <c r="X616" s="53" t="str">
        <f>IFERROR(
IF(tbl_abs[[#This Row],[Distance from Residence to Work]]&lt;=5,"0–5",
IF(tbl_abs[[#This Row],[Distance from Residence to Work]]&lt;=10,"6–10",
IF(tbl_abs[[#This Row],[Distance from Residence to Work]]&lt;=20,"11–20",
"21+"))),"")</f>
        <v>11–20</v>
      </c>
      <c r="Y616" s="53" t="str">
        <f>IFERROR(
IF(tbl_abs[[#This Row],[Body Mass Index]]&lt;18.5,"Underweight",
IF(tbl_abs[[#This Row],[Body Mass Index]]&lt;25,"Normal",
IF(tbl_abs[[#This Row],[Body Mass Index]]&lt;30,"Overweight",
"Obese"))),"")</f>
        <v>Overweight</v>
      </c>
      <c r="Z616" s="53" t="str">
        <f>IFERROR(
IF(tbl_abs[[#This Row],[Absenteeism time in hours]]&lt;=2,"0–2",
IF(tbl_abs[[#This Row],[Absenteeism time in hours]]&lt;=8,"3–8",
IF(tbl_abs[[#This Row],[Absenteeism time in hours]]&lt;=16,"9–16",
"17+"))),"")</f>
        <v>3–8</v>
      </c>
    </row>
    <row r="617" spans="1:26" ht="15" customHeight="1" x14ac:dyDescent="0.3">
      <c r="A617">
        <v>3</v>
      </c>
      <c r="B617">
        <v>28</v>
      </c>
      <c r="C617" s="1">
        <v>10</v>
      </c>
      <c r="D617">
        <v>4</v>
      </c>
      <c r="E617">
        <v>4</v>
      </c>
      <c r="F617">
        <v>179</v>
      </c>
      <c r="G617" s="1">
        <v>51</v>
      </c>
      <c r="H617">
        <v>18</v>
      </c>
      <c r="I617" s="1">
        <v>38</v>
      </c>
      <c r="J617" s="2">
        <v>284853</v>
      </c>
      <c r="K617">
        <v>91</v>
      </c>
      <c r="L617">
        <v>0</v>
      </c>
      <c r="M617">
        <v>1</v>
      </c>
      <c r="N617">
        <v>0</v>
      </c>
      <c r="O617">
        <v>1</v>
      </c>
      <c r="P617">
        <v>0</v>
      </c>
      <c r="Q617">
        <v>0</v>
      </c>
      <c r="R617">
        <v>89</v>
      </c>
      <c r="S617">
        <v>170</v>
      </c>
      <c r="T617">
        <v>31</v>
      </c>
      <c r="U617">
        <v>3</v>
      </c>
      <c r="V617" s="53" t="str">
        <f>IFERROR(
IF(tbl_abs[[#This Row],[Month of absence]]=0,"Unknown",
CHOOSE(tbl_abs[[#This Row],[Month of absence]],
"Jan","Feb","Mar","Apr","May","Jun","Jul","Aug","Sep","Oct","Nov","Dec")),"")</f>
        <v>Oct</v>
      </c>
      <c r="W617" s="53" t="str">
        <f>IFERROR(
IF(tbl_abs[[#This Row],[Age]]&lt;30,"&lt;30",
IF(tbl_abs[[#This Row],[Age]]&lt;40,"30–39",
IF(tbl_abs[[#This Row],[Age]]&lt;50,"40–49",
IF(tbl_abs[[#This Row],[Age]]&lt;60,"50–59",
"60+")))),"")</f>
        <v>30–39</v>
      </c>
      <c r="X617" s="53" t="str">
        <f>IFERROR(
IF(tbl_abs[[#This Row],[Distance from Residence to Work]]&lt;=5,"0–5",
IF(tbl_abs[[#This Row],[Distance from Residence to Work]]&lt;=10,"6–10",
IF(tbl_abs[[#This Row],[Distance from Residence to Work]]&lt;=20,"11–20",
"21+"))),"")</f>
        <v>21+</v>
      </c>
      <c r="Y617" s="53" t="str">
        <f>IFERROR(
IF(tbl_abs[[#This Row],[Body Mass Index]]&lt;18.5,"Underweight",
IF(tbl_abs[[#This Row],[Body Mass Index]]&lt;25,"Normal",
IF(tbl_abs[[#This Row],[Body Mass Index]]&lt;30,"Overweight",
"Obese"))),"")</f>
        <v>Obese</v>
      </c>
      <c r="Z617" s="53" t="str">
        <f>IFERROR(
IF(tbl_abs[[#This Row],[Absenteeism time in hours]]&lt;=2,"0–2",
IF(tbl_abs[[#This Row],[Absenteeism time in hours]]&lt;=8,"3–8",
IF(tbl_abs[[#This Row],[Absenteeism time in hours]]&lt;=16,"9–16",
"17+"))),"")</f>
        <v>3–8</v>
      </c>
    </row>
    <row r="618" spans="1:26" ht="15" customHeight="1" x14ac:dyDescent="0.3">
      <c r="A618">
        <v>9</v>
      </c>
      <c r="B618">
        <v>1</v>
      </c>
      <c r="C618" s="1">
        <v>10</v>
      </c>
      <c r="D618">
        <v>4</v>
      </c>
      <c r="E618">
        <v>4</v>
      </c>
      <c r="F618">
        <v>228</v>
      </c>
      <c r="G618" s="1">
        <v>14</v>
      </c>
      <c r="H618">
        <v>16</v>
      </c>
      <c r="I618" s="1">
        <v>58</v>
      </c>
      <c r="J618" s="2">
        <v>284853</v>
      </c>
      <c r="K618">
        <v>91</v>
      </c>
      <c r="L618">
        <v>0</v>
      </c>
      <c r="M618">
        <v>1</v>
      </c>
      <c r="N618">
        <v>2</v>
      </c>
      <c r="O618">
        <v>0</v>
      </c>
      <c r="P618">
        <v>0</v>
      </c>
      <c r="Q618">
        <v>1</v>
      </c>
      <c r="R618">
        <v>65</v>
      </c>
      <c r="S618">
        <v>172</v>
      </c>
      <c r="T618">
        <v>22</v>
      </c>
      <c r="U618">
        <v>1</v>
      </c>
      <c r="V618" s="53" t="str">
        <f>IFERROR(
IF(tbl_abs[[#This Row],[Month of absence]]=0,"Unknown",
CHOOSE(tbl_abs[[#This Row],[Month of absence]],
"Jan","Feb","Mar","Apr","May","Jun","Jul","Aug","Sep","Oct","Nov","Dec")),"")</f>
        <v>Oct</v>
      </c>
      <c r="W618" s="53" t="str">
        <f>IFERROR(
IF(tbl_abs[[#This Row],[Age]]&lt;30,"&lt;30",
IF(tbl_abs[[#This Row],[Age]]&lt;40,"30–39",
IF(tbl_abs[[#This Row],[Age]]&lt;50,"40–49",
IF(tbl_abs[[#This Row],[Age]]&lt;60,"50–59",
"60+")))),"")</f>
        <v>50–59</v>
      </c>
      <c r="X618" s="53" t="str">
        <f>IFERROR(
IF(tbl_abs[[#This Row],[Distance from Residence to Work]]&lt;=5,"0–5",
IF(tbl_abs[[#This Row],[Distance from Residence to Work]]&lt;=10,"6–10",
IF(tbl_abs[[#This Row],[Distance from Residence to Work]]&lt;=20,"11–20",
"21+"))),"")</f>
        <v>11–20</v>
      </c>
      <c r="Y618" s="53" t="str">
        <f>IFERROR(
IF(tbl_abs[[#This Row],[Body Mass Index]]&lt;18.5,"Underweight",
IF(tbl_abs[[#This Row],[Body Mass Index]]&lt;25,"Normal",
IF(tbl_abs[[#This Row],[Body Mass Index]]&lt;30,"Overweight",
"Obese"))),"")</f>
        <v>Normal</v>
      </c>
      <c r="Z618" s="53" t="str">
        <f>IFERROR(
IF(tbl_abs[[#This Row],[Absenteeism time in hours]]&lt;=2,"0–2",
IF(tbl_abs[[#This Row],[Absenteeism time in hours]]&lt;=8,"3–8",
IF(tbl_abs[[#This Row],[Absenteeism time in hours]]&lt;=16,"9–16",
"17+"))),"")</f>
        <v>0–2</v>
      </c>
    </row>
    <row r="619" spans="1:26" ht="15" customHeight="1" x14ac:dyDescent="0.3">
      <c r="A619">
        <v>15</v>
      </c>
      <c r="B619">
        <v>23</v>
      </c>
      <c r="C619" s="1">
        <v>10</v>
      </c>
      <c r="D619">
        <v>4</v>
      </c>
      <c r="E619">
        <v>4</v>
      </c>
      <c r="F619">
        <v>291</v>
      </c>
      <c r="G619" s="1">
        <v>31</v>
      </c>
      <c r="H619">
        <v>12</v>
      </c>
      <c r="I619" s="1">
        <v>40</v>
      </c>
      <c r="J619" s="2">
        <v>284853</v>
      </c>
      <c r="K619">
        <v>91</v>
      </c>
      <c r="L619">
        <v>0</v>
      </c>
      <c r="M619">
        <v>1</v>
      </c>
      <c r="N619">
        <v>1</v>
      </c>
      <c r="O619">
        <v>1</v>
      </c>
      <c r="P619">
        <v>0</v>
      </c>
      <c r="Q619">
        <v>1</v>
      </c>
      <c r="R619">
        <v>73</v>
      </c>
      <c r="S619">
        <v>171</v>
      </c>
      <c r="T619">
        <v>25</v>
      </c>
      <c r="U619">
        <v>1</v>
      </c>
      <c r="V619" s="53" t="str">
        <f>IFERROR(
IF(tbl_abs[[#This Row],[Month of absence]]=0,"Unknown",
CHOOSE(tbl_abs[[#This Row],[Month of absence]],
"Jan","Feb","Mar","Apr","May","Jun","Jul","Aug","Sep","Oct","Nov","Dec")),"")</f>
        <v>Oct</v>
      </c>
      <c r="W619" s="53" t="str">
        <f>IFERROR(
IF(tbl_abs[[#This Row],[Age]]&lt;30,"&lt;30",
IF(tbl_abs[[#This Row],[Age]]&lt;40,"30–39",
IF(tbl_abs[[#This Row],[Age]]&lt;50,"40–49",
IF(tbl_abs[[#This Row],[Age]]&lt;60,"50–59",
"60+")))),"")</f>
        <v>40–49</v>
      </c>
      <c r="X619" s="53" t="str">
        <f>IFERROR(
IF(tbl_abs[[#This Row],[Distance from Residence to Work]]&lt;=5,"0–5",
IF(tbl_abs[[#This Row],[Distance from Residence to Work]]&lt;=10,"6–10",
IF(tbl_abs[[#This Row],[Distance from Residence to Work]]&lt;=20,"11–20",
"21+"))),"")</f>
        <v>21+</v>
      </c>
      <c r="Y619" s="53" t="str">
        <f>IFERROR(
IF(tbl_abs[[#This Row],[Body Mass Index]]&lt;18.5,"Underweight",
IF(tbl_abs[[#This Row],[Body Mass Index]]&lt;25,"Normal",
IF(tbl_abs[[#This Row],[Body Mass Index]]&lt;30,"Overweight",
"Obese"))),"")</f>
        <v>Overweight</v>
      </c>
      <c r="Z619" s="53" t="str">
        <f>IFERROR(
IF(tbl_abs[[#This Row],[Absenteeism time in hours]]&lt;=2,"0–2",
IF(tbl_abs[[#This Row],[Absenteeism time in hours]]&lt;=8,"3–8",
IF(tbl_abs[[#This Row],[Absenteeism time in hours]]&lt;=16,"9–16",
"17+"))),"")</f>
        <v>0–2</v>
      </c>
    </row>
    <row r="620" spans="1:26" ht="15" customHeight="1" x14ac:dyDescent="0.3">
      <c r="A620">
        <v>13</v>
      </c>
      <c r="B620">
        <v>10</v>
      </c>
      <c r="C620" s="1">
        <v>10</v>
      </c>
      <c r="D620">
        <v>5</v>
      </c>
      <c r="E620">
        <v>4</v>
      </c>
      <c r="F620">
        <v>369</v>
      </c>
      <c r="G620" s="1">
        <v>17</v>
      </c>
      <c r="H620">
        <v>12</v>
      </c>
      <c r="I620" s="1">
        <v>31</v>
      </c>
      <c r="J620" s="2">
        <v>284853</v>
      </c>
      <c r="K620">
        <v>91</v>
      </c>
      <c r="L620">
        <v>0</v>
      </c>
      <c r="M620">
        <v>1</v>
      </c>
      <c r="N620">
        <v>3</v>
      </c>
      <c r="O620">
        <v>1</v>
      </c>
      <c r="P620">
        <v>0</v>
      </c>
      <c r="Q620">
        <v>0</v>
      </c>
      <c r="R620">
        <v>70</v>
      </c>
      <c r="S620">
        <v>169</v>
      </c>
      <c r="T620">
        <v>25</v>
      </c>
      <c r="U620">
        <v>8</v>
      </c>
      <c r="V620" s="53" t="str">
        <f>IFERROR(
IF(tbl_abs[[#This Row],[Month of absence]]=0,"Unknown",
CHOOSE(tbl_abs[[#This Row],[Month of absence]],
"Jan","Feb","Mar","Apr","May","Jun","Jul","Aug","Sep","Oct","Nov","Dec")),"")</f>
        <v>Oct</v>
      </c>
      <c r="W620" s="53" t="str">
        <f>IFERROR(
IF(tbl_abs[[#This Row],[Age]]&lt;30,"&lt;30",
IF(tbl_abs[[#This Row],[Age]]&lt;40,"30–39",
IF(tbl_abs[[#This Row],[Age]]&lt;50,"40–49",
IF(tbl_abs[[#This Row],[Age]]&lt;60,"50–59",
"60+")))),"")</f>
        <v>30–39</v>
      </c>
      <c r="X620" s="53" t="str">
        <f>IFERROR(
IF(tbl_abs[[#This Row],[Distance from Residence to Work]]&lt;=5,"0–5",
IF(tbl_abs[[#This Row],[Distance from Residence to Work]]&lt;=10,"6–10",
IF(tbl_abs[[#This Row],[Distance from Residence to Work]]&lt;=20,"11–20",
"21+"))),"")</f>
        <v>11–20</v>
      </c>
      <c r="Y620" s="53" t="str">
        <f>IFERROR(
IF(tbl_abs[[#This Row],[Body Mass Index]]&lt;18.5,"Underweight",
IF(tbl_abs[[#This Row],[Body Mass Index]]&lt;25,"Normal",
IF(tbl_abs[[#This Row],[Body Mass Index]]&lt;30,"Overweight",
"Obese"))),"")</f>
        <v>Overweight</v>
      </c>
      <c r="Z620" s="53" t="str">
        <f>IFERROR(
IF(tbl_abs[[#This Row],[Absenteeism time in hours]]&lt;=2,"0–2",
IF(tbl_abs[[#This Row],[Absenteeism time in hours]]&lt;=8,"3–8",
IF(tbl_abs[[#This Row],[Absenteeism time in hours]]&lt;=16,"9–16",
"17+"))),"")</f>
        <v>3–8</v>
      </c>
    </row>
    <row r="621" spans="1:26" ht="15" customHeight="1" x14ac:dyDescent="0.3">
      <c r="A621">
        <v>28</v>
      </c>
      <c r="B621">
        <v>13</v>
      </c>
      <c r="C621" s="1">
        <v>10</v>
      </c>
      <c r="D621">
        <v>5</v>
      </c>
      <c r="E621">
        <v>4</v>
      </c>
      <c r="F621">
        <v>225</v>
      </c>
      <c r="G621" s="1">
        <v>26</v>
      </c>
      <c r="H621">
        <v>9</v>
      </c>
      <c r="I621" s="1">
        <v>28</v>
      </c>
      <c r="J621" s="2">
        <v>284853</v>
      </c>
      <c r="K621">
        <v>91</v>
      </c>
      <c r="L621">
        <v>0</v>
      </c>
      <c r="M621">
        <v>1</v>
      </c>
      <c r="N621">
        <v>1</v>
      </c>
      <c r="O621">
        <v>0</v>
      </c>
      <c r="P621">
        <v>0</v>
      </c>
      <c r="Q621">
        <v>2</v>
      </c>
      <c r="R621">
        <v>69</v>
      </c>
      <c r="S621">
        <v>169</v>
      </c>
      <c r="T621">
        <v>24</v>
      </c>
      <c r="U621">
        <v>1</v>
      </c>
      <c r="V621" s="53" t="str">
        <f>IFERROR(
IF(tbl_abs[[#This Row],[Month of absence]]=0,"Unknown",
CHOOSE(tbl_abs[[#This Row],[Month of absence]],
"Jan","Feb","Mar","Apr","May","Jun","Jul","Aug","Sep","Oct","Nov","Dec")),"")</f>
        <v>Oct</v>
      </c>
      <c r="W621" s="53" t="str">
        <f>IFERROR(
IF(tbl_abs[[#This Row],[Age]]&lt;30,"&lt;30",
IF(tbl_abs[[#This Row],[Age]]&lt;40,"30–39",
IF(tbl_abs[[#This Row],[Age]]&lt;50,"40–49",
IF(tbl_abs[[#This Row],[Age]]&lt;60,"50–59",
"60+")))),"")</f>
        <v>&lt;30</v>
      </c>
      <c r="X621" s="53" t="str">
        <f>IFERROR(
IF(tbl_abs[[#This Row],[Distance from Residence to Work]]&lt;=5,"0–5",
IF(tbl_abs[[#This Row],[Distance from Residence to Work]]&lt;=10,"6–10",
IF(tbl_abs[[#This Row],[Distance from Residence to Work]]&lt;=20,"11–20",
"21+"))),"")</f>
        <v>21+</v>
      </c>
      <c r="Y621" s="53" t="str">
        <f>IFERROR(
IF(tbl_abs[[#This Row],[Body Mass Index]]&lt;18.5,"Underweight",
IF(tbl_abs[[#This Row],[Body Mass Index]]&lt;25,"Normal",
IF(tbl_abs[[#This Row],[Body Mass Index]]&lt;30,"Overweight",
"Obese"))),"")</f>
        <v>Normal</v>
      </c>
      <c r="Z621" s="53" t="str">
        <f>IFERROR(
IF(tbl_abs[[#This Row],[Absenteeism time in hours]]&lt;=2,"0–2",
IF(tbl_abs[[#This Row],[Absenteeism time in hours]]&lt;=8,"3–8",
IF(tbl_abs[[#This Row],[Absenteeism time in hours]]&lt;=16,"9–16",
"17+"))),"")</f>
        <v>0–2</v>
      </c>
    </row>
    <row r="622" spans="1:26" ht="15" customHeight="1" x14ac:dyDescent="0.3">
      <c r="A622">
        <v>13</v>
      </c>
      <c r="B622">
        <v>10</v>
      </c>
      <c r="C622" s="1">
        <v>10</v>
      </c>
      <c r="D622">
        <v>6</v>
      </c>
      <c r="E622">
        <v>4</v>
      </c>
      <c r="F622">
        <v>369</v>
      </c>
      <c r="G622" s="1">
        <v>17</v>
      </c>
      <c r="H622">
        <v>12</v>
      </c>
      <c r="I622" s="1">
        <v>31</v>
      </c>
      <c r="J622" s="2">
        <v>284853</v>
      </c>
      <c r="K622">
        <v>91</v>
      </c>
      <c r="L622">
        <v>0</v>
      </c>
      <c r="M622">
        <v>1</v>
      </c>
      <c r="N622">
        <v>3</v>
      </c>
      <c r="O622">
        <v>1</v>
      </c>
      <c r="P622">
        <v>0</v>
      </c>
      <c r="Q622">
        <v>0</v>
      </c>
      <c r="R622">
        <v>70</v>
      </c>
      <c r="S622">
        <v>169</v>
      </c>
      <c r="T622">
        <v>25</v>
      </c>
      <c r="U622">
        <v>8</v>
      </c>
      <c r="V622" s="53" t="str">
        <f>IFERROR(
IF(tbl_abs[[#This Row],[Month of absence]]=0,"Unknown",
CHOOSE(tbl_abs[[#This Row],[Month of absence]],
"Jan","Feb","Mar","Apr","May","Jun","Jul","Aug","Sep","Oct","Nov","Dec")),"")</f>
        <v>Oct</v>
      </c>
      <c r="W622" s="53" t="str">
        <f>IFERROR(
IF(tbl_abs[[#This Row],[Age]]&lt;30,"&lt;30",
IF(tbl_abs[[#This Row],[Age]]&lt;40,"30–39",
IF(tbl_abs[[#This Row],[Age]]&lt;50,"40–49",
IF(tbl_abs[[#This Row],[Age]]&lt;60,"50–59",
"60+")))),"")</f>
        <v>30–39</v>
      </c>
      <c r="X622" s="53" t="str">
        <f>IFERROR(
IF(tbl_abs[[#This Row],[Distance from Residence to Work]]&lt;=5,"0–5",
IF(tbl_abs[[#This Row],[Distance from Residence to Work]]&lt;=10,"6–10",
IF(tbl_abs[[#This Row],[Distance from Residence to Work]]&lt;=20,"11–20",
"21+"))),"")</f>
        <v>11–20</v>
      </c>
      <c r="Y622" s="53" t="str">
        <f>IFERROR(
IF(tbl_abs[[#This Row],[Body Mass Index]]&lt;18.5,"Underweight",
IF(tbl_abs[[#This Row],[Body Mass Index]]&lt;25,"Normal",
IF(tbl_abs[[#This Row],[Body Mass Index]]&lt;30,"Overweight",
"Obese"))),"")</f>
        <v>Overweight</v>
      </c>
      <c r="Z622" s="53" t="str">
        <f>IFERROR(
IF(tbl_abs[[#This Row],[Absenteeism time in hours]]&lt;=2,"0–2",
IF(tbl_abs[[#This Row],[Absenteeism time in hours]]&lt;=8,"3–8",
IF(tbl_abs[[#This Row],[Absenteeism time in hours]]&lt;=16,"9–16",
"17+"))),"")</f>
        <v>3–8</v>
      </c>
    </row>
    <row r="623" spans="1:26" ht="15" customHeight="1" x14ac:dyDescent="0.3">
      <c r="A623">
        <v>28</v>
      </c>
      <c r="B623">
        <v>10</v>
      </c>
      <c r="C623" s="1">
        <v>10</v>
      </c>
      <c r="D623">
        <v>6</v>
      </c>
      <c r="E623">
        <v>4</v>
      </c>
      <c r="F623">
        <v>225</v>
      </c>
      <c r="G623" s="1">
        <v>26</v>
      </c>
      <c r="H623">
        <v>9</v>
      </c>
      <c r="I623" s="1">
        <v>28</v>
      </c>
      <c r="J623" s="2">
        <v>284853</v>
      </c>
      <c r="K623">
        <v>91</v>
      </c>
      <c r="L623">
        <v>0</v>
      </c>
      <c r="M623">
        <v>1</v>
      </c>
      <c r="N623">
        <v>1</v>
      </c>
      <c r="O623">
        <v>0</v>
      </c>
      <c r="P623">
        <v>0</v>
      </c>
      <c r="Q623">
        <v>2</v>
      </c>
      <c r="R623">
        <v>69</v>
      </c>
      <c r="S623">
        <v>169</v>
      </c>
      <c r="T623">
        <v>24</v>
      </c>
      <c r="U623">
        <v>3</v>
      </c>
      <c r="V623" s="53" t="str">
        <f>IFERROR(
IF(tbl_abs[[#This Row],[Month of absence]]=0,"Unknown",
CHOOSE(tbl_abs[[#This Row],[Month of absence]],
"Jan","Feb","Mar","Apr","May","Jun","Jul","Aug","Sep","Oct","Nov","Dec")),"")</f>
        <v>Oct</v>
      </c>
      <c r="W623" s="53" t="str">
        <f>IFERROR(
IF(tbl_abs[[#This Row],[Age]]&lt;30,"&lt;30",
IF(tbl_abs[[#This Row],[Age]]&lt;40,"30–39",
IF(tbl_abs[[#This Row],[Age]]&lt;50,"40–49",
IF(tbl_abs[[#This Row],[Age]]&lt;60,"50–59",
"60+")))),"")</f>
        <v>&lt;30</v>
      </c>
      <c r="X623" s="53" t="str">
        <f>IFERROR(
IF(tbl_abs[[#This Row],[Distance from Residence to Work]]&lt;=5,"0–5",
IF(tbl_abs[[#This Row],[Distance from Residence to Work]]&lt;=10,"6–10",
IF(tbl_abs[[#This Row],[Distance from Residence to Work]]&lt;=20,"11–20",
"21+"))),"")</f>
        <v>21+</v>
      </c>
      <c r="Y623" s="53" t="str">
        <f>IFERROR(
IF(tbl_abs[[#This Row],[Body Mass Index]]&lt;18.5,"Underweight",
IF(tbl_abs[[#This Row],[Body Mass Index]]&lt;25,"Normal",
IF(tbl_abs[[#This Row],[Body Mass Index]]&lt;30,"Overweight",
"Obese"))),"")</f>
        <v>Normal</v>
      </c>
      <c r="Z623" s="53" t="str">
        <f>IFERROR(
IF(tbl_abs[[#This Row],[Absenteeism time in hours]]&lt;=2,"0–2",
IF(tbl_abs[[#This Row],[Absenteeism time in hours]]&lt;=8,"3–8",
IF(tbl_abs[[#This Row],[Absenteeism time in hours]]&lt;=16,"9–16",
"17+"))),"")</f>
        <v>3–8</v>
      </c>
    </row>
    <row r="624" spans="1:26" ht="15" customHeight="1" x14ac:dyDescent="0.3">
      <c r="A624">
        <v>6</v>
      </c>
      <c r="B624">
        <v>23</v>
      </c>
      <c r="C624" s="1">
        <v>10</v>
      </c>
      <c r="D624">
        <v>2</v>
      </c>
      <c r="E624">
        <v>4</v>
      </c>
      <c r="F624">
        <v>189</v>
      </c>
      <c r="G624" s="1">
        <v>29</v>
      </c>
      <c r="H624">
        <v>13</v>
      </c>
      <c r="I624" s="1">
        <v>33</v>
      </c>
      <c r="J624" s="2">
        <v>284853</v>
      </c>
      <c r="K624">
        <v>91</v>
      </c>
      <c r="L624">
        <v>0</v>
      </c>
      <c r="M624">
        <v>1</v>
      </c>
      <c r="N624">
        <v>2</v>
      </c>
      <c r="O624">
        <v>0</v>
      </c>
      <c r="P624">
        <v>0</v>
      </c>
      <c r="Q624">
        <v>2</v>
      </c>
      <c r="R624">
        <v>69</v>
      </c>
      <c r="S624">
        <v>167</v>
      </c>
      <c r="T624">
        <v>25</v>
      </c>
      <c r="U624">
        <v>8</v>
      </c>
      <c r="V624" s="53" t="str">
        <f>IFERROR(
IF(tbl_abs[[#This Row],[Month of absence]]=0,"Unknown",
CHOOSE(tbl_abs[[#This Row],[Month of absence]],
"Jan","Feb","Mar","Apr","May","Jun","Jul","Aug","Sep","Oct","Nov","Dec")),"")</f>
        <v>Oct</v>
      </c>
      <c r="W624" s="53" t="str">
        <f>IFERROR(
IF(tbl_abs[[#This Row],[Age]]&lt;30,"&lt;30",
IF(tbl_abs[[#This Row],[Age]]&lt;40,"30–39",
IF(tbl_abs[[#This Row],[Age]]&lt;50,"40–49",
IF(tbl_abs[[#This Row],[Age]]&lt;60,"50–59",
"60+")))),"")</f>
        <v>30–39</v>
      </c>
      <c r="X624" s="53" t="str">
        <f>IFERROR(
IF(tbl_abs[[#This Row],[Distance from Residence to Work]]&lt;=5,"0–5",
IF(tbl_abs[[#This Row],[Distance from Residence to Work]]&lt;=10,"6–10",
IF(tbl_abs[[#This Row],[Distance from Residence to Work]]&lt;=20,"11–20",
"21+"))),"")</f>
        <v>21+</v>
      </c>
      <c r="Y624" s="53" t="str">
        <f>IFERROR(
IF(tbl_abs[[#This Row],[Body Mass Index]]&lt;18.5,"Underweight",
IF(tbl_abs[[#This Row],[Body Mass Index]]&lt;25,"Normal",
IF(tbl_abs[[#This Row],[Body Mass Index]]&lt;30,"Overweight",
"Obese"))),"")</f>
        <v>Overweight</v>
      </c>
      <c r="Z624" s="53" t="str">
        <f>IFERROR(
IF(tbl_abs[[#This Row],[Absenteeism time in hours]]&lt;=2,"0–2",
IF(tbl_abs[[#This Row],[Absenteeism time in hours]]&lt;=8,"3–8",
IF(tbl_abs[[#This Row],[Absenteeism time in hours]]&lt;=16,"9–16",
"17+"))),"")</f>
        <v>3–8</v>
      </c>
    </row>
    <row r="625" spans="1:26" ht="15" customHeight="1" x14ac:dyDescent="0.3">
      <c r="A625">
        <v>25</v>
      </c>
      <c r="B625">
        <v>6</v>
      </c>
      <c r="C625" s="1">
        <v>10</v>
      </c>
      <c r="D625">
        <v>2</v>
      </c>
      <c r="E625">
        <v>4</v>
      </c>
      <c r="F625">
        <v>235</v>
      </c>
      <c r="G625" s="1">
        <v>16</v>
      </c>
      <c r="H625">
        <v>8</v>
      </c>
      <c r="I625" s="1">
        <v>32</v>
      </c>
      <c r="J625" s="2">
        <v>284853</v>
      </c>
      <c r="K625">
        <v>91</v>
      </c>
      <c r="L625">
        <v>0</v>
      </c>
      <c r="M625">
        <v>3</v>
      </c>
      <c r="N625">
        <v>0</v>
      </c>
      <c r="O625">
        <v>0</v>
      </c>
      <c r="P625">
        <v>0</v>
      </c>
      <c r="Q625">
        <v>0</v>
      </c>
      <c r="R625">
        <v>75</v>
      </c>
      <c r="S625">
        <v>178</v>
      </c>
      <c r="T625">
        <v>25</v>
      </c>
      <c r="U625">
        <v>8</v>
      </c>
      <c r="V625" s="53" t="str">
        <f>IFERROR(
IF(tbl_abs[[#This Row],[Month of absence]]=0,"Unknown",
CHOOSE(tbl_abs[[#This Row],[Month of absence]],
"Jan","Feb","Mar","Apr","May","Jun","Jul","Aug","Sep","Oct","Nov","Dec")),"")</f>
        <v>Oct</v>
      </c>
      <c r="W625" s="53" t="str">
        <f>IFERROR(
IF(tbl_abs[[#This Row],[Age]]&lt;30,"&lt;30",
IF(tbl_abs[[#This Row],[Age]]&lt;40,"30–39",
IF(tbl_abs[[#This Row],[Age]]&lt;50,"40–49",
IF(tbl_abs[[#This Row],[Age]]&lt;60,"50–59",
"60+")))),"")</f>
        <v>30–39</v>
      </c>
      <c r="X625" s="53" t="str">
        <f>IFERROR(
IF(tbl_abs[[#This Row],[Distance from Residence to Work]]&lt;=5,"0–5",
IF(tbl_abs[[#This Row],[Distance from Residence to Work]]&lt;=10,"6–10",
IF(tbl_abs[[#This Row],[Distance from Residence to Work]]&lt;=20,"11–20",
"21+"))),"")</f>
        <v>11–20</v>
      </c>
      <c r="Y625" s="53" t="str">
        <f>IFERROR(
IF(tbl_abs[[#This Row],[Body Mass Index]]&lt;18.5,"Underweight",
IF(tbl_abs[[#This Row],[Body Mass Index]]&lt;25,"Normal",
IF(tbl_abs[[#This Row],[Body Mass Index]]&lt;30,"Overweight",
"Obese"))),"")</f>
        <v>Overweight</v>
      </c>
      <c r="Z625" s="53" t="str">
        <f>IFERROR(
IF(tbl_abs[[#This Row],[Absenteeism time in hours]]&lt;=2,"0–2",
IF(tbl_abs[[#This Row],[Absenteeism time in hours]]&lt;=8,"3–8",
IF(tbl_abs[[#This Row],[Absenteeism time in hours]]&lt;=16,"9–16",
"17+"))),"")</f>
        <v>3–8</v>
      </c>
    </row>
    <row r="626" spans="1:26" ht="15" customHeight="1" x14ac:dyDescent="0.3">
      <c r="A626">
        <v>33</v>
      </c>
      <c r="B626">
        <v>10</v>
      </c>
      <c r="C626" s="1">
        <v>10</v>
      </c>
      <c r="D626">
        <v>2</v>
      </c>
      <c r="E626">
        <v>4</v>
      </c>
      <c r="F626">
        <v>248</v>
      </c>
      <c r="G626" s="1">
        <v>25</v>
      </c>
      <c r="H626">
        <v>14</v>
      </c>
      <c r="I626" s="1">
        <v>47</v>
      </c>
      <c r="J626" s="2">
        <v>284853</v>
      </c>
      <c r="K626">
        <v>91</v>
      </c>
      <c r="L626">
        <v>0</v>
      </c>
      <c r="M626">
        <v>1</v>
      </c>
      <c r="N626">
        <v>2</v>
      </c>
      <c r="O626">
        <v>0</v>
      </c>
      <c r="P626">
        <v>0</v>
      </c>
      <c r="Q626">
        <v>1</v>
      </c>
      <c r="R626">
        <v>86</v>
      </c>
      <c r="S626">
        <v>165</v>
      </c>
      <c r="T626">
        <v>32</v>
      </c>
      <c r="U626">
        <v>8</v>
      </c>
      <c r="V626" s="53" t="str">
        <f>IFERROR(
IF(tbl_abs[[#This Row],[Month of absence]]=0,"Unknown",
CHOOSE(tbl_abs[[#This Row],[Month of absence]],
"Jan","Feb","Mar","Apr","May","Jun","Jul","Aug","Sep","Oct","Nov","Dec")),"")</f>
        <v>Oct</v>
      </c>
      <c r="W626" s="53" t="str">
        <f>IFERROR(
IF(tbl_abs[[#This Row],[Age]]&lt;30,"&lt;30",
IF(tbl_abs[[#This Row],[Age]]&lt;40,"30–39",
IF(tbl_abs[[#This Row],[Age]]&lt;50,"40–49",
IF(tbl_abs[[#This Row],[Age]]&lt;60,"50–59",
"60+")))),"")</f>
        <v>40–49</v>
      </c>
      <c r="X626" s="53" t="str">
        <f>IFERROR(
IF(tbl_abs[[#This Row],[Distance from Residence to Work]]&lt;=5,"0–5",
IF(tbl_abs[[#This Row],[Distance from Residence to Work]]&lt;=10,"6–10",
IF(tbl_abs[[#This Row],[Distance from Residence to Work]]&lt;=20,"11–20",
"21+"))),"")</f>
        <v>21+</v>
      </c>
      <c r="Y626" s="53" t="str">
        <f>IFERROR(
IF(tbl_abs[[#This Row],[Body Mass Index]]&lt;18.5,"Underweight",
IF(tbl_abs[[#This Row],[Body Mass Index]]&lt;25,"Normal",
IF(tbl_abs[[#This Row],[Body Mass Index]]&lt;30,"Overweight",
"Obese"))),"")</f>
        <v>Obese</v>
      </c>
      <c r="Z626" s="53" t="str">
        <f>IFERROR(
IF(tbl_abs[[#This Row],[Absenteeism time in hours]]&lt;=2,"0–2",
IF(tbl_abs[[#This Row],[Absenteeism time in hours]]&lt;=8,"3–8",
IF(tbl_abs[[#This Row],[Absenteeism time in hours]]&lt;=16,"9–16",
"17+"))),"")</f>
        <v>3–8</v>
      </c>
    </row>
    <row r="627" spans="1:26" ht="15" customHeight="1" x14ac:dyDescent="0.3">
      <c r="A627">
        <v>28</v>
      </c>
      <c r="B627">
        <v>0</v>
      </c>
      <c r="C627" s="1">
        <v>10</v>
      </c>
      <c r="D627">
        <v>2</v>
      </c>
      <c r="E627">
        <v>4</v>
      </c>
      <c r="F627">
        <v>225</v>
      </c>
      <c r="G627" s="1">
        <v>26</v>
      </c>
      <c r="H627">
        <v>9</v>
      </c>
      <c r="I627" s="1">
        <v>28</v>
      </c>
      <c r="J627" s="2">
        <v>284853</v>
      </c>
      <c r="K627">
        <v>91</v>
      </c>
      <c r="L627">
        <v>1</v>
      </c>
      <c r="M627">
        <v>1</v>
      </c>
      <c r="N627">
        <v>1</v>
      </c>
      <c r="O627">
        <v>0</v>
      </c>
      <c r="P627">
        <v>0</v>
      </c>
      <c r="Q627">
        <v>2</v>
      </c>
      <c r="R627">
        <v>69</v>
      </c>
      <c r="S627">
        <v>169</v>
      </c>
      <c r="T627">
        <v>24</v>
      </c>
      <c r="U627">
        <v>0</v>
      </c>
      <c r="V627" s="53" t="str">
        <f>IFERROR(
IF(tbl_abs[[#This Row],[Month of absence]]=0,"Unknown",
CHOOSE(tbl_abs[[#This Row],[Month of absence]],
"Jan","Feb","Mar","Apr","May","Jun","Jul","Aug","Sep","Oct","Nov","Dec")),"")</f>
        <v>Oct</v>
      </c>
      <c r="W627" s="53" t="str">
        <f>IFERROR(
IF(tbl_abs[[#This Row],[Age]]&lt;30,"&lt;30",
IF(tbl_abs[[#This Row],[Age]]&lt;40,"30–39",
IF(tbl_abs[[#This Row],[Age]]&lt;50,"40–49",
IF(tbl_abs[[#This Row],[Age]]&lt;60,"50–59",
"60+")))),"")</f>
        <v>&lt;30</v>
      </c>
      <c r="X627" s="53" t="str">
        <f>IFERROR(
IF(tbl_abs[[#This Row],[Distance from Residence to Work]]&lt;=5,"0–5",
IF(tbl_abs[[#This Row],[Distance from Residence to Work]]&lt;=10,"6–10",
IF(tbl_abs[[#This Row],[Distance from Residence to Work]]&lt;=20,"11–20",
"21+"))),"")</f>
        <v>21+</v>
      </c>
      <c r="Y627" s="53" t="str">
        <f>IFERROR(
IF(tbl_abs[[#This Row],[Body Mass Index]]&lt;18.5,"Underweight",
IF(tbl_abs[[#This Row],[Body Mass Index]]&lt;25,"Normal",
IF(tbl_abs[[#This Row],[Body Mass Index]]&lt;30,"Overweight",
"Obese"))),"")</f>
        <v>Normal</v>
      </c>
      <c r="Z627" s="53" t="str">
        <f>IFERROR(
IF(tbl_abs[[#This Row],[Absenteeism time in hours]]&lt;=2,"0–2",
IF(tbl_abs[[#This Row],[Absenteeism time in hours]]&lt;=8,"3–8",
IF(tbl_abs[[#This Row],[Absenteeism time in hours]]&lt;=16,"9–16",
"17+"))),"")</f>
        <v>0–2</v>
      </c>
    </row>
    <row r="628" spans="1:26" ht="15" customHeight="1" x14ac:dyDescent="0.3">
      <c r="A628">
        <v>28</v>
      </c>
      <c r="B628">
        <v>13</v>
      </c>
      <c r="C628" s="1">
        <v>10</v>
      </c>
      <c r="D628">
        <v>3</v>
      </c>
      <c r="E628">
        <v>4</v>
      </c>
      <c r="F628">
        <v>225</v>
      </c>
      <c r="G628" s="1">
        <v>26</v>
      </c>
      <c r="H628">
        <v>9</v>
      </c>
      <c r="I628" s="1">
        <v>28</v>
      </c>
      <c r="J628" s="2">
        <v>284853</v>
      </c>
      <c r="K628">
        <v>91</v>
      </c>
      <c r="L628">
        <v>0</v>
      </c>
      <c r="M628">
        <v>1</v>
      </c>
      <c r="N628">
        <v>1</v>
      </c>
      <c r="O628">
        <v>0</v>
      </c>
      <c r="P628">
        <v>0</v>
      </c>
      <c r="Q628">
        <v>2</v>
      </c>
      <c r="R628">
        <v>69</v>
      </c>
      <c r="S628">
        <v>169</v>
      </c>
      <c r="T628">
        <v>24</v>
      </c>
      <c r="U628">
        <v>3</v>
      </c>
      <c r="V628" s="53" t="str">
        <f>IFERROR(
IF(tbl_abs[[#This Row],[Month of absence]]=0,"Unknown",
CHOOSE(tbl_abs[[#This Row],[Month of absence]],
"Jan","Feb","Mar","Apr","May","Jun","Jul","Aug","Sep","Oct","Nov","Dec")),"")</f>
        <v>Oct</v>
      </c>
      <c r="W628" s="53" t="str">
        <f>IFERROR(
IF(tbl_abs[[#This Row],[Age]]&lt;30,"&lt;30",
IF(tbl_abs[[#This Row],[Age]]&lt;40,"30–39",
IF(tbl_abs[[#This Row],[Age]]&lt;50,"40–49",
IF(tbl_abs[[#This Row],[Age]]&lt;60,"50–59",
"60+")))),"")</f>
        <v>&lt;30</v>
      </c>
      <c r="X628" s="53" t="str">
        <f>IFERROR(
IF(tbl_abs[[#This Row],[Distance from Residence to Work]]&lt;=5,"0–5",
IF(tbl_abs[[#This Row],[Distance from Residence to Work]]&lt;=10,"6–10",
IF(tbl_abs[[#This Row],[Distance from Residence to Work]]&lt;=20,"11–20",
"21+"))),"")</f>
        <v>21+</v>
      </c>
      <c r="Y628" s="53" t="str">
        <f>IFERROR(
IF(tbl_abs[[#This Row],[Body Mass Index]]&lt;18.5,"Underweight",
IF(tbl_abs[[#This Row],[Body Mass Index]]&lt;25,"Normal",
IF(tbl_abs[[#This Row],[Body Mass Index]]&lt;30,"Overweight",
"Obese"))),"")</f>
        <v>Normal</v>
      </c>
      <c r="Z628" s="53" t="str">
        <f>IFERROR(
IF(tbl_abs[[#This Row],[Absenteeism time in hours]]&lt;=2,"0–2",
IF(tbl_abs[[#This Row],[Absenteeism time in hours]]&lt;=8,"3–8",
IF(tbl_abs[[#This Row],[Absenteeism time in hours]]&lt;=16,"9–16",
"17+"))),"")</f>
        <v>3–8</v>
      </c>
    </row>
    <row r="629" spans="1:26" ht="15" customHeight="1" x14ac:dyDescent="0.3">
      <c r="A629">
        <v>3</v>
      </c>
      <c r="B629">
        <v>23</v>
      </c>
      <c r="C629" s="1">
        <v>11</v>
      </c>
      <c r="D629">
        <v>5</v>
      </c>
      <c r="E629">
        <v>4</v>
      </c>
      <c r="F629">
        <v>179</v>
      </c>
      <c r="G629" s="1">
        <v>51</v>
      </c>
      <c r="H629">
        <v>18</v>
      </c>
      <c r="I629" s="1">
        <v>38</v>
      </c>
      <c r="J629" s="2">
        <v>306345</v>
      </c>
      <c r="K629">
        <v>93</v>
      </c>
      <c r="L629">
        <v>0</v>
      </c>
      <c r="M629">
        <v>1</v>
      </c>
      <c r="N629">
        <v>0</v>
      </c>
      <c r="O629">
        <v>1</v>
      </c>
      <c r="P629">
        <v>0</v>
      </c>
      <c r="Q629">
        <v>0</v>
      </c>
      <c r="R629">
        <v>89</v>
      </c>
      <c r="S629">
        <v>170</v>
      </c>
      <c r="T629">
        <v>31</v>
      </c>
      <c r="U629">
        <v>1</v>
      </c>
      <c r="V629" s="53" t="str">
        <f>IFERROR(
IF(tbl_abs[[#This Row],[Month of absence]]=0,"Unknown",
CHOOSE(tbl_abs[[#This Row],[Month of absence]],
"Jan","Feb","Mar","Apr","May","Jun","Jul","Aug","Sep","Oct","Nov","Dec")),"")</f>
        <v>Nov</v>
      </c>
      <c r="W629" s="53" t="str">
        <f>IFERROR(
IF(tbl_abs[[#This Row],[Age]]&lt;30,"&lt;30",
IF(tbl_abs[[#This Row],[Age]]&lt;40,"30–39",
IF(tbl_abs[[#This Row],[Age]]&lt;50,"40–49",
IF(tbl_abs[[#This Row],[Age]]&lt;60,"50–59",
"60+")))),"")</f>
        <v>30–39</v>
      </c>
      <c r="X629" s="53" t="str">
        <f>IFERROR(
IF(tbl_abs[[#This Row],[Distance from Residence to Work]]&lt;=5,"0–5",
IF(tbl_abs[[#This Row],[Distance from Residence to Work]]&lt;=10,"6–10",
IF(tbl_abs[[#This Row],[Distance from Residence to Work]]&lt;=20,"11–20",
"21+"))),"")</f>
        <v>21+</v>
      </c>
      <c r="Y629" s="53" t="str">
        <f>IFERROR(
IF(tbl_abs[[#This Row],[Body Mass Index]]&lt;18.5,"Underweight",
IF(tbl_abs[[#This Row],[Body Mass Index]]&lt;25,"Normal",
IF(tbl_abs[[#This Row],[Body Mass Index]]&lt;30,"Overweight",
"Obese"))),"")</f>
        <v>Obese</v>
      </c>
      <c r="Z629" s="53" t="str">
        <f>IFERROR(
IF(tbl_abs[[#This Row],[Absenteeism time in hours]]&lt;=2,"0–2",
IF(tbl_abs[[#This Row],[Absenteeism time in hours]]&lt;=8,"3–8",
IF(tbl_abs[[#This Row],[Absenteeism time in hours]]&lt;=16,"9–16",
"17+"))),"")</f>
        <v>0–2</v>
      </c>
    </row>
    <row r="630" spans="1:26" ht="15" customHeight="1" x14ac:dyDescent="0.3">
      <c r="A630">
        <v>28</v>
      </c>
      <c r="B630">
        <v>23</v>
      </c>
      <c r="C630" s="1">
        <v>11</v>
      </c>
      <c r="D630">
        <v>4</v>
      </c>
      <c r="E630">
        <v>4</v>
      </c>
      <c r="F630">
        <v>225</v>
      </c>
      <c r="H630">
        <v>9</v>
      </c>
      <c r="I630" s="1">
        <v>28</v>
      </c>
      <c r="J630" s="2">
        <v>306345</v>
      </c>
      <c r="K630">
        <v>93</v>
      </c>
      <c r="L630">
        <v>0</v>
      </c>
      <c r="M630">
        <v>1</v>
      </c>
      <c r="N630">
        <v>1</v>
      </c>
      <c r="O630">
        <v>0</v>
      </c>
      <c r="P630">
        <v>0</v>
      </c>
      <c r="Q630">
        <v>2</v>
      </c>
      <c r="R630">
        <v>69</v>
      </c>
      <c r="S630">
        <v>169</v>
      </c>
      <c r="T630">
        <v>24</v>
      </c>
      <c r="U630">
        <v>1</v>
      </c>
      <c r="V630" s="53" t="str">
        <f>IFERROR(
IF(tbl_abs[[#This Row],[Month of absence]]=0,"Unknown",
CHOOSE(tbl_abs[[#This Row],[Month of absence]],
"Jan","Feb","Mar","Apr","May","Jun","Jul","Aug","Sep","Oct","Nov","Dec")),"")</f>
        <v>Nov</v>
      </c>
      <c r="W630" s="53" t="str">
        <f>IFERROR(
IF(tbl_abs[[#This Row],[Age]]&lt;30,"&lt;30",
IF(tbl_abs[[#This Row],[Age]]&lt;40,"30–39",
IF(tbl_abs[[#This Row],[Age]]&lt;50,"40–49",
IF(tbl_abs[[#This Row],[Age]]&lt;60,"50–59",
"60+")))),"")</f>
        <v>&lt;30</v>
      </c>
      <c r="X630" s="53" t="str">
        <f>IFERROR(
IF(tbl_abs[[#This Row],[Distance from Residence to Work]]&lt;=5,"0–5",
IF(tbl_abs[[#This Row],[Distance from Residence to Work]]&lt;=10,"6–10",
IF(tbl_abs[[#This Row],[Distance from Residence to Work]]&lt;=20,"11–20",
"21+"))),"")</f>
        <v>0–5</v>
      </c>
      <c r="Y630" s="53" t="str">
        <f>IFERROR(
IF(tbl_abs[[#This Row],[Body Mass Index]]&lt;18.5,"Underweight",
IF(tbl_abs[[#This Row],[Body Mass Index]]&lt;25,"Normal",
IF(tbl_abs[[#This Row],[Body Mass Index]]&lt;30,"Overweight",
"Obese"))),"")</f>
        <v>Normal</v>
      </c>
      <c r="Z630" s="53" t="str">
        <f>IFERROR(
IF(tbl_abs[[#This Row],[Absenteeism time in hours]]&lt;=2,"0–2",
IF(tbl_abs[[#This Row],[Absenteeism time in hours]]&lt;=8,"3–8",
IF(tbl_abs[[#This Row],[Absenteeism time in hours]]&lt;=16,"9–16",
"17+"))),"")</f>
        <v>0–2</v>
      </c>
    </row>
    <row r="631" spans="1:26" ht="15" customHeight="1" x14ac:dyDescent="0.3">
      <c r="A631">
        <v>3</v>
      </c>
      <c r="B631">
        <v>13</v>
      </c>
      <c r="C631" s="1">
        <v>11</v>
      </c>
      <c r="D631">
        <v>5</v>
      </c>
      <c r="E631">
        <v>4</v>
      </c>
      <c r="F631">
        <v>179</v>
      </c>
      <c r="G631" s="1">
        <v>51</v>
      </c>
      <c r="H631">
        <v>18</v>
      </c>
      <c r="I631" s="1">
        <v>38</v>
      </c>
      <c r="J631" s="2">
        <v>306345</v>
      </c>
      <c r="L631">
        <v>0</v>
      </c>
      <c r="M631">
        <v>1</v>
      </c>
      <c r="N631">
        <v>0</v>
      </c>
      <c r="O631">
        <v>1</v>
      </c>
      <c r="P631">
        <v>0</v>
      </c>
      <c r="Q631">
        <v>0</v>
      </c>
      <c r="R631">
        <v>89</v>
      </c>
      <c r="S631">
        <v>170</v>
      </c>
      <c r="T631">
        <v>31</v>
      </c>
      <c r="U631">
        <v>8</v>
      </c>
      <c r="V631" s="53" t="str">
        <f>IFERROR(
IF(tbl_abs[[#This Row],[Month of absence]]=0,"Unknown",
CHOOSE(tbl_abs[[#This Row],[Month of absence]],
"Jan","Feb","Mar","Apr","May","Jun","Jul","Aug","Sep","Oct","Nov","Dec")),"")</f>
        <v>Nov</v>
      </c>
      <c r="W631" s="53" t="str">
        <f>IFERROR(
IF(tbl_abs[[#This Row],[Age]]&lt;30,"&lt;30",
IF(tbl_abs[[#This Row],[Age]]&lt;40,"30–39",
IF(tbl_abs[[#This Row],[Age]]&lt;50,"40–49",
IF(tbl_abs[[#This Row],[Age]]&lt;60,"50–59",
"60+")))),"")</f>
        <v>30–39</v>
      </c>
      <c r="X631" s="53" t="str">
        <f>IFERROR(
IF(tbl_abs[[#This Row],[Distance from Residence to Work]]&lt;=5,"0–5",
IF(tbl_abs[[#This Row],[Distance from Residence to Work]]&lt;=10,"6–10",
IF(tbl_abs[[#This Row],[Distance from Residence to Work]]&lt;=20,"11–20",
"21+"))),"")</f>
        <v>21+</v>
      </c>
      <c r="Y631" s="53" t="str">
        <f>IFERROR(
IF(tbl_abs[[#This Row],[Body Mass Index]]&lt;18.5,"Underweight",
IF(tbl_abs[[#This Row],[Body Mass Index]]&lt;25,"Normal",
IF(tbl_abs[[#This Row],[Body Mass Index]]&lt;30,"Overweight",
"Obese"))),"")</f>
        <v>Obese</v>
      </c>
      <c r="Z631" s="53" t="str">
        <f>IFERROR(
IF(tbl_abs[[#This Row],[Absenteeism time in hours]]&lt;=2,"0–2",
IF(tbl_abs[[#This Row],[Absenteeism time in hours]]&lt;=8,"3–8",
IF(tbl_abs[[#This Row],[Absenteeism time in hours]]&lt;=16,"9–16",
"17+"))),"")</f>
        <v>3–8</v>
      </c>
    </row>
    <row r="632" spans="1:26" ht="15" customHeight="1" x14ac:dyDescent="0.3">
      <c r="A632">
        <v>17</v>
      </c>
      <c r="B632">
        <v>21</v>
      </c>
      <c r="C632" s="1">
        <v>11</v>
      </c>
      <c r="D632">
        <v>5</v>
      </c>
      <c r="E632">
        <v>4</v>
      </c>
      <c r="F632">
        <v>179</v>
      </c>
      <c r="G632" s="1">
        <v>22</v>
      </c>
      <c r="H632">
        <v>17</v>
      </c>
      <c r="I632" s="1">
        <v>40</v>
      </c>
      <c r="J632" s="2">
        <v>306345</v>
      </c>
      <c r="K632">
        <v>93</v>
      </c>
      <c r="L632">
        <v>0</v>
      </c>
      <c r="M632">
        <v>2</v>
      </c>
      <c r="N632">
        <v>2</v>
      </c>
      <c r="O632">
        <v>0</v>
      </c>
      <c r="P632">
        <v>1</v>
      </c>
      <c r="Q632">
        <v>0</v>
      </c>
      <c r="R632">
        <v>63</v>
      </c>
      <c r="S632">
        <v>170</v>
      </c>
      <c r="T632">
        <v>22</v>
      </c>
      <c r="U632">
        <v>8</v>
      </c>
      <c r="V632" s="53" t="str">
        <f>IFERROR(
IF(tbl_abs[[#This Row],[Month of absence]]=0,"Unknown",
CHOOSE(tbl_abs[[#This Row],[Month of absence]],
"Jan","Feb","Mar","Apr","May","Jun","Jul","Aug","Sep","Oct","Nov","Dec")),"")</f>
        <v>Nov</v>
      </c>
      <c r="W632" s="53" t="str">
        <f>IFERROR(
IF(tbl_abs[[#This Row],[Age]]&lt;30,"&lt;30",
IF(tbl_abs[[#This Row],[Age]]&lt;40,"30–39",
IF(tbl_abs[[#This Row],[Age]]&lt;50,"40–49",
IF(tbl_abs[[#This Row],[Age]]&lt;60,"50–59",
"60+")))),"")</f>
        <v>40–49</v>
      </c>
      <c r="X632" s="53" t="str">
        <f>IFERROR(
IF(tbl_abs[[#This Row],[Distance from Residence to Work]]&lt;=5,"0–5",
IF(tbl_abs[[#This Row],[Distance from Residence to Work]]&lt;=10,"6–10",
IF(tbl_abs[[#This Row],[Distance from Residence to Work]]&lt;=20,"11–20",
"21+"))),"")</f>
        <v>21+</v>
      </c>
      <c r="Y632" s="53" t="str">
        <f>IFERROR(
IF(tbl_abs[[#This Row],[Body Mass Index]]&lt;18.5,"Underweight",
IF(tbl_abs[[#This Row],[Body Mass Index]]&lt;25,"Normal",
IF(tbl_abs[[#This Row],[Body Mass Index]]&lt;30,"Overweight",
"Obese"))),"")</f>
        <v>Normal</v>
      </c>
      <c r="Z632" s="53" t="str">
        <f>IFERROR(
IF(tbl_abs[[#This Row],[Absenteeism time in hours]]&lt;=2,"0–2",
IF(tbl_abs[[#This Row],[Absenteeism time in hours]]&lt;=8,"3–8",
IF(tbl_abs[[#This Row],[Absenteeism time in hours]]&lt;=16,"9–16",
"17+"))),"")</f>
        <v>3–8</v>
      </c>
    </row>
    <row r="633" spans="1:26" ht="15" customHeight="1" x14ac:dyDescent="0.3">
      <c r="A633">
        <v>15</v>
      </c>
      <c r="B633">
        <v>23</v>
      </c>
      <c r="C633" s="1">
        <v>11</v>
      </c>
      <c r="D633">
        <v>5</v>
      </c>
      <c r="E633">
        <v>4</v>
      </c>
      <c r="F633">
        <v>291</v>
      </c>
      <c r="G633" s="1">
        <v>31</v>
      </c>
      <c r="H633">
        <v>12</v>
      </c>
      <c r="I633" s="1">
        <v>40</v>
      </c>
      <c r="J633" s="2"/>
      <c r="K633">
        <v>93</v>
      </c>
      <c r="L633">
        <v>0</v>
      </c>
      <c r="M633">
        <v>1</v>
      </c>
      <c r="N633">
        <v>1</v>
      </c>
      <c r="O633">
        <v>1</v>
      </c>
      <c r="P633">
        <v>0</v>
      </c>
      <c r="Q633">
        <v>1</v>
      </c>
      <c r="R633">
        <v>73</v>
      </c>
      <c r="S633">
        <v>171</v>
      </c>
      <c r="T633">
        <v>25</v>
      </c>
      <c r="U633">
        <v>5</v>
      </c>
      <c r="V633" s="53" t="str">
        <f>IFERROR(
IF(tbl_abs[[#This Row],[Month of absence]]=0,"Unknown",
CHOOSE(tbl_abs[[#This Row],[Month of absence]],
"Jan","Feb","Mar","Apr","May","Jun","Jul","Aug","Sep","Oct","Nov","Dec")),"")</f>
        <v>Nov</v>
      </c>
      <c r="W633" s="53" t="str">
        <f>IFERROR(
IF(tbl_abs[[#This Row],[Age]]&lt;30,"&lt;30",
IF(tbl_abs[[#This Row],[Age]]&lt;40,"30–39",
IF(tbl_abs[[#This Row],[Age]]&lt;50,"40–49",
IF(tbl_abs[[#This Row],[Age]]&lt;60,"50–59",
"60+")))),"")</f>
        <v>40–49</v>
      </c>
      <c r="X633" s="53" t="str">
        <f>IFERROR(
IF(tbl_abs[[#This Row],[Distance from Residence to Work]]&lt;=5,"0–5",
IF(tbl_abs[[#This Row],[Distance from Residence to Work]]&lt;=10,"6–10",
IF(tbl_abs[[#This Row],[Distance from Residence to Work]]&lt;=20,"11–20",
"21+"))),"")</f>
        <v>21+</v>
      </c>
      <c r="Y633" s="53" t="str">
        <f>IFERROR(
IF(tbl_abs[[#This Row],[Body Mass Index]]&lt;18.5,"Underweight",
IF(tbl_abs[[#This Row],[Body Mass Index]]&lt;25,"Normal",
IF(tbl_abs[[#This Row],[Body Mass Index]]&lt;30,"Overweight",
"Obese"))),"")</f>
        <v>Overweight</v>
      </c>
      <c r="Z633" s="53" t="str">
        <f>IFERROR(
IF(tbl_abs[[#This Row],[Absenteeism time in hours]]&lt;=2,"0–2",
IF(tbl_abs[[#This Row],[Absenteeism time in hours]]&lt;=8,"3–8",
IF(tbl_abs[[#This Row],[Absenteeism time in hours]]&lt;=16,"9–16",
"17+"))),"")</f>
        <v>3–8</v>
      </c>
    </row>
    <row r="634" spans="1:26" ht="15" customHeight="1" x14ac:dyDescent="0.3">
      <c r="A634">
        <v>14</v>
      </c>
      <c r="B634">
        <v>10</v>
      </c>
      <c r="C634" s="1">
        <v>11</v>
      </c>
      <c r="D634">
        <v>2</v>
      </c>
      <c r="E634">
        <v>4</v>
      </c>
      <c r="F634">
        <v>155</v>
      </c>
      <c r="G634" s="1">
        <v>12</v>
      </c>
      <c r="H634">
        <v>14</v>
      </c>
      <c r="I634" s="1">
        <v>34</v>
      </c>
      <c r="J634" s="2">
        <v>306345</v>
      </c>
      <c r="K634">
        <v>93</v>
      </c>
      <c r="L634">
        <v>0</v>
      </c>
      <c r="M634">
        <v>1</v>
      </c>
      <c r="P634">
        <v>0</v>
      </c>
      <c r="Q634">
        <v>0</v>
      </c>
      <c r="R634">
        <v>95</v>
      </c>
      <c r="S634">
        <v>196</v>
      </c>
      <c r="T634">
        <v>25</v>
      </c>
      <c r="U634">
        <v>32</v>
      </c>
      <c r="V634" s="53" t="str">
        <f>IFERROR(
IF(tbl_abs[[#This Row],[Month of absence]]=0,"Unknown",
CHOOSE(tbl_abs[[#This Row],[Month of absence]],
"Jan","Feb","Mar","Apr","May","Jun","Jul","Aug","Sep","Oct","Nov","Dec")),"")</f>
        <v>Nov</v>
      </c>
      <c r="W634" s="53" t="str">
        <f>IFERROR(
IF(tbl_abs[[#This Row],[Age]]&lt;30,"&lt;30",
IF(tbl_abs[[#This Row],[Age]]&lt;40,"30–39",
IF(tbl_abs[[#This Row],[Age]]&lt;50,"40–49",
IF(tbl_abs[[#This Row],[Age]]&lt;60,"50–59",
"60+")))),"")</f>
        <v>30–39</v>
      </c>
      <c r="X634" s="53" t="str">
        <f>IFERROR(
IF(tbl_abs[[#This Row],[Distance from Residence to Work]]&lt;=5,"0–5",
IF(tbl_abs[[#This Row],[Distance from Residence to Work]]&lt;=10,"6–10",
IF(tbl_abs[[#This Row],[Distance from Residence to Work]]&lt;=20,"11–20",
"21+"))),"")</f>
        <v>11–20</v>
      </c>
      <c r="Y634" s="53" t="str">
        <f>IFERROR(
IF(tbl_abs[[#This Row],[Body Mass Index]]&lt;18.5,"Underweight",
IF(tbl_abs[[#This Row],[Body Mass Index]]&lt;25,"Normal",
IF(tbl_abs[[#This Row],[Body Mass Index]]&lt;30,"Overweight",
"Obese"))),"")</f>
        <v>Overweight</v>
      </c>
      <c r="Z634" s="53" t="str">
        <f>IFERROR(
IF(tbl_abs[[#This Row],[Absenteeism time in hours]]&lt;=2,"0–2",
IF(tbl_abs[[#This Row],[Absenteeism time in hours]]&lt;=8,"3–8",
IF(tbl_abs[[#This Row],[Absenteeism time in hours]]&lt;=16,"9–16",
"17+"))),"")</f>
        <v>17+</v>
      </c>
    </row>
    <row r="635" spans="1:26" ht="15" customHeight="1" x14ac:dyDescent="0.3">
      <c r="A635">
        <v>6</v>
      </c>
      <c r="B635">
        <v>22</v>
      </c>
      <c r="C635" s="1">
        <v>11</v>
      </c>
      <c r="D635">
        <v>2</v>
      </c>
      <c r="E635">
        <v>4</v>
      </c>
      <c r="F635">
        <v>189</v>
      </c>
      <c r="G635" s="1">
        <v>29</v>
      </c>
      <c r="H635">
        <v>13</v>
      </c>
      <c r="I635" s="1">
        <v>33</v>
      </c>
      <c r="J635" s="2">
        <v>306345</v>
      </c>
      <c r="K635">
        <v>93</v>
      </c>
      <c r="L635">
        <v>0</v>
      </c>
      <c r="M635">
        <v>1</v>
      </c>
      <c r="N635">
        <v>2</v>
      </c>
      <c r="O635">
        <v>0</v>
      </c>
      <c r="P635">
        <v>0</v>
      </c>
      <c r="Q635">
        <v>2</v>
      </c>
      <c r="R635">
        <v>69</v>
      </c>
      <c r="S635">
        <v>167</v>
      </c>
      <c r="T635">
        <v>25</v>
      </c>
      <c r="U635">
        <v>8</v>
      </c>
      <c r="V635" s="53" t="str">
        <f>IFERROR(
IF(tbl_abs[[#This Row],[Month of absence]]=0,"Unknown",
CHOOSE(tbl_abs[[#This Row],[Month of absence]],
"Jan","Feb","Mar","Apr","May","Jun","Jul","Aug","Sep","Oct","Nov","Dec")),"")</f>
        <v>Nov</v>
      </c>
      <c r="W635" s="53" t="str">
        <f>IFERROR(
IF(tbl_abs[[#This Row],[Age]]&lt;30,"&lt;30",
IF(tbl_abs[[#This Row],[Age]]&lt;40,"30–39",
IF(tbl_abs[[#This Row],[Age]]&lt;50,"40–49",
IF(tbl_abs[[#This Row],[Age]]&lt;60,"50–59",
"60+")))),"")</f>
        <v>30–39</v>
      </c>
      <c r="X635" s="53" t="str">
        <f>IFERROR(
IF(tbl_abs[[#This Row],[Distance from Residence to Work]]&lt;=5,"0–5",
IF(tbl_abs[[#This Row],[Distance from Residence to Work]]&lt;=10,"6–10",
IF(tbl_abs[[#This Row],[Distance from Residence to Work]]&lt;=20,"11–20",
"21+"))),"")</f>
        <v>21+</v>
      </c>
      <c r="Y635" s="53" t="str">
        <f>IFERROR(
IF(tbl_abs[[#This Row],[Body Mass Index]]&lt;18.5,"Underweight",
IF(tbl_abs[[#This Row],[Body Mass Index]]&lt;25,"Normal",
IF(tbl_abs[[#This Row],[Body Mass Index]]&lt;30,"Overweight",
"Obese"))),"")</f>
        <v>Overweight</v>
      </c>
      <c r="Z635" s="53" t="str">
        <f>IFERROR(
IF(tbl_abs[[#This Row],[Absenteeism time in hours]]&lt;=2,"0–2",
IF(tbl_abs[[#This Row],[Absenteeism time in hours]]&lt;=8,"3–8",
IF(tbl_abs[[#This Row],[Absenteeism time in hours]]&lt;=16,"9–16",
"17+"))),"")</f>
        <v>3–8</v>
      </c>
    </row>
    <row r="636" spans="1:26" ht="15" customHeight="1" x14ac:dyDescent="0.3">
      <c r="A636">
        <v>15</v>
      </c>
      <c r="B636">
        <v>14</v>
      </c>
      <c r="C636" s="1">
        <v>11</v>
      </c>
      <c r="D636">
        <v>2</v>
      </c>
      <c r="E636">
        <v>4</v>
      </c>
      <c r="F636">
        <v>291</v>
      </c>
      <c r="G636" s="1">
        <v>31</v>
      </c>
      <c r="H636">
        <v>12</v>
      </c>
      <c r="I636" s="1">
        <v>40</v>
      </c>
      <c r="J636" s="2">
        <v>306345</v>
      </c>
      <c r="K636">
        <v>93</v>
      </c>
      <c r="L636">
        <v>0</v>
      </c>
      <c r="M636">
        <v>1</v>
      </c>
      <c r="N636">
        <v>1</v>
      </c>
      <c r="O636">
        <v>1</v>
      </c>
      <c r="P636">
        <v>0</v>
      </c>
      <c r="Q636">
        <v>1</v>
      </c>
      <c r="R636">
        <v>73</v>
      </c>
      <c r="S636">
        <v>171</v>
      </c>
      <c r="T636">
        <v>25</v>
      </c>
      <c r="U636">
        <v>40</v>
      </c>
      <c r="V636" s="53" t="str">
        <f>IFERROR(
IF(tbl_abs[[#This Row],[Month of absence]]=0,"Unknown",
CHOOSE(tbl_abs[[#This Row],[Month of absence]],
"Jan","Feb","Mar","Apr","May","Jun","Jul","Aug","Sep","Oct","Nov","Dec")),"")</f>
        <v>Nov</v>
      </c>
      <c r="W636" s="53" t="str">
        <f>IFERROR(
IF(tbl_abs[[#This Row],[Age]]&lt;30,"&lt;30",
IF(tbl_abs[[#This Row],[Age]]&lt;40,"30–39",
IF(tbl_abs[[#This Row],[Age]]&lt;50,"40–49",
IF(tbl_abs[[#This Row],[Age]]&lt;60,"50–59",
"60+")))),"")</f>
        <v>40–49</v>
      </c>
      <c r="X636" s="53" t="str">
        <f>IFERROR(
IF(tbl_abs[[#This Row],[Distance from Residence to Work]]&lt;=5,"0–5",
IF(tbl_abs[[#This Row],[Distance from Residence to Work]]&lt;=10,"6–10",
IF(tbl_abs[[#This Row],[Distance from Residence to Work]]&lt;=20,"11–20",
"21+"))),"")</f>
        <v>21+</v>
      </c>
      <c r="Y636" s="53" t="str">
        <f>IFERROR(
IF(tbl_abs[[#This Row],[Body Mass Index]]&lt;18.5,"Underweight",
IF(tbl_abs[[#This Row],[Body Mass Index]]&lt;25,"Normal",
IF(tbl_abs[[#This Row],[Body Mass Index]]&lt;30,"Overweight",
"Obese"))),"")</f>
        <v>Overweight</v>
      </c>
      <c r="Z636" s="53" t="str">
        <f>IFERROR(
IF(tbl_abs[[#This Row],[Absenteeism time in hours]]&lt;=2,"0–2",
IF(tbl_abs[[#This Row],[Absenteeism time in hours]]&lt;=8,"3–8",
IF(tbl_abs[[#This Row],[Absenteeism time in hours]]&lt;=16,"9–16",
"17+"))),"")</f>
        <v>17+</v>
      </c>
    </row>
    <row r="637" spans="1:26" ht="15" customHeight="1" x14ac:dyDescent="0.3">
      <c r="A637">
        <v>28</v>
      </c>
      <c r="B637">
        <v>23</v>
      </c>
      <c r="C637" s="1">
        <v>11</v>
      </c>
      <c r="D637">
        <v>4</v>
      </c>
      <c r="E637">
        <v>4</v>
      </c>
      <c r="F637">
        <v>225</v>
      </c>
      <c r="G637" s="1">
        <v>26</v>
      </c>
      <c r="H637">
        <v>9</v>
      </c>
      <c r="I637" s="1">
        <v>28</v>
      </c>
      <c r="J637" s="2">
        <v>306345</v>
      </c>
      <c r="K637">
        <v>93</v>
      </c>
      <c r="L637">
        <v>0</v>
      </c>
      <c r="M637">
        <v>1</v>
      </c>
      <c r="N637">
        <v>1</v>
      </c>
      <c r="O637">
        <v>0</v>
      </c>
      <c r="P637">
        <v>0</v>
      </c>
      <c r="Q637">
        <v>2</v>
      </c>
      <c r="R637">
        <v>69</v>
      </c>
      <c r="S637">
        <v>169</v>
      </c>
      <c r="T637">
        <v>24</v>
      </c>
      <c r="U637">
        <v>1</v>
      </c>
      <c r="V637" s="53" t="str">
        <f>IFERROR(
IF(tbl_abs[[#This Row],[Month of absence]]=0,"Unknown",
CHOOSE(tbl_abs[[#This Row],[Month of absence]],
"Jan","Feb","Mar","Apr","May","Jun","Jul","Aug","Sep","Oct","Nov","Dec")),"")</f>
        <v>Nov</v>
      </c>
      <c r="W637" s="53" t="str">
        <f>IFERROR(
IF(tbl_abs[[#This Row],[Age]]&lt;30,"&lt;30",
IF(tbl_abs[[#This Row],[Age]]&lt;40,"30–39",
IF(tbl_abs[[#This Row],[Age]]&lt;50,"40–49",
IF(tbl_abs[[#This Row],[Age]]&lt;60,"50–59",
"60+")))),"")</f>
        <v>&lt;30</v>
      </c>
      <c r="X637" s="53" t="str">
        <f>IFERROR(
IF(tbl_abs[[#This Row],[Distance from Residence to Work]]&lt;=5,"0–5",
IF(tbl_abs[[#This Row],[Distance from Residence to Work]]&lt;=10,"6–10",
IF(tbl_abs[[#This Row],[Distance from Residence to Work]]&lt;=20,"11–20",
"21+"))),"")</f>
        <v>21+</v>
      </c>
      <c r="Y637" s="53" t="str">
        <f>IFERROR(
IF(tbl_abs[[#This Row],[Body Mass Index]]&lt;18.5,"Underweight",
IF(tbl_abs[[#This Row],[Body Mass Index]]&lt;25,"Normal",
IF(tbl_abs[[#This Row],[Body Mass Index]]&lt;30,"Overweight",
"Obese"))),"")</f>
        <v>Normal</v>
      </c>
      <c r="Z637" s="53" t="str">
        <f>IFERROR(
IF(tbl_abs[[#This Row],[Absenteeism time in hours]]&lt;=2,"0–2",
IF(tbl_abs[[#This Row],[Absenteeism time in hours]]&lt;=8,"3–8",
IF(tbl_abs[[#This Row],[Absenteeism time in hours]]&lt;=16,"9–16",
"17+"))),"")</f>
        <v>0–2</v>
      </c>
    </row>
    <row r="638" spans="1:26" ht="15" customHeight="1" x14ac:dyDescent="0.3">
      <c r="A638">
        <v>14</v>
      </c>
      <c r="B638">
        <v>6</v>
      </c>
      <c r="C638" s="1">
        <v>11</v>
      </c>
      <c r="D638">
        <v>6</v>
      </c>
      <c r="E638">
        <v>4</v>
      </c>
      <c r="F638">
        <v>155</v>
      </c>
      <c r="G638" s="1">
        <v>12</v>
      </c>
      <c r="H638">
        <v>14</v>
      </c>
      <c r="I638" s="1">
        <v>34</v>
      </c>
      <c r="J638" s="2">
        <v>306345</v>
      </c>
      <c r="K638">
        <v>93</v>
      </c>
      <c r="L638">
        <v>0</v>
      </c>
      <c r="M638">
        <v>1</v>
      </c>
      <c r="N638">
        <v>2</v>
      </c>
      <c r="O638">
        <v>1</v>
      </c>
      <c r="P638">
        <v>0</v>
      </c>
      <c r="Q638">
        <v>0</v>
      </c>
      <c r="R638">
        <v>95</v>
      </c>
      <c r="S638">
        <v>196</v>
      </c>
      <c r="U638">
        <v>8</v>
      </c>
      <c r="V638" s="53" t="str">
        <f>IFERROR(
IF(tbl_abs[[#This Row],[Month of absence]]=0,"Unknown",
CHOOSE(tbl_abs[[#This Row],[Month of absence]],
"Jan","Feb","Mar","Apr","May","Jun","Jul","Aug","Sep","Oct","Nov","Dec")),"")</f>
        <v>Nov</v>
      </c>
      <c r="W638" s="53" t="str">
        <f>IFERROR(
IF(tbl_abs[[#This Row],[Age]]&lt;30,"&lt;30",
IF(tbl_abs[[#This Row],[Age]]&lt;40,"30–39",
IF(tbl_abs[[#This Row],[Age]]&lt;50,"40–49",
IF(tbl_abs[[#This Row],[Age]]&lt;60,"50–59",
"60+")))),"")</f>
        <v>30–39</v>
      </c>
      <c r="X638" s="53" t="str">
        <f>IFERROR(
IF(tbl_abs[[#This Row],[Distance from Residence to Work]]&lt;=5,"0–5",
IF(tbl_abs[[#This Row],[Distance from Residence to Work]]&lt;=10,"6–10",
IF(tbl_abs[[#This Row],[Distance from Residence to Work]]&lt;=20,"11–20",
"21+"))),"")</f>
        <v>11–20</v>
      </c>
      <c r="Y638" s="53" t="str">
        <f>IFERROR(
IF(tbl_abs[[#This Row],[Body Mass Index]]&lt;18.5,"Underweight",
IF(tbl_abs[[#This Row],[Body Mass Index]]&lt;25,"Normal",
IF(tbl_abs[[#This Row],[Body Mass Index]]&lt;30,"Overweight",
"Obese"))),"")</f>
        <v>Underweight</v>
      </c>
      <c r="Z638" s="53" t="str">
        <f>IFERROR(
IF(tbl_abs[[#This Row],[Absenteeism time in hours]]&lt;=2,"0–2",
IF(tbl_abs[[#This Row],[Absenteeism time in hours]]&lt;=8,"3–8",
IF(tbl_abs[[#This Row],[Absenteeism time in hours]]&lt;=16,"9–16",
"17+"))),"")</f>
        <v>3–8</v>
      </c>
    </row>
    <row r="639" spans="1:26" ht="15" customHeight="1" x14ac:dyDescent="0.3">
      <c r="A639">
        <v>28</v>
      </c>
      <c r="B639">
        <v>23</v>
      </c>
      <c r="C639" s="1">
        <v>11</v>
      </c>
      <c r="D639">
        <v>4</v>
      </c>
      <c r="E639">
        <v>4</v>
      </c>
      <c r="F639">
        <v>225</v>
      </c>
      <c r="G639" s="1">
        <v>26</v>
      </c>
      <c r="H639">
        <v>9</v>
      </c>
      <c r="I639" s="1">
        <v>28</v>
      </c>
      <c r="J639" s="2">
        <v>306345</v>
      </c>
      <c r="K639">
        <v>93</v>
      </c>
      <c r="L639">
        <v>0</v>
      </c>
      <c r="M639">
        <v>1</v>
      </c>
      <c r="N639">
        <v>1</v>
      </c>
      <c r="O639">
        <v>0</v>
      </c>
      <c r="P639">
        <v>0</v>
      </c>
      <c r="Q639">
        <v>2</v>
      </c>
      <c r="R639">
        <v>69</v>
      </c>
      <c r="S639">
        <v>169</v>
      </c>
      <c r="T639">
        <v>24</v>
      </c>
      <c r="U639">
        <v>3</v>
      </c>
      <c r="V639" s="53" t="str">
        <f>IFERROR(
IF(tbl_abs[[#This Row],[Month of absence]]=0,"Unknown",
CHOOSE(tbl_abs[[#This Row],[Month of absence]],
"Jan","Feb","Mar","Apr","May","Jun","Jul","Aug","Sep","Oct","Nov","Dec")),"")</f>
        <v>Nov</v>
      </c>
      <c r="W639" s="53" t="str">
        <f>IFERROR(
IF(tbl_abs[[#This Row],[Age]]&lt;30,"&lt;30",
IF(tbl_abs[[#This Row],[Age]]&lt;40,"30–39",
IF(tbl_abs[[#This Row],[Age]]&lt;50,"40–49",
IF(tbl_abs[[#This Row],[Age]]&lt;60,"50–59",
"60+")))),"")</f>
        <v>&lt;30</v>
      </c>
      <c r="X639" s="53" t="str">
        <f>IFERROR(
IF(tbl_abs[[#This Row],[Distance from Residence to Work]]&lt;=5,"0–5",
IF(tbl_abs[[#This Row],[Distance from Residence to Work]]&lt;=10,"6–10",
IF(tbl_abs[[#This Row],[Distance from Residence to Work]]&lt;=20,"11–20",
"21+"))),"")</f>
        <v>21+</v>
      </c>
      <c r="Y639" s="53" t="str">
        <f>IFERROR(
IF(tbl_abs[[#This Row],[Body Mass Index]]&lt;18.5,"Underweight",
IF(tbl_abs[[#This Row],[Body Mass Index]]&lt;25,"Normal",
IF(tbl_abs[[#This Row],[Body Mass Index]]&lt;30,"Overweight",
"Obese"))),"")</f>
        <v>Normal</v>
      </c>
      <c r="Z639" s="53" t="str">
        <f>IFERROR(
IF(tbl_abs[[#This Row],[Absenteeism time in hours]]&lt;=2,"0–2",
IF(tbl_abs[[#This Row],[Absenteeism time in hours]]&lt;=8,"3–8",
IF(tbl_abs[[#This Row],[Absenteeism time in hours]]&lt;=16,"9–16",
"17+"))),"")</f>
        <v>3–8</v>
      </c>
    </row>
    <row r="640" spans="1:26" ht="15" customHeight="1" x14ac:dyDescent="0.3">
      <c r="A640">
        <v>17</v>
      </c>
      <c r="B640">
        <v>21</v>
      </c>
      <c r="C640" s="1">
        <v>11</v>
      </c>
      <c r="D640">
        <v>4</v>
      </c>
      <c r="E640">
        <v>4</v>
      </c>
      <c r="F640">
        <v>179</v>
      </c>
      <c r="G640" s="1">
        <v>22</v>
      </c>
      <c r="H640">
        <v>17</v>
      </c>
      <c r="I640" s="1">
        <v>40</v>
      </c>
      <c r="J640" s="2">
        <v>306345</v>
      </c>
      <c r="L640">
        <v>0</v>
      </c>
      <c r="M640">
        <v>2</v>
      </c>
      <c r="N640">
        <v>2</v>
      </c>
      <c r="P640">
        <v>1</v>
      </c>
      <c r="Q640">
        <v>0</v>
      </c>
      <c r="R640">
        <v>63</v>
      </c>
      <c r="S640">
        <v>170</v>
      </c>
      <c r="T640">
        <v>22</v>
      </c>
      <c r="U640">
        <v>8</v>
      </c>
      <c r="V640" s="53" t="str">
        <f>IFERROR(
IF(tbl_abs[[#This Row],[Month of absence]]=0,"Unknown",
CHOOSE(tbl_abs[[#This Row],[Month of absence]],
"Jan","Feb","Mar","Apr","May","Jun","Jul","Aug","Sep","Oct","Nov","Dec")),"")</f>
        <v>Nov</v>
      </c>
      <c r="W640" s="53" t="str">
        <f>IFERROR(
IF(tbl_abs[[#This Row],[Age]]&lt;30,"&lt;30",
IF(tbl_abs[[#This Row],[Age]]&lt;40,"30–39",
IF(tbl_abs[[#This Row],[Age]]&lt;50,"40–49",
IF(tbl_abs[[#This Row],[Age]]&lt;60,"50–59",
"60+")))),"")</f>
        <v>40–49</v>
      </c>
      <c r="X640" s="53" t="str">
        <f>IFERROR(
IF(tbl_abs[[#This Row],[Distance from Residence to Work]]&lt;=5,"0–5",
IF(tbl_abs[[#This Row],[Distance from Residence to Work]]&lt;=10,"6–10",
IF(tbl_abs[[#This Row],[Distance from Residence to Work]]&lt;=20,"11–20",
"21+"))),"")</f>
        <v>21+</v>
      </c>
      <c r="Y640" s="53" t="str">
        <f>IFERROR(
IF(tbl_abs[[#This Row],[Body Mass Index]]&lt;18.5,"Underweight",
IF(tbl_abs[[#This Row],[Body Mass Index]]&lt;25,"Normal",
IF(tbl_abs[[#This Row],[Body Mass Index]]&lt;30,"Overweight",
"Obese"))),"")</f>
        <v>Normal</v>
      </c>
      <c r="Z640" s="53" t="str">
        <f>IFERROR(
IF(tbl_abs[[#This Row],[Absenteeism time in hours]]&lt;=2,"0–2",
IF(tbl_abs[[#This Row],[Absenteeism time in hours]]&lt;=8,"3–8",
IF(tbl_abs[[#This Row],[Absenteeism time in hours]]&lt;=16,"9–16",
"17+"))),"")</f>
        <v>3–8</v>
      </c>
    </row>
    <row r="641" spans="1:26" ht="15" customHeight="1" x14ac:dyDescent="0.3">
      <c r="A641">
        <v>28</v>
      </c>
      <c r="B641">
        <v>13</v>
      </c>
      <c r="C641" s="1">
        <v>11</v>
      </c>
      <c r="D641">
        <v>6</v>
      </c>
      <c r="E641">
        <v>4</v>
      </c>
      <c r="F641">
        <v>225</v>
      </c>
      <c r="G641" s="1">
        <v>26</v>
      </c>
      <c r="H641">
        <v>9</v>
      </c>
      <c r="I641" s="1">
        <v>28</v>
      </c>
      <c r="J641" s="2">
        <v>306345</v>
      </c>
      <c r="K641">
        <v>93</v>
      </c>
      <c r="L641">
        <v>0</v>
      </c>
      <c r="M641">
        <v>1</v>
      </c>
      <c r="N641">
        <v>1</v>
      </c>
      <c r="O641">
        <v>0</v>
      </c>
      <c r="P641">
        <v>0</v>
      </c>
      <c r="Q641">
        <v>2</v>
      </c>
      <c r="R641">
        <v>69</v>
      </c>
      <c r="S641">
        <v>169</v>
      </c>
      <c r="T641">
        <v>24</v>
      </c>
      <c r="U641">
        <v>3</v>
      </c>
      <c r="V641" s="53" t="str">
        <f>IFERROR(
IF(tbl_abs[[#This Row],[Month of absence]]=0,"Unknown",
CHOOSE(tbl_abs[[#This Row],[Month of absence]],
"Jan","Feb","Mar","Apr","May","Jun","Jul","Aug","Sep","Oct","Nov","Dec")),"")</f>
        <v>Nov</v>
      </c>
      <c r="W641" s="53" t="str">
        <f>IFERROR(
IF(tbl_abs[[#This Row],[Age]]&lt;30,"&lt;30",
IF(tbl_abs[[#This Row],[Age]]&lt;40,"30–39",
IF(tbl_abs[[#This Row],[Age]]&lt;50,"40–49",
IF(tbl_abs[[#This Row],[Age]]&lt;60,"50–59",
"60+")))),"")</f>
        <v>&lt;30</v>
      </c>
      <c r="X641" s="53" t="str">
        <f>IFERROR(
IF(tbl_abs[[#This Row],[Distance from Residence to Work]]&lt;=5,"0–5",
IF(tbl_abs[[#This Row],[Distance from Residence to Work]]&lt;=10,"6–10",
IF(tbl_abs[[#This Row],[Distance from Residence to Work]]&lt;=20,"11–20",
"21+"))),"")</f>
        <v>21+</v>
      </c>
      <c r="Y641" s="53" t="str">
        <f>IFERROR(
IF(tbl_abs[[#This Row],[Body Mass Index]]&lt;18.5,"Underweight",
IF(tbl_abs[[#This Row],[Body Mass Index]]&lt;25,"Normal",
IF(tbl_abs[[#This Row],[Body Mass Index]]&lt;30,"Overweight",
"Obese"))),"")</f>
        <v>Normal</v>
      </c>
      <c r="Z641" s="53" t="str">
        <f>IFERROR(
IF(tbl_abs[[#This Row],[Absenteeism time in hours]]&lt;=2,"0–2",
IF(tbl_abs[[#This Row],[Absenteeism time in hours]]&lt;=8,"3–8",
IF(tbl_abs[[#This Row],[Absenteeism time in hours]]&lt;=16,"9–16",
"17+"))),"")</f>
        <v>3–8</v>
      </c>
    </row>
    <row r="642" spans="1:26" ht="15" customHeight="1" x14ac:dyDescent="0.3">
      <c r="A642">
        <v>20</v>
      </c>
      <c r="B642">
        <v>28</v>
      </c>
      <c r="C642" s="1">
        <v>11</v>
      </c>
      <c r="D642">
        <v>6</v>
      </c>
      <c r="E642">
        <v>4</v>
      </c>
      <c r="F642">
        <v>260</v>
      </c>
      <c r="G642" s="1">
        <v>50</v>
      </c>
      <c r="H642">
        <v>11</v>
      </c>
      <c r="I642" s="1">
        <v>36</v>
      </c>
      <c r="J642" s="2"/>
      <c r="K642">
        <v>93</v>
      </c>
      <c r="L642">
        <v>0</v>
      </c>
      <c r="M642">
        <v>1</v>
      </c>
      <c r="N642">
        <v>4</v>
      </c>
      <c r="O642">
        <v>1</v>
      </c>
      <c r="P642">
        <v>0</v>
      </c>
      <c r="Q642">
        <v>0</v>
      </c>
      <c r="R642">
        <v>65</v>
      </c>
      <c r="S642">
        <v>168</v>
      </c>
      <c r="T642">
        <v>23</v>
      </c>
      <c r="U642">
        <v>4</v>
      </c>
      <c r="V642" s="53" t="str">
        <f>IFERROR(
IF(tbl_abs[[#This Row],[Month of absence]]=0,"Unknown",
CHOOSE(tbl_abs[[#This Row],[Month of absence]],
"Jan","Feb","Mar","Apr","May","Jun","Jul","Aug","Sep","Oct","Nov","Dec")),"")</f>
        <v>Nov</v>
      </c>
      <c r="W642" s="53" t="str">
        <f>IFERROR(
IF(tbl_abs[[#This Row],[Age]]&lt;30,"&lt;30",
IF(tbl_abs[[#This Row],[Age]]&lt;40,"30–39",
IF(tbl_abs[[#This Row],[Age]]&lt;50,"40–49",
IF(tbl_abs[[#This Row],[Age]]&lt;60,"50–59",
"60+")))),"")</f>
        <v>30–39</v>
      </c>
      <c r="X642" s="53" t="str">
        <f>IFERROR(
IF(tbl_abs[[#This Row],[Distance from Residence to Work]]&lt;=5,"0–5",
IF(tbl_abs[[#This Row],[Distance from Residence to Work]]&lt;=10,"6–10",
IF(tbl_abs[[#This Row],[Distance from Residence to Work]]&lt;=20,"11–20",
"21+"))),"")</f>
        <v>21+</v>
      </c>
      <c r="Y642" s="53" t="str">
        <f>IFERROR(
IF(tbl_abs[[#This Row],[Body Mass Index]]&lt;18.5,"Underweight",
IF(tbl_abs[[#This Row],[Body Mass Index]]&lt;25,"Normal",
IF(tbl_abs[[#This Row],[Body Mass Index]]&lt;30,"Overweight",
"Obese"))),"")</f>
        <v>Normal</v>
      </c>
      <c r="Z642" s="53" t="str">
        <f>IFERROR(
IF(tbl_abs[[#This Row],[Absenteeism time in hours]]&lt;=2,"0–2",
IF(tbl_abs[[#This Row],[Absenteeism time in hours]]&lt;=8,"3–8",
IF(tbl_abs[[#This Row],[Absenteeism time in hours]]&lt;=16,"9–16",
"17+"))),"")</f>
        <v>3–8</v>
      </c>
    </row>
    <row r="643" spans="1:26" ht="15" customHeight="1" x14ac:dyDescent="0.3">
      <c r="A643">
        <v>33</v>
      </c>
      <c r="B643">
        <v>28</v>
      </c>
      <c r="C643" s="1">
        <v>11</v>
      </c>
      <c r="D643">
        <v>2</v>
      </c>
      <c r="E643">
        <v>4</v>
      </c>
      <c r="F643">
        <v>248</v>
      </c>
      <c r="G643" s="1">
        <v>25</v>
      </c>
      <c r="H643">
        <v>14</v>
      </c>
      <c r="I643" s="1">
        <v>47</v>
      </c>
      <c r="J643" s="2">
        <v>306345</v>
      </c>
      <c r="K643">
        <v>93</v>
      </c>
      <c r="L643">
        <v>0</v>
      </c>
      <c r="M643">
        <v>1</v>
      </c>
      <c r="N643">
        <v>2</v>
      </c>
      <c r="O643">
        <v>0</v>
      </c>
      <c r="P643">
        <v>0</v>
      </c>
      <c r="Q643">
        <v>1</v>
      </c>
      <c r="R643">
        <v>86</v>
      </c>
      <c r="S643">
        <v>165</v>
      </c>
      <c r="T643">
        <v>32</v>
      </c>
      <c r="U643">
        <v>1</v>
      </c>
      <c r="V643" s="53" t="str">
        <f>IFERROR(
IF(tbl_abs[[#This Row],[Month of absence]]=0,"Unknown",
CHOOSE(tbl_abs[[#This Row],[Month of absence]],
"Jan","Feb","Mar","Apr","May","Jun","Jul","Aug","Sep","Oct","Nov","Dec")),"")</f>
        <v>Nov</v>
      </c>
      <c r="W643" s="53" t="str">
        <f>IFERROR(
IF(tbl_abs[[#This Row],[Age]]&lt;30,"&lt;30",
IF(tbl_abs[[#This Row],[Age]]&lt;40,"30–39",
IF(tbl_abs[[#This Row],[Age]]&lt;50,"40–49",
IF(tbl_abs[[#This Row],[Age]]&lt;60,"50–59",
"60+")))),"")</f>
        <v>40–49</v>
      </c>
      <c r="X643" s="53" t="str">
        <f>IFERROR(
IF(tbl_abs[[#This Row],[Distance from Residence to Work]]&lt;=5,"0–5",
IF(tbl_abs[[#This Row],[Distance from Residence to Work]]&lt;=10,"6–10",
IF(tbl_abs[[#This Row],[Distance from Residence to Work]]&lt;=20,"11–20",
"21+"))),"")</f>
        <v>21+</v>
      </c>
      <c r="Y643" s="53" t="str">
        <f>IFERROR(
IF(tbl_abs[[#This Row],[Body Mass Index]]&lt;18.5,"Underweight",
IF(tbl_abs[[#This Row],[Body Mass Index]]&lt;25,"Normal",
IF(tbl_abs[[#This Row],[Body Mass Index]]&lt;30,"Overweight",
"Obese"))),"")</f>
        <v>Obese</v>
      </c>
      <c r="Z643" s="53" t="str">
        <f>IFERROR(
IF(tbl_abs[[#This Row],[Absenteeism time in hours]]&lt;=2,"0–2",
IF(tbl_abs[[#This Row],[Absenteeism time in hours]]&lt;=8,"3–8",
IF(tbl_abs[[#This Row],[Absenteeism time in hours]]&lt;=16,"9–16",
"17+"))),"")</f>
        <v>0–2</v>
      </c>
    </row>
    <row r="644" spans="1:26" ht="15" customHeight="1" x14ac:dyDescent="0.3">
      <c r="A644">
        <v>28</v>
      </c>
      <c r="B644">
        <v>28</v>
      </c>
      <c r="C644" s="1">
        <v>11</v>
      </c>
      <c r="D644">
        <v>3</v>
      </c>
      <c r="E644">
        <v>4</v>
      </c>
      <c r="F644">
        <v>225</v>
      </c>
      <c r="G644" s="1">
        <v>26</v>
      </c>
      <c r="H644">
        <v>9</v>
      </c>
      <c r="I644" s="1">
        <v>28</v>
      </c>
      <c r="J644" s="2">
        <v>306345</v>
      </c>
      <c r="K644">
        <v>93</v>
      </c>
      <c r="L644">
        <v>0</v>
      </c>
      <c r="M644">
        <v>1</v>
      </c>
      <c r="N644">
        <v>1</v>
      </c>
      <c r="O644">
        <v>0</v>
      </c>
      <c r="P644">
        <v>0</v>
      </c>
      <c r="Q644">
        <v>2</v>
      </c>
      <c r="R644">
        <v>69</v>
      </c>
      <c r="S644">
        <v>169</v>
      </c>
      <c r="T644">
        <v>24</v>
      </c>
      <c r="U644">
        <v>3</v>
      </c>
      <c r="V644" s="53" t="str">
        <f>IFERROR(
IF(tbl_abs[[#This Row],[Month of absence]]=0,"Unknown",
CHOOSE(tbl_abs[[#This Row],[Month of absence]],
"Jan","Feb","Mar","Apr","May","Jun","Jul","Aug","Sep","Oct","Nov","Dec")),"")</f>
        <v>Nov</v>
      </c>
      <c r="W644" s="53" t="str">
        <f>IFERROR(
IF(tbl_abs[[#This Row],[Age]]&lt;30,"&lt;30",
IF(tbl_abs[[#This Row],[Age]]&lt;40,"30–39",
IF(tbl_abs[[#This Row],[Age]]&lt;50,"40–49",
IF(tbl_abs[[#This Row],[Age]]&lt;60,"50–59",
"60+")))),"")</f>
        <v>&lt;30</v>
      </c>
      <c r="X644" s="53" t="str">
        <f>IFERROR(
IF(tbl_abs[[#This Row],[Distance from Residence to Work]]&lt;=5,"0–5",
IF(tbl_abs[[#This Row],[Distance from Residence to Work]]&lt;=10,"6–10",
IF(tbl_abs[[#This Row],[Distance from Residence to Work]]&lt;=20,"11–20",
"21+"))),"")</f>
        <v>21+</v>
      </c>
      <c r="Y644" s="53" t="str">
        <f>IFERROR(
IF(tbl_abs[[#This Row],[Body Mass Index]]&lt;18.5,"Underweight",
IF(tbl_abs[[#This Row],[Body Mass Index]]&lt;25,"Normal",
IF(tbl_abs[[#This Row],[Body Mass Index]]&lt;30,"Overweight",
"Obese"))),"")</f>
        <v>Normal</v>
      </c>
      <c r="Z644" s="53" t="str">
        <f>IFERROR(
IF(tbl_abs[[#This Row],[Absenteeism time in hours]]&lt;=2,"0–2",
IF(tbl_abs[[#This Row],[Absenteeism time in hours]]&lt;=8,"3–8",
IF(tbl_abs[[#This Row],[Absenteeism time in hours]]&lt;=16,"9–16",
"17+"))),"")</f>
        <v>3–8</v>
      </c>
    </row>
    <row r="645" spans="1:26" ht="15" customHeight="1" x14ac:dyDescent="0.3">
      <c r="A645">
        <v>11</v>
      </c>
      <c r="B645">
        <v>7</v>
      </c>
      <c r="C645" s="1">
        <v>11</v>
      </c>
      <c r="D645">
        <v>4</v>
      </c>
      <c r="E645">
        <v>4</v>
      </c>
      <c r="F645">
        <v>289</v>
      </c>
      <c r="G645" s="1">
        <v>36</v>
      </c>
      <c r="H645">
        <v>13</v>
      </c>
      <c r="I645" s="1">
        <v>33</v>
      </c>
      <c r="J645" s="2">
        <v>306345</v>
      </c>
      <c r="K645">
        <v>93</v>
      </c>
      <c r="L645">
        <v>0</v>
      </c>
      <c r="M645">
        <v>1</v>
      </c>
      <c r="N645">
        <v>2</v>
      </c>
      <c r="O645">
        <v>1</v>
      </c>
      <c r="P645">
        <v>0</v>
      </c>
      <c r="Q645">
        <v>1</v>
      </c>
      <c r="R645">
        <v>90</v>
      </c>
      <c r="S645">
        <v>172</v>
      </c>
      <c r="T645">
        <v>30</v>
      </c>
      <c r="U645">
        <v>24</v>
      </c>
      <c r="V645" s="53" t="str">
        <f>IFERROR(
IF(tbl_abs[[#This Row],[Month of absence]]=0,"Unknown",
CHOOSE(tbl_abs[[#This Row],[Month of absence]],
"Jan","Feb","Mar","Apr","May","Jun","Jul","Aug","Sep","Oct","Nov","Dec")),"")</f>
        <v>Nov</v>
      </c>
      <c r="W645" s="53" t="str">
        <f>IFERROR(
IF(tbl_abs[[#This Row],[Age]]&lt;30,"&lt;30",
IF(tbl_abs[[#This Row],[Age]]&lt;40,"30–39",
IF(tbl_abs[[#This Row],[Age]]&lt;50,"40–49",
IF(tbl_abs[[#This Row],[Age]]&lt;60,"50–59",
"60+")))),"")</f>
        <v>30–39</v>
      </c>
      <c r="X645" s="53" t="str">
        <f>IFERROR(
IF(tbl_abs[[#This Row],[Distance from Residence to Work]]&lt;=5,"0–5",
IF(tbl_abs[[#This Row],[Distance from Residence to Work]]&lt;=10,"6–10",
IF(tbl_abs[[#This Row],[Distance from Residence to Work]]&lt;=20,"11–20",
"21+"))),"")</f>
        <v>21+</v>
      </c>
      <c r="Y645" s="53" t="str">
        <f>IFERROR(
IF(tbl_abs[[#This Row],[Body Mass Index]]&lt;18.5,"Underweight",
IF(tbl_abs[[#This Row],[Body Mass Index]]&lt;25,"Normal",
IF(tbl_abs[[#This Row],[Body Mass Index]]&lt;30,"Overweight",
"Obese"))),"")</f>
        <v>Obese</v>
      </c>
      <c r="Z645" s="53" t="str">
        <f>IFERROR(
IF(tbl_abs[[#This Row],[Absenteeism time in hours]]&lt;=2,"0–2",
IF(tbl_abs[[#This Row],[Absenteeism time in hours]]&lt;=8,"3–8",
IF(tbl_abs[[#This Row],[Absenteeism time in hours]]&lt;=16,"9–16",
"17+"))),"")</f>
        <v>17+</v>
      </c>
    </row>
    <row r="646" spans="1:26" ht="15" customHeight="1" x14ac:dyDescent="0.3">
      <c r="A646">
        <v>15</v>
      </c>
      <c r="B646">
        <v>23</v>
      </c>
      <c r="C646" s="1">
        <v>11</v>
      </c>
      <c r="D646">
        <v>5</v>
      </c>
      <c r="E646">
        <v>4</v>
      </c>
      <c r="F646">
        <v>291</v>
      </c>
      <c r="G646" s="1">
        <v>31</v>
      </c>
      <c r="H646">
        <v>12</v>
      </c>
      <c r="I646" s="1">
        <v>40</v>
      </c>
      <c r="J646" s="2">
        <v>306345</v>
      </c>
      <c r="K646">
        <v>93</v>
      </c>
      <c r="L646">
        <v>0</v>
      </c>
      <c r="M646">
        <v>1</v>
      </c>
      <c r="N646">
        <v>1</v>
      </c>
      <c r="O646">
        <v>1</v>
      </c>
      <c r="P646">
        <v>0</v>
      </c>
      <c r="Q646">
        <v>1</v>
      </c>
      <c r="R646">
        <v>73</v>
      </c>
      <c r="S646">
        <v>171</v>
      </c>
      <c r="T646">
        <v>25</v>
      </c>
      <c r="U646">
        <v>3</v>
      </c>
      <c r="V646" s="53" t="str">
        <f>IFERROR(
IF(tbl_abs[[#This Row],[Month of absence]]=0,"Unknown",
CHOOSE(tbl_abs[[#This Row],[Month of absence]],
"Jan","Feb","Mar","Apr","May","Jun","Jul","Aug","Sep","Oct","Nov","Dec")),"")</f>
        <v>Nov</v>
      </c>
      <c r="W646" s="53" t="str">
        <f>IFERROR(
IF(tbl_abs[[#This Row],[Age]]&lt;30,"&lt;30",
IF(tbl_abs[[#This Row],[Age]]&lt;40,"30–39",
IF(tbl_abs[[#This Row],[Age]]&lt;50,"40–49",
IF(tbl_abs[[#This Row],[Age]]&lt;60,"50–59",
"60+")))),"")</f>
        <v>40–49</v>
      </c>
      <c r="X646" s="53" t="str">
        <f>IFERROR(
IF(tbl_abs[[#This Row],[Distance from Residence to Work]]&lt;=5,"0–5",
IF(tbl_abs[[#This Row],[Distance from Residence to Work]]&lt;=10,"6–10",
IF(tbl_abs[[#This Row],[Distance from Residence to Work]]&lt;=20,"11–20",
"21+"))),"")</f>
        <v>21+</v>
      </c>
      <c r="Y646" s="53" t="str">
        <f>IFERROR(
IF(tbl_abs[[#This Row],[Body Mass Index]]&lt;18.5,"Underweight",
IF(tbl_abs[[#This Row],[Body Mass Index]]&lt;25,"Normal",
IF(tbl_abs[[#This Row],[Body Mass Index]]&lt;30,"Overweight",
"Obese"))),"")</f>
        <v>Overweight</v>
      </c>
      <c r="Z646" s="53" t="str">
        <f>IFERROR(
IF(tbl_abs[[#This Row],[Absenteeism time in hours]]&lt;=2,"0–2",
IF(tbl_abs[[#This Row],[Absenteeism time in hours]]&lt;=8,"3–8",
IF(tbl_abs[[#This Row],[Absenteeism time in hours]]&lt;=16,"9–16",
"17+"))),"")</f>
        <v>3–8</v>
      </c>
    </row>
    <row r="647" spans="1:26" ht="15" customHeight="1" x14ac:dyDescent="0.3">
      <c r="A647">
        <v>34</v>
      </c>
      <c r="B647">
        <v>11</v>
      </c>
      <c r="C647" s="1">
        <v>11</v>
      </c>
      <c r="D647">
        <v>2</v>
      </c>
      <c r="E647">
        <v>4</v>
      </c>
      <c r="F647">
        <v>118</v>
      </c>
      <c r="G647" s="1">
        <v>10</v>
      </c>
      <c r="H647">
        <v>10</v>
      </c>
      <c r="I647" s="1">
        <v>37</v>
      </c>
      <c r="J647" s="2">
        <v>284031</v>
      </c>
      <c r="K647">
        <v>97</v>
      </c>
      <c r="L647">
        <v>0</v>
      </c>
      <c r="M647">
        <v>1</v>
      </c>
      <c r="N647">
        <v>0</v>
      </c>
      <c r="O647">
        <v>0</v>
      </c>
      <c r="P647">
        <v>0</v>
      </c>
      <c r="Q647">
        <v>0</v>
      </c>
      <c r="R647">
        <v>83</v>
      </c>
      <c r="S647">
        <v>172</v>
      </c>
      <c r="T647">
        <v>28</v>
      </c>
      <c r="U647">
        <v>8</v>
      </c>
      <c r="V647" s="53" t="str">
        <f>IFERROR(
IF(tbl_abs[[#This Row],[Month of absence]]=0,"Unknown",
CHOOSE(tbl_abs[[#This Row],[Month of absence]],
"Jan","Feb","Mar","Apr","May","Jun","Jul","Aug","Sep","Oct","Nov","Dec")),"")</f>
        <v>Nov</v>
      </c>
      <c r="W647" s="53" t="str">
        <f>IFERROR(
IF(tbl_abs[[#This Row],[Age]]&lt;30,"&lt;30",
IF(tbl_abs[[#This Row],[Age]]&lt;40,"30–39",
IF(tbl_abs[[#This Row],[Age]]&lt;50,"40–49",
IF(tbl_abs[[#This Row],[Age]]&lt;60,"50–59",
"60+")))),"")</f>
        <v>30–39</v>
      </c>
      <c r="X647" s="53" t="str">
        <f>IFERROR(
IF(tbl_abs[[#This Row],[Distance from Residence to Work]]&lt;=5,"0–5",
IF(tbl_abs[[#This Row],[Distance from Residence to Work]]&lt;=10,"6–10",
IF(tbl_abs[[#This Row],[Distance from Residence to Work]]&lt;=20,"11–20",
"21+"))),"")</f>
        <v>6–10</v>
      </c>
      <c r="Y647" s="53" t="str">
        <f>IFERROR(
IF(tbl_abs[[#This Row],[Body Mass Index]]&lt;18.5,"Underweight",
IF(tbl_abs[[#This Row],[Body Mass Index]]&lt;25,"Normal",
IF(tbl_abs[[#This Row],[Body Mass Index]]&lt;30,"Overweight",
"Obese"))),"")</f>
        <v>Overweight</v>
      </c>
      <c r="Z647" s="53" t="str">
        <f>IFERROR(
IF(tbl_abs[[#This Row],[Absenteeism time in hours]]&lt;=2,"0–2",
IF(tbl_abs[[#This Row],[Absenteeism time in hours]]&lt;=8,"3–8",
IF(tbl_abs[[#This Row],[Absenteeism time in hours]]&lt;=16,"9–16",
"17+"))),"")</f>
        <v>3–8</v>
      </c>
    </row>
    <row r="648" spans="1:26" ht="15" customHeight="1" x14ac:dyDescent="0.3">
      <c r="A648">
        <v>33</v>
      </c>
      <c r="B648">
        <v>23</v>
      </c>
      <c r="C648" s="1">
        <v>11</v>
      </c>
      <c r="D648">
        <v>2</v>
      </c>
      <c r="E648">
        <v>4</v>
      </c>
      <c r="F648">
        <v>248</v>
      </c>
      <c r="G648" s="1">
        <v>25</v>
      </c>
      <c r="H648">
        <v>14</v>
      </c>
      <c r="I648" s="1">
        <v>47</v>
      </c>
      <c r="J648" s="2">
        <v>284031</v>
      </c>
      <c r="K648">
        <v>97</v>
      </c>
      <c r="L648">
        <v>0</v>
      </c>
      <c r="M648">
        <v>1</v>
      </c>
      <c r="N648">
        <v>2</v>
      </c>
      <c r="O648">
        <v>0</v>
      </c>
      <c r="P648">
        <v>0</v>
      </c>
      <c r="Q648">
        <v>1</v>
      </c>
      <c r="R648">
        <v>86</v>
      </c>
      <c r="S648">
        <v>165</v>
      </c>
      <c r="T648">
        <v>32</v>
      </c>
      <c r="U648">
        <v>2</v>
      </c>
      <c r="V648" s="53" t="str">
        <f>IFERROR(
IF(tbl_abs[[#This Row],[Month of absence]]=0,"Unknown",
CHOOSE(tbl_abs[[#This Row],[Month of absence]],
"Jan","Feb","Mar","Apr","May","Jun","Jul","Aug","Sep","Oct","Nov","Dec")),"")</f>
        <v>Nov</v>
      </c>
      <c r="W648" s="53" t="str">
        <f>IFERROR(
IF(tbl_abs[[#This Row],[Age]]&lt;30,"&lt;30",
IF(tbl_abs[[#This Row],[Age]]&lt;40,"30–39",
IF(tbl_abs[[#This Row],[Age]]&lt;50,"40–49",
IF(tbl_abs[[#This Row],[Age]]&lt;60,"50–59",
"60+")))),"")</f>
        <v>40–49</v>
      </c>
      <c r="X648" s="53" t="str">
        <f>IFERROR(
IF(tbl_abs[[#This Row],[Distance from Residence to Work]]&lt;=5,"0–5",
IF(tbl_abs[[#This Row],[Distance from Residence to Work]]&lt;=10,"6–10",
IF(tbl_abs[[#This Row],[Distance from Residence to Work]]&lt;=20,"11–20",
"21+"))),"")</f>
        <v>21+</v>
      </c>
      <c r="Y648" s="53" t="str">
        <f>IFERROR(
IF(tbl_abs[[#This Row],[Body Mass Index]]&lt;18.5,"Underweight",
IF(tbl_abs[[#This Row],[Body Mass Index]]&lt;25,"Normal",
IF(tbl_abs[[#This Row],[Body Mass Index]]&lt;30,"Overweight",
"Obese"))),"")</f>
        <v>Obese</v>
      </c>
      <c r="Z648" s="53" t="str">
        <f>IFERROR(
IF(tbl_abs[[#This Row],[Absenteeism time in hours]]&lt;=2,"0–2",
IF(tbl_abs[[#This Row],[Absenteeism time in hours]]&lt;=8,"3–8",
IF(tbl_abs[[#This Row],[Absenteeism time in hours]]&lt;=16,"9–16",
"17+"))),"")</f>
        <v>0–2</v>
      </c>
    </row>
    <row r="649" spans="1:26" ht="15" customHeight="1" x14ac:dyDescent="0.3">
      <c r="A649">
        <v>3</v>
      </c>
      <c r="B649">
        <v>6</v>
      </c>
      <c r="C649" s="1">
        <v>11</v>
      </c>
      <c r="D649">
        <v>3</v>
      </c>
      <c r="E649">
        <v>4</v>
      </c>
      <c r="F649">
        <v>179</v>
      </c>
      <c r="G649" s="1">
        <v>51</v>
      </c>
      <c r="H649">
        <v>18</v>
      </c>
      <c r="I649" s="1">
        <v>38</v>
      </c>
      <c r="J649" s="2">
        <v>284031</v>
      </c>
      <c r="K649">
        <v>97</v>
      </c>
      <c r="L649">
        <v>0</v>
      </c>
      <c r="M649">
        <v>1</v>
      </c>
      <c r="N649">
        <v>0</v>
      </c>
      <c r="O649">
        <v>1</v>
      </c>
      <c r="P649">
        <v>0</v>
      </c>
      <c r="Q649">
        <v>0</v>
      </c>
      <c r="R649">
        <v>89</v>
      </c>
      <c r="S649">
        <v>170</v>
      </c>
      <c r="T649">
        <v>31</v>
      </c>
      <c r="U649">
        <v>8</v>
      </c>
      <c r="V649" s="53" t="str">
        <f>IFERROR(
IF(tbl_abs[[#This Row],[Month of absence]]=0,"Unknown",
CHOOSE(tbl_abs[[#This Row],[Month of absence]],
"Jan","Feb","Mar","Apr","May","Jun","Jul","Aug","Sep","Oct","Nov","Dec")),"")</f>
        <v>Nov</v>
      </c>
      <c r="W649" s="53" t="str">
        <f>IFERROR(
IF(tbl_abs[[#This Row],[Age]]&lt;30,"&lt;30",
IF(tbl_abs[[#This Row],[Age]]&lt;40,"30–39",
IF(tbl_abs[[#This Row],[Age]]&lt;50,"40–49",
IF(tbl_abs[[#This Row],[Age]]&lt;60,"50–59",
"60+")))),"")</f>
        <v>30–39</v>
      </c>
      <c r="X649" s="53" t="str">
        <f>IFERROR(
IF(tbl_abs[[#This Row],[Distance from Residence to Work]]&lt;=5,"0–5",
IF(tbl_abs[[#This Row],[Distance from Residence to Work]]&lt;=10,"6–10",
IF(tbl_abs[[#This Row],[Distance from Residence to Work]]&lt;=20,"11–20",
"21+"))),"")</f>
        <v>21+</v>
      </c>
      <c r="Y649" s="53" t="str">
        <f>IFERROR(
IF(tbl_abs[[#This Row],[Body Mass Index]]&lt;18.5,"Underweight",
IF(tbl_abs[[#This Row],[Body Mass Index]]&lt;25,"Normal",
IF(tbl_abs[[#This Row],[Body Mass Index]]&lt;30,"Overweight",
"Obese"))),"")</f>
        <v>Obese</v>
      </c>
      <c r="Z649" s="53" t="str">
        <f>IFERROR(
IF(tbl_abs[[#This Row],[Absenteeism time in hours]]&lt;=2,"0–2",
IF(tbl_abs[[#This Row],[Absenteeism time in hours]]&lt;=8,"3–8",
IF(tbl_abs[[#This Row],[Absenteeism time in hours]]&lt;=16,"9–16",
"17+"))),"")</f>
        <v>3–8</v>
      </c>
    </row>
    <row r="650" spans="1:26" ht="15" customHeight="1" x14ac:dyDescent="0.3">
      <c r="A650">
        <v>20</v>
      </c>
      <c r="B650">
        <v>28</v>
      </c>
      <c r="C650" s="1">
        <v>11</v>
      </c>
      <c r="D650">
        <v>6</v>
      </c>
      <c r="E650">
        <v>4</v>
      </c>
      <c r="F650">
        <v>260</v>
      </c>
      <c r="G650" s="1">
        <v>50</v>
      </c>
      <c r="H650">
        <v>11</v>
      </c>
      <c r="I650" s="1">
        <v>36</v>
      </c>
      <c r="J650" s="2">
        <v>284031</v>
      </c>
      <c r="K650">
        <v>97</v>
      </c>
      <c r="L650">
        <v>0</v>
      </c>
      <c r="M650">
        <v>1</v>
      </c>
      <c r="N650">
        <v>4</v>
      </c>
      <c r="O650">
        <v>1</v>
      </c>
      <c r="P650">
        <v>0</v>
      </c>
      <c r="Q650">
        <v>0</v>
      </c>
      <c r="R650">
        <v>65</v>
      </c>
      <c r="S650">
        <v>168</v>
      </c>
      <c r="T650">
        <v>23</v>
      </c>
      <c r="U650">
        <v>3</v>
      </c>
      <c r="V650" s="53" t="str">
        <f>IFERROR(
IF(tbl_abs[[#This Row],[Month of absence]]=0,"Unknown",
CHOOSE(tbl_abs[[#This Row],[Month of absence]],
"Jan","Feb","Mar","Apr","May","Jun","Jul","Aug","Sep","Oct","Nov","Dec")),"")</f>
        <v>Nov</v>
      </c>
      <c r="W650" s="53" t="str">
        <f>IFERROR(
IF(tbl_abs[[#This Row],[Age]]&lt;30,"&lt;30",
IF(tbl_abs[[#This Row],[Age]]&lt;40,"30–39",
IF(tbl_abs[[#This Row],[Age]]&lt;50,"40–49",
IF(tbl_abs[[#This Row],[Age]]&lt;60,"50–59",
"60+")))),"")</f>
        <v>30–39</v>
      </c>
      <c r="X650" s="53" t="str">
        <f>IFERROR(
IF(tbl_abs[[#This Row],[Distance from Residence to Work]]&lt;=5,"0–5",
IF(tbl_abs[[#This Row],[Distance from Residence to Work]]&lt;=10,"6–10",
IF(tbl_abs[[#This Row],[Distance from Residence to Work]]&lt;=20,"11–20",
"21+"))),"")</f>
        <v>21+</v>
      </c>
      <c r="Y650" s="53" t="str">
        <f>IFERROR(
IF(tbl_abs[[#This Row],[Body Mass Index]]&lt;18.5,"Underweight",
IF(tbl_abs[[#This Row],[Body Mass Index]]&lt;25,"Normal",
IF(tbl_abs[[#This Row],[Body Mass Index]]&lt;30,"Overweight",
"Obese"))),"")</f>
        <v>Normal</v>
      </c>
      <c r="Z650" s="53" t="str">
        <f>IFERROR(
IF(tbl_abs[[#This Row],[Absenteeism time in hours]]&lt;=2,"0–2",
IF(tbl_abs[[#This Row],[Absenteeism time in hours]]&lt;=8,"3–8",
IF(tbl_abs[[#This Row],[Absenteeism time in hours]]&lt;=16,"9–16",
"17+"))),"")</f>
        <v>3–8</v>
      </c>
    </row>
    <row r="651" spans="1:26" ht="15" customHeight="1" x14ac:dyDescent="0.3">
      <c r="A651">
        <v>15</v>
      </c>
      <c r="B651">
        <v>23</v>
      </c>
      <c r="C651" s="1">
        <v>11</v>
      </c>
      <c r="D651">
        <v>2</v>
      </c>
      <c r="E651">
        <v>4</v>
      </c>
      <c r="F651">
        <v>291</v>
      </c>
      <c r="G651" s="1">
        <v>31</v>
      </c>
      <c r="H651">
        <v>12</v>
      </c>
      <c r="I651" s="1">
        <v>40</v>
      </c>
      <c r="J651" s="2">
        <v>284031</v>
      </c>
      <c r="K651">
        <v>97</v>
      </c>
      <c r="L651">
        <v>0</v>
      </c>
      <c r="M651">
        <v>1</v>
      </c>
      <c r="N651">
        <v>1</v>
      </c>
      <c r="O651">
        <v>1</v>
      </c>
      <c r="P651">
        <v>0</v>
      </c>
      <c r="Q651">
        <v>1</v>
      </c>
      <c r="R651">
        <v>73</v>
      </c>
      <c r="S651">
        <v>171</v>
      </c>
      <c r="T651">
        <v>25</v>
      </c>
      <c r="U651">
        <v>1</v>
      </c>
      <c r="V651" s="53" t="str">
        <f>IFERROR(
IF(tbl_abs[[#This Row],[Month of absence]]=0,"Unknown",
CHOOSE(tbl_abs[[#This Row],[Month of absence]],
"Jan","Feb","Mar","Apr","May","Jun","Jul","Aug","Sep","Oct","Nov","Dec")),"")</f>
        <v>Nov</v>
      </c>
      <c r="W651" s="53" t="str">
        <f>IFERROR(
IF(tbl_abs[[#This Row],[Age]]&lt;30,"&lt;30",
IF(tbl_abs[[#This Row],[Age]]&lt;40,"30–39",
IF(tbl_abs[[#This Row],[Age]]&lt;50,"40–49",
IF(tbl_abs[[#This Row],[Age]]&lt;60,"50–59",
"60+")))),"")</f>
        <v>40–49</v>
      </c>
      <c r="X651" s="53" t="str">
        <f>IFERROR(
IF(tbl_abs[[#This Row],[Distance from Residence to Work]]&lt;=5,"0–5",
IF(tbl_abs[[#This Row],[Distance from Residence to Work]]&lt;=10,"6–10",
IF(tbl_abs[[#This Row],[Distance from Residence to Work]]&lt;=20,"11–20",
"21+"))),"")</f>
        <v>21+</v>
      </c>
      <c r="Y651" s="53" t="str">
        <f>IFERROR(
IF(tbl_abs[[#This Row],[Body Mass Index]]&lt;18.5,"Underweight",
IF(tbl_abs[[#This Row],[Body Mass Index]]&lt;25,"Normal",
IF(tbl_abs[[#This Row],[Body Mass Index]]&lt;30,"Overweight",
"Obese"))),"")</f>
        <v>Overweight</v>
      </c>
      <c r="Z651" s="53" t="str">
        <f>IFERROR(
IF(tbl_abs[[#This Row],[Absenteeism time in hours]]&lt;=2,"0–2",
IF(tbl_abs[[#This Row],[Absenteeism time in hours]]&lt;=8,"3–8",
IF(tbl_abs[[#This Row],[Absenteeism time in hours]]&lt;=16,"9–16",
"17+"))),"")</f>
        <v>0–2</v>
      </c>
    </row>
    <row r="652" spans="1:26" ht="15" customHeight="1" x14ac:dyDescent="0.3">
      <c r="A652">
        <v>23</v>
      </c>
      <c r="B652">
        <v>1</v>
      </c>
      <c r="C652" s="1">
        <v>11</v>
      </c>
      <c r="D652">
        <v>2</v>
      </c>
      <c r="E652">
        <v>4</v>
      </c>
      <c r="F652">
        <v>378</v>
      </c>
      <c r="G652" s="1">
        <v>49</v>
      </c>
      <c r="H652">
        <v>11</v>
      </c>
      <c r="I652" s="1">
        <v>36</v>
      </c>
      <c r="J652" s="2">
        <v>284031</v>
      </c>
      <c r="K652">
        <v>97</v>
      </c>
      <c r="L652">
        <v>0</v>
      </c>
      <c r="M652">
        <v>1</v>
      </c>
      <c r="N652">
        <v>2</v>
      </c>
      <c r="O652">
        <v>0</v>
      </c>
      <c r="P652">
        <v>1</v>
      </c>
      <c r="Q652">
        <v>4</v>
      </c>
      <c r="R652">
        <v>65</v>
      </c>
      <c r="S652">
        <v>174</v>
      </c>
      <c r="T652">
        <v>21</v>
      </c>
      <c r="U652">
        <v>8</v>
      </c>
      <c r="V652" s="53" t="str">
        <f>IFERROR(
IF(tbl_abs[[#This Row],[Month of absence]]=0,"Unknown",
CHOOSE(tbl_abs[[#This Row],[Month of absence]],
"Jan","Feb","Mar","Apr","May","Jun","Jul","Aug","Sep","Oct","Nov","Dec")),"")</f>
        <v>Nov</v>
      </c>
      <c r="W652" s="53" t="str">
        <f>IFERROR(
IF(tbl_abs[[#This Row],[Age]]&lt;30,"&lt;30",
IF(tbl_abs[[#This Row],[Age]]&lt;40,"30–39",
IF(tbl_abs[[#This Row],[Age]]&lt;50,"40–49",
IF(tbl_abs[[#This Row],[Age]]&lt;60,"50–59",
"60+")))),"")</f>
        <v>30–39</v>
      </c>
      <c r="X652" s="53" t="str">
        <f>IFERROR(
IF(tbl_abs[[#This Row],[Distance from Residence to Work]]&lt;=5,"0–5",
IF(tbl_abs[[#This Row],[Distance from Residence to Work]]&lt;=10,"6–10",
IF(tbl_abs[[#This Row],[Distance from Residence to Work]]&lt;=20,"11–20",
"21+"))),"")</f>
        <v>21+</v>
      </c>
      <c r="Y652" s="53" t="str">
        <f>IFERROR(
IF(tbl_abs[[#This Row],[Body Mass Index]]&lt;18.5,"Underweight",
IF(tbl_abs[[#This Row],[Body Mass Index]]&lt;25,"Normal",
IF(tbl_abs[[#This Row],[Body Mass Index]]&lt;30,"Overweight",
"Obese"))),"")</f>
        <v>Normal</v>
      </c>
      <c r="Z652" s="53" t="str">
        <f>IFERROR(
IF(tbl_abs[[#This Row],[Absenteeism time in hours]]&lt;=2,"0–2",
IF(tbl_abs[[#This Row],[Absenteeism time in hours]]&lt;=8,"3–8",
IF(tbl_abs[[#This Row],[Absenteeism time in hours]]&lt;=16,"9–16",
"17+"))),"")</f>
        <v>3–8</v>
      </c>
    </row>
    <row r="653" spans="1:26" ht="15" customHeight="1" x14ac:dyDescent="0.3">
      <c r="A653">
        <v>14</v>
      </c>
      <c r="B653">
        <v>11</v>
      </c>
      <c r="C653" s="1">
        <v>11</v>
      </c>
      <c r="D653">
        <v>2</v>
      </c>
      <c r="E653">
        <v>4</v>
      </c>
      <c r="F653">
        <v>155</v>
      </c>
      <c r="G653" s="1">
        <v>12</v>
      </c>
      <c r="H653">
        <v>14</v>
      </c>
      <c r="I653" s="1">
        <v>34</v>
      </c>
      <c r="J653" s="2">
        <v>284031</v>
      </c>
      <c r="K653">
        <v>97</v>
      </c>
      <c r="L653">
        <v>0</v>
      </c>
      <c r="M653">
        <v>1</v>
      </c>
      <c r="N653">
        <v>2</v>
      </c>
      <c r="O653">
        <v>1</v>
      </c>
      <c r="P653">
        <v>0</v>
      </c>
      <c r="Q653">
        <v>0</v>
      </c>
      <c r="R653">
        <v>95</v>
      </c>
      <c r="S653">
        <v>196</v>
      </c>
      <c r="T653">
        <v>25</v>
      </c>
      <c r="V653" s="53" t="str">
        <f>IFERROR(
IF(tbl_abs[[#This Row],[Month of absence]]=0,"Unknown",
CHOOSE(tbl_abs[[#This Row],[Month of absence]],
"Jan","Feb","Mar","Apr","May","Jun","Jul","Aug","Sep","Oct","Nov","Dec")),"")</f>
        <v>Nov</v>
      </c>
      <c r="W653" s="53" t="str">
        <f>IFERROR(
IF(tbl_abs[[#This Row],[Age]]&lt;30,"&lt;30",
IF(tbl_abs[[#This Row],[Age]]&lt;40,"30–39",
IF(tbl_abs[[#This Row],[Age]]&lt;50,"40–49",
IF(tbl_abs[[#This Row],[Age]]&lt;60,"50–59",
"60+")))),"")</f>
        <v>30–39</v>
      </c>
      <c r="X653" s="53" t="str">
        <f>IFERROR(
IF(tbl_abs[[#This Row],[Distance from Residence to Work]]&lt;=5,"0–5",
IF(tbl_abs[[#This Row],[Distance from Residence to Work]]&lt;=10,"6–10",
IF(tbl_abs[[#This Row],[Distance from Residence to Work]]&lt;=20,"11–20",
"21+"))),"")</f>
        <v>11–20</v>
      </c>
      <c r="Y653" s="53" t="str">
        <f>IFERROR(
IF(tbl_abs[[#This Row],[Body Mass Index]]&lt;18.5,"Underweight",
IF(tbl_abs[[#This Row],[Body Mass Index]]&lt;25,"Normal",
IF(tbl_abs[[#This Row],[Body Mass Index]]&lt;30,"Overweight",
"Obese"))),"")</f>
        <v>Overweight</v>
      </c>
      <c r="Z653" s="53" t="str">
        <f>IFERROR(
IF(tbl_abs[[#This Row],[Absenteeism time in hours]]&lt;=2,"0–2",
IF(tbl_abs[[#This Row],[Absenteeism time in hours]]&lt;=8,"3–8",
IF(tbl_abs[[#This Row],[Absenteeism time in hours]]&lt;=16,"9–16",
"17+"))),"")</f>
        <v>0–2</v>
      </c>
    </row>
    <row r="654" spans="1:26" ht="15" customHeight="1" x14ac:dyDescent="0.3">
      <c r="A654">
        <v>5</v>
      </c>
      <c r="B654">
        <v>26</v>
      </c>
      <c r="C654" s="1">
        <v>11</v>
      </c>
      <c r="D654">
        <v>2</v>
      </c>
      <c r="E654">
        <v>4</v>
      </c>
      <c r="F654">
        <v>235</v>
      </c>
      <c r="G654" s="1">
        <v>20</v>
      </c>
      <c r="H654">
        <v>13</v>
      </c>
      <c r="I654" s="1">
        <v>43</v>
      </c>
      <c r="J654" s="2">
        <v>284031</v>
      </c>
      <c r="K654">
        <v>97</v>
      </c>
      <c r="L654">
        <v>0</v>
      </c>
      <c r="M654">
        <v>1</v>
      </c>
      <c r="N654">
        <v>1</v>
      </c>
      <c r="O654">
        <v>1</v>
      </c>
      <c r="P654">
        <v>0</v>
      </c>
      <c r="Q654">
        <v>0</v>
      </c>
      <c r="R654">
        <v>106</v>
      </c>
      <c r="S654">
        <v>167</v>
      </c>
      <c r="T654">
        <v>38</v>
      </c>
      <c r="U654">
        <v>8</v>
      </c>
      <c r="V654" s="53" t="str">
        <f>IFERROR(
IF(tbl_abs[[#This Row],[Month of absence]]=0,"Unknown",
CHOOSE(tbl_abs[[#This Row],[Month of absence]],
"Jan","Feb","Mar","Apr","May","Jun","Jul","Aug","Sep","Oct","Nov","Dec")),"")</f>
        <v>Nov</v>
      </c>
      <c r="W654" s="53" t="str">
        <f>IFERROR(
IF(tbl_abs[[#This Row],[Age]]&lt;30,"&lt;30",
IF(tbl_abs[[#This Row],[Age]]&lt;40,"30–39",
IF(tbl_abs[[#This Row],[Age]]&lt;50,"40–49",
IF(tbl_abs[[#This Row],[Age]]&lt;60,"50–59",
"60+")))),"")</f>
        <v>40–49</v>
      </c>
      <c r="X654" s="53" t="str">
        <f>IFERROR(
IF(tbl_abs[[#This Row],[Distance from Residence to Work]]&lt;=5,"0–5",
IF(tbl_abs[[#This Row],[Distance from Residence to Work]]&lt;=10,"6–10",
IF(tbl_abs[[#This Row],[Distance from Residence to Work]]&lt;=20,"11–20",
"21+"))),"")</f>
        <v>11–20</v>
      </c>
      <c r="Y654" s="53" t="str">
        <f>IFERROR(
IF(tbl_abs[[#This Row],[Body Mass Index]]&lt;18.5,"Underweight",
IF(tbl_abs[[#This Row],[Body Mass Index]]&lt;25,"Normal",
IF(tbl_abs[[#This Row],[Body Mass Index]]&lt;30,"Overweight",
"Obese"))),"")</f>
        <v>Obese</v>
      </c>
      <c r="Z654" s="53" t="str">
        <f>IFERROR(
IF(tbl_abs[[#This Row],[Absenteeism time in hours]]&lt;=2,"0–2",
IF(tbl_abs[[#This Row],[Absenteeism time in hours]]&lt;=8,"3–8",
IF(tbl_abs[[#This Row],[Absenteeism time in hours]]&lt;=16,"9–16",
"17+"))),"")</f>
        <v>3–8</v>
      </c>
    </row>
    <row r="655" spans="1:26" ht="15" customHeight="1" x14ac:dyDescent="0.3">
      <c r="A655">
        <v>18</v>
      </c>
      <c r="B655">
        <v>0</v>
      </c>
      <c r="C655" s="1">
        <v>11</v>
      </c>
      <c r="D655">
        <v>3</v>
      </c>
      <c r="E655">
        <v>4</v>
      </c>
      <c r="F655">
        <v>330</v>
      </c>
      <c r="G655" s="1">
        <v>16</v>
      </c>
      <c r="H655">
        <v>4</v>
      </c>
      <c r="I655" s="1">
        <v>28</v>
      </c>
      <c r="J655" s="2">
        <v>284031</v>
      </c>
      <c r="K655">
        <v>97</v>
      </c>
      <c r="L655">
        <v>1</v>
      </c>
      <c r="M655">
        <v>2</v>
      </c>
      <c r="N655">
        <v>0</v>
      </c>
      <c r="O655">
        <v>0</v>
      </c>
      <c r="P655">
        <v>0</v>
      </c>
      <c r="Q655">
        <v>0</v>
      </c>
      <c r="R655">
        <v>84</v>
      </c>
      <c r="S655">
        <v>182</v>
      </c>
      <c r="T655">
        <v>25</v>
      </c>
      <c r="U655">
        <v>0</v>
      </c>
      <c r="V655" s="53" t="str">
        <f>IFERROR(
IF(tbl_abs[[#This Row],[Month of absence]]=0,"Unknown",
CHOOSE(tbl_abs[[#This Row],[Month of absence]],
"Jan","Feb","Mar","Apr","May","Jun","Jul","Aug","Sep","Oct","Nov","Dec")),"")</f>
        <v>Nov</v>
      </c>
      <c r="W655" s="53" t="str">
        <f>IFERROR(
IF(tbl_abs[[#This Row],[Age]]&lt;30,"&lt;30",
IF(tbl_abs[[#This Row],[Age]]&lt;40,"30–39",
IF(tbl_abs[[#This Row],[Age]]&lt;50,"40–49",
IF(tbl_abs[[#This Row],[Age]]&lt;60,"50–59",
"60+")))),"")</f>
        <v>&lt;30</v>
      </c>
      <c r="X655" s="53" t="str">
        <f>IFERROR(
IF(tbl_abs[[#This Row],[Distance from Residence to Work]]&lt;=5,"0–5",
IF(tbl_abs[[#This Row],[Distance from Residence to Work]]&lt;=10,"6–10",
IF(tbl_abs[[#This Row],[Distance from Residence to Work]]&lt;=20,"11–20",
"21+"))),"")</f>
        <v>11–20</v>
      </c>
      <c r="Y655" s="53" t="str">
        <f>IFERROR(
IF(tbl_abs[[#This Row],[Body Mass Index]]&lt;18.5,"Underweight",
IF(tbl_abs[[#This Row],[Body Mass Index]]&lt;25,"Normal",
IF(tbl_abs[[#This Row],[Body Mass Index]]&lt;30,"Overweight",
"Obese"))),"")</f>
        <v>Overweight</v>
      </c>
      <c r="Z655" s="53" t="str">
        <f>IFERROR(
IF(tbl_abs[[#This Row],[Absenteeism time in hours]]&lt;=2,"0–2",
IF(tbl_abs[[#This Row],[Absenteeism time in hours]]&lt;=8,"3–8",
IF(tbl_abs[[#This Row],[Absenteeism time in hours]]&lt;=16,"9–16",
"17+"))),"")</f>
        <v>0–2</v>
      </c>
    </row>
    <row r="656" spans="1:26" ht="15" customHeight="1" x14ac:dyDescent="0.3">
      <c r="A656">
        <v>1</v>
      </c>
      <c r="B656">
        <v>18</v>
      </c>
      <c r="C656" s="1">
        <v>11</v>
      </c>
      <c r="D656">
        <v>4</v>
      </c>
      <c r="E656">
        <v>4</v>
      </c>
      <c r="F656">
        <v>235</v>
      </c>
      <c r="G656" s="1">
        <v>11</v>
      </c>
      <c r="H656">
        <v>14</v>
      </c>
      <c r="I656" s="1">
        <v>37</v>
      </c>
      <c r="J656" s="2">
        <v>284031</v>
      </c>
      <c r="K656">
        <v>97</v>
      </c>
      <c r="L656">
        <v>0</v>
      </c>
      <c r="M656">
        <v>3</v>
      </c>
      <c r="N656">
        <v>1</v>
      </c>
      <c r="O656">
        <v>0</v>
      </c>
      <c r="P656">
        <v>0</v>
      </c>
      <c r="Q656">
        <v>1</v>
      </c>
      <c r="R656">
        <v>88</v>
      </c>
      <c r="S656">
        <v>172</v>
      </c>
      <c r="T656">
        <v>29</v>
      </c>
      <c r="U656">
        <v>1</v>
      </c>
      <c r="V656" s="53" t="str">
        <f>IFERROR(
IF(tbl_abs[[#This Row],[Month of absence]]=0,"Unknown",
CHOOSE(tbl_abs[[#This Row],[Month of absence]],
"Jan","Feb","Mar","Apr","May","Jun","Jul","Aug","Sep","Oct","Nov","Dec")),"")</f>
        <v>Nov</v>
      </c>
      <c r="W656" s="53" t="str">
        <f>IFERROR(
IF(tbl_abs[[#This Row],[Age]]&lt;30,"&lt;30",
IF(tbl_abs[[#This Row],[Age]]&lt;40,"30–39",
IF(tbl_abs[[#This Row],[Age]]&lt;50,"40–49",
IF(tbl_abs[[#This Row],[Age]]&lt;60,"50–59",
"60+")))),"")</f>
        <v>30–39</v>
      </c>
      <c r="X656" s="53" t="str">
        <f>IFERROR(
IF(tbl_abs[[#This Row],[Distance from Residence to Work]]&lt;=5,"0–5",
IF(tbl_abs[[#This Row],[Distance from Residence to Work]]&lt;=10,"6–10",
IF(tbl_abs[[#This Row],[Distance from Residence to Work]]&lt;=20,"11–20",
"21+"))),"")</f>
        <v>11–20</v>
      </c>
      <c r="Y656" s="53" t="str">
        <f>IFERROR(
IF(tbl_abs[[#This Row],[Body Mass Index]]&lt;18.5,"Underweight",
IF(tbl_abs[[#This Row],[Body Mass Index]]&lt;25,"Normal",
IF(tbl_abs[[#This Row],[Body Mass Index]]&lt;30,"Overweight",
"Obese"))),"")</f>
        <v>Overweight</v>
      </c>
      <c r="Z656" s="53" t="str">
        <f>IFERROR(
IF(tbl_abs[[#This Row],[Absenteeism time in hours]]&lt;=2,"0–2",
IF(tbl_abs[[#This Row],[Absenteeism time in hours]]&lt;=8,"3–8",
IF(tbl_abs[[#This Row],[Absenteeism time in hours]]&lt;=16,"9–16",
"17+"))),"")</f>
        <v>0–2</v>
      </c>
    </row>
    <row r="657" spans="1:26" ht="15" customHeight="1" x14ac:dyDescent="0.3">
      <c r="A657">
        <v>34</v>
      </c>
      <c r="B657">
        <v>11</v>
      </c>
      <c r="C657" s="1">
        <v>11</v>
      </c>
      <c r="D657">
        <v>4</v>
      </c>
      <c r="E657">
        <v>4</v>
      </c>
      <c r="F657">
        <v>118</v>
      </c>
      <c r="G657" s="1">
        <v>10</v>
      </c>
      <c r="H657">
        <v>10</v>
      </c>
      <c r="I657" s="1">
        <v>37</v>
      </c>
      <c r="J657" s="2">
        <v>284031</v>
      </c>
      <c r="K657">
        <v>97</v>
      </c>
      <c r="L657">
        <v>0</v>
      </c>
      <c r="M657">
        <v>1</v>
      </c>
      <c r="N657">
        <v>0</v>
      </c>
      <c r="O657">
        <v>0</v>
      </c>
      <c r="P657">
        <v>0</v>
      </c>
      <c r="Q657">
        <v>0</v>
      </c>
      <c r="R657">
        <v>83</v>
      </c>
      <c r="S657">
        <v>172</v>
      </c>
      <c r="T657">
        <v>28</v>
      </c>
      <c r="U657">
        <v>3</v>
      </c>
      <c r="V657" s="53" t="str">
        <f>IFERROR(
IF(tbl_abs[[#This Row],[Month of absence]]=0,"Unknown",
CHOOSE(tbl_abs[[#This Row],[Month of absence]],
"Jan","Feb","Mar","Apr","May","Jun","Jul","Aug","Sep","Oct","Nov","Dec")),"")</f>
        <v>Nov</v>
      </c>
      <c r="W657" s="53" t="str">
        <f>IFERROR(
IF(tbl_abs[[#This Row],[Age]]&lt;30,"&lt;30",
IF(tbl_abs[[#This Row],[Age]]&lt;40,"30–39",
IF(tbl_abs[[#This Row],[Age]]&lt;50,"40–49",
IF(tbl_abs[[#This Row],[Age]]&lt;60,"50–59",
"60+")))),"")</f>
        <v>30–39</v>
      </c>
      <c r="X657" s="53" t="str">
        <f>IFERROR(
IF(tbl_abs[[#This Row],[Distance from Residence to Work]]&lt;=5,"0–5",
IF(tbl_abs[[#This Row],[Distance from Residence to Work]]&lt;=10,"6–10",
IF(tbl_abs[[#This Row],[Distance from Residence to Work]]&lt;=20,"11–20",
"21+"))),"")</f>
        <v>6–10</v>
      </c>
      <c r="Y657" s="53" t="str">
        <f>IFERROR(
IF(tbl_abs[[#This Row],[Body Mass Index]]&lt;18.5,"Underweight",
IF(tbl_abs[[#This Row],[Body Mass Index]]&lt;25,"Normal",
IF(tbl_abs[[#This Row],[Body Mass Index]]&lt;30,"Overweight",
"Obese"))),"")</f>
        <v>Overweight</v>
      </c>
      <c r="Z657" s="53" t="str">
        <f>IFERROR(
IF(tbl_abs[[#This Row],[Absenteeism time in hours]]&lt;=2,"0–2",
IF(tbl_abs[[#This Row],[Absenteeism time in hours]]&lt;=8,"3–8",
IF(tbl_abs[[#This Row],[Absenteeism time in hours]]&lt;=16,"9–16",
"17+"))),"")</f>
        <v>3–8</v>
      </c>
    </row>
    <row r="658" spans="1:26" ht="15" customHeight="1" x14ac:dyDescent="0.3">
      <c r="A658">
        <v>1</v>
      </c>
      <c r="B658">
        <v>25</v>
      </c>
      <c r="C658" s="1">
        <v>11</v>
      </c>
      <c r="D658">
        <v>5</v>
      </c>
      <c r="E658">
        <v>4</v>
      </c>
      <c r="F658">
        <v>235</v>
      </c>
      <c r="G658" s="1">
        <v>11</v>
      </c>
      <c r="H658">
        <v>14</v>
      </c>
      <c r="I658" s="1">
        <v>37</v>
      </c>
      <c r="J658" s="2">
        <v>284031</v>
      </c>
      <c r="K658">
        <v>97</v>
      </c>
      <c r="L658">
        <v>0</v>
      </c>
      <c r="M658">
        <v>3</v>
      </c>
      <c r="N658">
        <v>1</v>
      </c>
      <c r="O658">
        <v>0</v>
      </c>
      <c r="P658">
        <v>0</v>
      </c>
      <c r="Q658">
        <v>1</v>
      </c>
      <c r="R658">
        <v>88</v>
      </c>
      <c r="S658">
        <v>172</v>
      </c>
      <c r="T658">
        <v>29</v>
      </c>
      <c r="U658">
        <v>2</v>
      </c>
      <c r="V658" s="53" t="str">
        <f>IFERROR(
IF(tbl_abs[[#This Row],[Month of absence]]=0,"Unknown",
CHOOSE(tbl_abs[[#This Row],[Month of absence]],
"Jan","Feb","Mar","Apr","May","Jun","Jul","Aug","Sep","Oct","Nov","Dec")),"")</f>
        <v>Nov</v>
      </c>
      <c r="W658" s="53" t="str">
        <f>IFERROR(
IF(tbl_abs[[#This Row],[Age]]&lt;30,"&lt;30",
IF(tbl_abs[[#This Row],[Age]]&lt;40,"30–39",
IF(tbl_abs[[#This Row],[Age]]&lt;50,"40–49",
IF(tbl_abs[[#This Row],[Age]]&lt;60,"50–59",
"60+")))),"")</f>
        <v>30–39</v>
      </c>
      <c r="X658" s="53" t="str">
        <f>IFERROR(
IF(tbl_abs[[#This Row],[Distance from Residence to Work]]&lt;=5,"0–5",
IF(tbl_abs[[#This Row],[Distance from Residence to Work]]&lt;=10,"6–10",
IF(tbl_abs[[#This Row],[Distance from Residence to Work]]&lt;=20,"11–20",
"21+"))),"")</f>
        <v>11–20</v>
      </c>
      <c r="Y658" s="53" t="str">
        <f>IFERROR(
IF(tbl_abs[[#This Row],[Body Mass Index]]&lt;18.5,"Underweight",
IF(tbl_abs[[#This Row],[Body Mass Index]]&lt;25,"Normal",
IF(tbl_abs[[#This Row],[Body Mass Index]]&lt;30,"Overweight",
"Obese"))),"")</f>
        <v>Overweight</v>
      </c>
      <c r="Z658" s="53" t="str">
        <f>IFERROR(
IF(tbl_abs[[#This Row],[Absenteeism time in hours]]&lt;=2,"0–2",
IF(tbl_abs[[#This Row],[Absenteeism time in hours]]&lt;=8,"3–8",
IF(tbl_abs[[#This Row],[Absenteeism time in hours]]&lt;=16,"9–16",
"17+"))),"")</f>
        <v>0–2</v>
      </c>
    </row>
    <row r="659" spans="1:26" ht="15" customHeight="1" x14ac:dyDescent="0.3">
      <c r="A659">
        <v>3</v>
      </c>
      <c r="B659">
        <v>28</v>
      </c>
      <c r="C659" s="1">
        <v>11</v>
      </c>
      <c r="D659">
        <v>5</v>
      </c>
      <c r="E659">
        <v>4</v>
      </c>
      <c r="F659">
        <v>179</v>
      </c>
      <c r="G659" s="1">
        <v>51</v>
      </c>
      <c r="H659">
        <v>18</v>
      </c>
      <c r="I659" s="1">
        <v>38</v>
      </c>
      <c r="J659" s="2">
        <v>284031</v>
      </c>
      <c r="K659">
        <v>97</v>
      </c>
      <c r="L659">
        <v>0</v>
      </c>
      <c r="M659">
        <v>1</v>
      </c>
      <c r="N659">
        <v>0</v>
      </c>
      <c r="O659">
        <v>1</v>
      </c>
      <c r="P659">
        <v>0</v>
      </c>
      <c r="Q659">
        <v>0</v>
      </c>
      <c r="R659">
        <v>89</v>
      </c>
      <c r="S659">
        <v>170</v>
      </c>
      <c r="T659">
        <v>31</v>
      </c>
      <c r="U659">
        <v>3</v>
      </c>
      <c r="V659" s="53" t="str">
        <f>IFERROR(
IF(tbl_abs[[#This Row],[Month of absence]]=0,"Unknown",
CHOOSE(tbl_abs[[#This Row],[Month of absence]],
"Jan","Feb","Mar","Apr","May","Jun","Jul","Aug","Sep","Oct","Nov","Dec")),"")</f>
        <v>Nov</v>
      </c>
      <c r="W659" s="53" t="str">
        <f>IFERROR(
IF(tbl_abs[[#This Row],[Age]]&lt;30,"&lt;30",
IF(tbl_abs[[#This Row],[Age]]&lt;40,"30–39",
IF(tbl_abs[[#This Row],[Age]]&lt;50,"40–49",
IF(tbl_abs[[#This Row],[Age]]&lt;60,"50–59",
"60+")))),"")</f>
        <v>30–39</v>
      </c>
      <c r="X659" s="53" t="str">
        <f>IFERROR(
IF(tbl_abs[[#This Row],[Distance from Residence to Work]]&lt;=5,"0–5",
IF(tbl_abs[[#This Row],[Distance from Residence to Work]]&lt;=10,"6–10",
IF(tbl_abs[[#This Row],[Distance from Residence to Work]]&lt;=20,"11–20",
"21+"))),"")</f>
        <v>21+</v>
      </c>
      <c r="Y659" s="53" t="str">
        <f>IFERROR(
IF(tbl_abs[[#This Row],[Body Mass Index]]&lt;18.5,"Underweight",
IF(tbl_abs[[#This Row],[Body Mass Index]]&lt;25,"Normal",
IF(tbl_abs[[#This Row],[Body Mass Index]]&lt;30,"Overweight",
"Obese"))),"")</f>
        <v>Obese</v>
      </c>
      <c r="Z659" s="53" t="str">
        <f>IFERROR(
IF(tbl_abs[[#This Row],[Absenteeism time in hours]]&lt;=2,"0–2",
IF(tbl_abs[[#This Row],[Absenteeism time in hours]]&lt;=8,"3–8",
IF(tbl_abs[[#This Row],[Absenteeism time in hours]]&lt;=16,"9–16",
"17+"))),"")</f>
        <v>3–8</v>
      </c>
    </row>
    <row r="660" spans="1:26" ht="15" customHeight="1" x14ac:dyDescent="0.3">
      <c r="A660">
        <v>24</v>
      </c>
      <c r="B660">
        <v>13</v>
      </c>
      <c r="C660" s="1">
        <v>11</v>
      </c>
      <c r="D660">
        <v>6</v>
      </c>
      <c r="E660">
        <v>4</v>
      </c>
      <c r="F660">
        <v>246</v>
      </c>
      <c r="G660" s="1">
        <v>25</v>
      </c>
      <c r="H660">
        <v>16</v>
      </c>
      <c r="I660" s="1">
        <v>41</v>
      </c>
      <c r="J660" s="2">
        <v>284031</v>
      </c>
      <c r="K660">
        <v>97</v>
      </c>
      <c r="L660">
        <v>0</v>
      </c>
      <c r="M660">
        <v>1</v>
      </c>
      <c r="N660">
        <v>0</v>
      </c>
      <c r="O660">
        <v>1</v>
      </c>
      <c r="P660">
        <v>0</v>
      </c>
      <c r="Q660">
        <v>0</v>
      </c>
      <c r="R660">
        <v>67</v>
      </c>
      <c r="S660">
        <v>170</v>
      </c>
      <c r="T660">
        <v>23</v>
      </c>
      <c r="U660">
        <v>8</v>
      </c>
      <c r="V660" s="53" t="str">
        <f>IFERROR(
IF(tbl_abs[[#This Row],[Month of absence]]=0,"Unknown",
CHOOSE(tbl_abs[[#This Row],[Month of absence]],
"Jan","Feb","Mar","Apr","May","Jun","Jul","Aug","Sep","Oct","Nov","Dec")),"")</f>
        <v>Nov</v>
      </c>
      <c r="W660" s="53" t="str">
        <f>IFERROR(
IF(tbl_abs[[#This Row],[Age]]&lt;30,"&lt;30",
IF(tbl_abs[[#This Row],[Age]]&lt;40,"30–39",
IF(tbl_abs[[#This Row],[Age]]&lt;50,"40–49",
IF(tbl_abs[[#This Row],[Age]]&lt;60,"50–59",
"60+")))),"")</f>
        <v>40–49</v>
      </c>
      <c r="X660" s="53" t="str">
        <f>IFERROR(
IF(tbl_abs[[#This Row],[Distance from Residence to Work]]&lt;=5,"0–5",
IF(tbl_abs[[#This Row],[Distance from Residence to Work]]&lt;=10,"6–10",
IF(tbl_abs[[#This Row],[Distance from Residence to Work]]&lt;=20,"11–20",
"21+"))),"")</f>
        <v>21+</v>
      </c>
      <c r="Y660" s="53" t="str">
        <f>IFERROR(
IF(tbl_abs[[#This Row],[Body Mass Index]]&lt;18.5,"Underweight",
IF(tbl_abs[[#This Row],[Body Mass Index]]&lt;25,"Normal",
IF(tbl_abs[[#This Row],[Body Mass Index]]&lt;30,"Overweight",
"Obese"))),"")</f>
        <v>Normal</v>
      </c>
      <c r="Z660" s="53" t="str">
        <f>IFERROR(
IF(tbl_abs[[#This Row],[Absenteeism time in hours]]&lt;=2,"0–2",
IF(tbl_abs[[#This Row],[Absenteeism time in hours]]&lt;=8,"3–8",
IF(tbl_abs[[#This Row],[Absenteeism time in hours]]&lt;=16,"9–16",
"17+"))),"")</f>
        <v>3–8</v>
      </c>
    </row>
    <row r="661" spans="1:26" ht="15" customHeight="1" x14ac:dyDescent="0.3">
      <c r="A661">
        <v>15</v>
      </c>
      <c r="B661">
        <v>12</v>
      </c>
      <c r="C661" s="1">
        <v>11</v>
      </c>
      <c r="D661">
        <v>6</v>
      </c>
      <c r="E661">
        <v>4</v>
      </c>
      <c r="F661">
        <v>291</v>
      </c>
      <c r="G661" s="1">
        <v>31</v>
      </c>
      <c r="H661">
        <v>12</v>
      </c>
      <c r="I661" s="1">
        <v>40</v>
      </c>
      <c r="J661" s="2">
        <v>284031</v>
      </c>
      <c r="K661">
        <v>97</v>
      </c>
      <c r="L661">
        <v>0</v>
      </c>
      <c r="M661">
        <v>1</v>
      </c>
      <c r="N661">
        <v>1</v>
      </c>
      <c r="O661">
        <v>1</v>
      </c>
      <c r="P661">
        <v>0</v>
      </c>
      <c r="Q661">
        <v>1</v>
      </c>
      <c r="R661">
        <v>73</v>
      </c>
      <c r="S661">
        <v>171</v>
      </c>
      <c r="T661">
        <v>25</v>
      </c>
      <c r="U661">
        <v>4</v>
      </c>
      <c r="V661" s="53" t="str">
        <f>IFERROR(
IF(tbl_abs[[#This Row],[Month of absence]]=0,"Unknown",
CHOOSE(tbl_abs[[#This Row],[Month of absence]],
"Jan","Feb","Mar","Apr","May","Jun","Jul","Aug","Sep","Oct","Nov","Dec")),"")</f>
        <v>Nov</v>
      </c>
      <c r="W661" s="53" t="str">
        <f>IFERROR(
IF(tbl_abs[[#This Row],[Age]]&lt;30,"&lt;30",
IF(tbl_abs[[#This Row],[Age]]&lt;40,"30–39",
IF(tbl_abs[[#This Row],[Age]]&lt;50,"40–49",
IF(tbl_abs[[#This Row],[Age]]&lt;60,"50–59",
"60+")))),"")</f>
        <v>40–49</v>
      </c>
      <c r="X661" s="53" t="str">
        <f>IFERROR(
IF(tbl_abs[[#This Row],[Distance from Residence to Work]]&lt;=5,"0–5",
IF(tbl_abs[[#This Row],[Distance from Residence to Work]]&lt;=10,"6–10",
IF(tbl_abs[[#This Row],[Distance from Residence to Work]]&lt;=20,"11–20",
"21+"))),"")</f>
        <v>21+</v>
      </c>
      <c r="Y661" s="53" t="str">
        <f>IFERROR(
IF(tbl_abs[[#This Row],[Body Mass Index]]&lt;18.5,"Underweight",
IF(tbl_abs[[#This Row],[Body Mass Index]]&lt;25,"Normal",
IF(tbl_abs[[#This Row],[Body Mass Index]]&lt;30,"Overweight",
"Obese"))),"")</f>
        <v>Overweight</v>
      </c>
      <c r="Z661" s="53" t="str">
        <f>IFERROR(
IF(tbl_abs[[#This Row],[Absenteeism time in hours]]&lt;=2,"0–2",
IF(tbl_abs[[#This Row],[Absenteeism time in hours]]&lt;=8,"3–8",
IF(tbl_abs[[#This Row],[Absenteeism time in hours]]&lt;=16,"9–16",
"17+"))),"")</f>
        <v>3–8</v>
      </c>
    </row>
    <row r="662" spans="1:26" ht="15" customHeight="1" x14ac:dyDescent="0.3">
      <c r="A662">
        <v>24</v>
      </c>
      <c r="B662">
        <v>13</v>
      </c>
      <c r="C662" s="1">
        <v>11</v>
      </c>
      <c r="D662">
        <v>2</v>
      </c>
      <c r="E662">
        <v>4</v>
      </c>
      <c r="F662">
        <v>246</v>
      </c>
      <c r="G662" s="1">
        <v>25</v>
      </c>
      <c r="H662">
        <v>16</v>
      </c>
      <c r="I662" s="1">
        <v>41</v>
      </c>
      <c r="J662" s="2">
        <v>284031</v>
      </c>
      <c r="K662">
        <v>97</v>
      </c>
      <c r="L662">
        <v>0</v>
      </c>
      <c r="M662">
        <v>1</v>
      </c>
      <c r="N662">
        <v>0</v>
      </c>
      <c r="O662">
        <v>1</v>
      </c>
      <c r="P662">
        <v>0</v>
      </c>
      <c r="Q662">
        <v>0</v>
      </c>
      <c r="R662">
        <v>67</v>
      </c>
      <c r="S662">
        <v>170</v>
      </c>
      <c r="T662">
        <v>23</v>
      </c>
      <c r="U662">
        <v>8</v>
      </c>
      <c r="V662" s="53" t="str">
        <f>IFERROR(
IF(tbl_abs[[#This Row],[Month of absence]]=0,"Unknown",
CHOOSE(tbl_abs[[#This Row],[Month of absence]],
"Jan","Feb","Mar","Apr","May","Jun","Jul","Aug","Sep","Oct","Nov","Dec")),"")</f>
        <v>Nov</v>
      </c>
      <c r="W662" s="53" t="str">
        <f>IFERROR(
IF(tbl_abs[[#This Row],[Age]]&lt;30,"&lt;30",
IF(tbl_abs[[#This Row],[Age]]&lt;40,"30–39",
IF(tbl_abs[[#This Row],[Age]]&lt;50,"40–49",
IF(tbl_abs[[#This Row],[Age]]&lt;60,"50–59",
"60+")))),"")</f>
        <v>40–49</v>
      </c>
      <c r="X662" s="53" t="str">
        <f>IFERROR(
IF(tbl_abs[[#This Row],[Distance from Residence to Work]]&lt;=5,"0–5",
IF(tbl_abs[[#This Row],[Distance from Residence to Work]]&lt;=10,"6–10",
IF(tbl_abs[[#This Row],[Distance from Residence to Work]]&lt;=20,"11–20",
"21+"))),"")</f>
        <v>21+</v>
      </c>
      <c r="Y662" s="53" t="str">
        <f>IFERROR(
IF(tbl_abs[[#This Row],[Body Mass Index]]&lt;18.5,"Underweight",
IF(tbl_abs[[#This Row],[Body Mass Index]]&lt;25,"Normal",
IF(tbl_abs[[#This Row],[Body Mass Index]]&lt;30,"Overweight",
"Obese"))),"")</f>
        <v>Normal</v>
      </c>
      <c r="Z662" s="53" t="str">
        <f>IFERROR(
IF(tbl_abs[[#This Row],[Absenteeism time in hours]]&lt;=2,"0–2",
IF(tbl_abs[[#This Row],[Absenteeism time in hours]]&lt;=8,"3–8",
IF(tbl_abs[[#This Row],[Absenteeism time in hours]]&lt;=16,"9–16",
"17+"))),"")</f>
        <v>3–8</v>
      </c>
    </row>
    <row r="663" spans="1:26" ht="15" customHeight="1" x14ac:dyDescent="0.3">
      <c r="A663">
        <v>3</v>
      </c>
      <c r="B663">
        <v>28</v>
      </c>
      <c r="C663" s="1">
        <v>11</v>
      </c>
      <c r="D663">
        <v>3</v>
      </c>
      <c r="E663">
        <v>4</v>
      </c>
      <c r="F663">
        <v>179</v>
      </c>
      <c r="G663" s="1">
        <v>51</v>
      </c>
      <c r="H663">
        <v>18</v>
      </c>
      <c r="I663" s="1">
        <v>38</v>
      </c>
      <c r="J663" s="2">
        <v>284031</v>
      </c>
      <c r="K663">
        <v>97</v>
      </c>
      <c r="L663">
        <v>0</v>
      </c>
      <c r="M663">
        <v>1</v>
      </c>
      <c r="N663">
        <v>0</v>
      </c>
      <c r="O663">
        <v>1</v>
      </c>
      <c r="P663">
        <v>0</v>
      </c>
      <c r="Q663">
        <v>0</v>
      </c>
      <c r="R663">
        <v>89</v>
      </c>
      <c r="S663">
        <v>170</v>
      </c>
      <c r="T663">
        <v>31</v>
      </c>
      <c r="U663">
        <v>1</v>
      </c>
      <c r="V663" s="53" t="str">
        <f>IFERROR(
IF(tbl_abs[[#This Row],[Month of absence]]=0,"Unknown",
CHOOSE(tbl_abs[[#This Row],[Month of absence]],
"Jan","Feb","Mar","Apr","May","Jun","Jul","Aug","Sep","Oct","Nov","Dec")),"")</f>
        <v>Nov</v>
      </c>
      <c r="W663" s="53" t="str">
        <f>IFERROR(
IF(tbl_abs[[#This Row],[Age]]&lt;30,"&lt;30",
IF(tbl_abs[[#This Row],[Age]]&lt;40,"30–39",
IF(tbl_abs[[#This Row],[Age]]&lt;50,"40–49",
IF(tbl_abs[[#This Row],[Age]]&lt;60,"50–59",
"60+")))),"")</f>
        <v>30–39</v>
      </c>
      <c r="X663" s="53" t="str">
        <f>IFERROR(
IF(tbl_abs[[#This Row],[Distance from Residence to Work]]&lt;=5,"0–5",
IF(tbl_abs[[#This Row],[Distance from Residence to Work]]&lt;=10,"6–10",
IF(tbl_abs[[#This Row],[Distance from Residence to Work]]&lt;=20,"11–20",
"21+"))),"")</f>
        <v>21+</v>
      </c>
      <c r="Y663" s="53" t="str">
        <f>IFERROR(
IF(tbl_abs[[#This Row],[Body Mass Index]]&lt;18.5,"Underweight",
IF(tbl_abs[[#This Row],[Body Mass Index]]&lt;25,"Normal",
IF(tbl_abs[[#This Row],[Body Mass Index]]&lt;30,"Overweight",
"Obese"))),"")</f>
        <v>Obese</v>
      </c>
      <c r="Z663" s="53" t="str">
        <f>IFERROR(
IF(tbl_abs[[#This Row],[Absenteeism time in hours]]&lt;=2,"0–2",
IF(tbl_abs[[#This Row],[Absenteeism time in hours]]&lt;=8,"3–8",
IF(tbl_abs[[#This Row],[Absenteeism time in hours]]&lt;=16,"9–16",
"17+"))),"")</f>
        <v>0–2</v>
      </c>
    </row>
    <row r="664" spans="1:26" ht="15" customHeight="1" x14ac:dyDescent="0.3">
      <c r="A664">
        <v>20</v>
      </c>
      <c r="B664">
        <v>10</v>
      </c>
      <c r="C664" s="1">
        <v>11</v>
      </c>
      <c r="D664">
        <v>4</v>
      </c>
      <c r="E664">
        <v>4</v>
      </c>
      <c r="F664">
        <v>260</v>
      </c>
      <c r="G664" s="1">
        <v>50</v>
      </c>
      <c r="H664">
        <v>11</v>
      </c>
      <c r="I664" s="1">
        <v>36</v>
      </c>
      <c r="J664" s="2">
        <v>284031</v>
      </c>
      <c r="K664">
        <v>97</v>
      </c>
      <c r="L664">
        <v>0</v>
      </c>
      <c r="M664">
        <v>1</v>
      </c>
      <c r="N664">
        <v>4</v>
      </c>
      <c r="O664">
        <v>1</v>
      </c>
      <c r="P664">
        <v>0</v>
      </c>
      <c r="Q664">
        <v>0</v>
      </c>
      <c r="R664">
        <v>65</v>
      </c>
      <c r="S664">
        <v>168</v>
      </c>
      <c r="T664">
        <v>23</v>
      </c>
      <c r="U664">
        <v>8</v>
      </c>
      <c r="V664" s="53" t="str">
        <f>IFERROR(
IF(tbl_abs[[#This Row],[Month of absence]]=0,"Unknown",
CHOOSE(tbl_abs[[#This Row],[Month of absence]],
"Jan","Feb","Mar","Apr","May","Jun","Jul","Aug","Sep","Oct","Nov","Dec")),"")</f>
        <v>Nov</v>
      </c>
      <c r="W664" s="53" t="str">
        <f>IFERROR(
IF(tbl_abs[[#This Row],[Age]]&lt;30,"&lt;30",
IF(tbl_abs[[#This Row],[Age]]&lt;40,"30–39",
IF(tbl_abs[[#This Row],[Age]]&lt;50,"40–49",
IF(tbl_abs[[#This Row],[Age]]&lt;60,"50–59",
"60+")))),"")</f>
        <v>30–39</v>
      </c>
      <c r="X664" s="53" t="str">
        <f>IFERROR(
IF(tbl_abs[[#This Row],[Distance from Residence to Work]]&lt;=5,"0–5",
IF(tbl_abs[[#This Row],[Distance from Residence to Work]]&lt;=10,"6–10",
IF(tbl_abs[[#This Row],[Distance from Residence to Work]]&lt;=20,"11–20",
"21+"))),"")</f>
        <v>21+</v>
      </c>
      <c r="Y664" s="53" t="str">
        <f>IFERROR(
IF(tbl_abs[[#This Row],[Body Mass Index]]&lt;18.5,"Underweight",
IF(tbl_abs[[#This Row],[Body Mass Index]]&lt;25,"Normal",
IF(tbl_abs[[#This Row],[Body Mass Index]]&lt;30,"Overweight",
"Obese"))),"")</f>
        <v>Normal</v>
      </c>
      <c r="Z664" s="53" t="str">
        <f>IFERROR(
IF(tbl_abs[[#This Row],[Absenteeism time in hours]]&lt;=2,"0–2",
IF(tbl_abs[[#This Row],[Absenteeism time in hours]]&lt;=8,"3–8",
IF(tbl_abs[[#This Row],[Absenteeism time in hours]]&lt;=16,"9–16",
"17+"))),"")</f>
        <v>3–8</v>
      </c>
    </row>
    <row r="665" spans="1:26" ht="15" customHeight="1" x14ac:dyDescent="0.3">
      <c r="A665">
        <v>20</v>
      </c>
      <c r="B665">
        <v>15</v>
      </c>
      <c r="C665" s="1">
        <v>11</v>
      </c>
      <c r="D665">
        <v>6</v>
      </c>
      <c r="E665">
        <v>4</v>
      </c>
      <c r="F665">
        <v>260</v>
      </c>
      <c r="G665" s="1">
        <v>50</v>
      </c>
      <c r="H665">
        <v>11</v>
      </c>
      <c r="I665" s="1">
        <v>36</v>
      </c>
      <c r="J665" s="2">
        <v>284031</v>
      </c>
      <c r="K665">
        <v>97</v>
      </c>
      <c r="L665">
        <v>0</v>
      </c>
      <c r="M665">
        <v>1</v>
      </c>
      <c r="N665">
        <v>4</v>
      </c>
      <c r="O665">
        <v>1</v>
      </c>
      <c r="P665">
        <v>0</v>
      </c>
      <c r="Q665">
        <v>0</v>
      </c>
      <c r="R665">
        <v>65</v>
      </c>
      <c r="S665">
        <v>168</v>
      </c>
      <c r="T665">
        <v>23</v>
      </c>
      <c r="U665">
        <v>8</v>
      </c>
      <c r="V665" s="53" t="str">
        <f>IFERROR(
IF(tbl_abs[[#This Row],[Month of absence]]=0,"Unknown",
CHOOSE(tbl_abs[[#This Row],[Month of absence]],
"Jan","Feb","Mar","Apr","May","Jun","Jul","Aug","Sep","Oct","Nov","Dec")),"")</f>
        <v>Nov</v>
      </c>
      <c r="W665" s="53" t="str">
        <f>IFERROR(
IF(tbl_abs[[#This Row],[Age]]&lt;30,"&lt;30",
IF(tbl_abs[[#This Row],[Age]]&lt;40,"30–39",
IF(tbl_abs[[#This Row],[Age]]&lt;50,"40–49",
IF(tbl_abs[[#This Row],[Age]]&lt;60,"50–59",
"60+")))),"")</f>
        <v>30–39</v>
      </c>
      <c r="X665" s="53" t="str">
        <f>IFERROR(
IF(tbl_abs[[#This Row],[Distance from Residence to Work]]&lt;=5,"0–5",
IF(tbl_abs[[#This Row],[Distance from Residence to Work]]&lt;=10,"6–10",
IF(tbl_abs[[#This Row],[Distance from Residence to Work]]&lt;=20,"11–20",
"21+"))),"")</f>
        <v>21+</v>
      </c>
      <c r="Y665" s="53" t="str">
        <f>IFERROR(
IF(tbl_abs[[#This Row],[Body Mass Index]]&lt;18.5,"Underweight",
IF(tbl_abs[[#This Row],[Body Mass Index]]&lt;25,"Normal",
IF(tbl_abs[[#This Row],[Body Mass Index]]&lt;30,"Overweight",
"Obese"))),"")</f>
        <v>Normal</v>
      </c>
      <c r="Z665" s="53" t="str">
        <f>IFERROR(
IF(tbl_abs[[#This Row],[Absenteeism time in hours]]&lt;=2,"0–2",
IF(tbl_abs[[#This Row],[Absenteeism time in hours]]&lt;=8,"3–8",
IF(tbl_abs[[#This Row],[Absenteeism time in hours]]&lt;=16,"9–16",
"17+"))),"")</f>
        <v>3–8</v>
      </c>
    </row>
    <row r="666" spans="1:26" ht="15" customHeight="1" x14ac:dyDescent="0.3">
      <c r="A666">
        <v>23</v>
      </c>
      <c r="B666">
        <v>0</v>
      </c>
      <c r="C666" s="1">
        <v>11</v>
      </c>
      <c r="D666">
        <v>6</v>
      </c>
      <c r="E666">
        <v>4</v>
      </c>
      <c r="F666">
        <v>378</v>
      </c>
      <c r="G666" s="1">
        <v>49</v>
      </c>
      <c r="H666">
        <v>11</v>
      </c>
      <c r="I666" s="1">
        <v>36</v>
      </c>
      <c r="J666" s="2">
        <v>284031</v>
      </c>
      <c r="K666">
        <v>97</v>
      </c>
      <c r="L666">
        <v>1</v>
      </c>
      <c r="M666">
        <v>1</v>
      </c>
      <c r="N666">
        <v>2</v>
      </c>
      <c r="O666">
        <v>0</v>
      </c>
      <c r="P666">
        <v>1</v>
      </c>
      <c r="Q666">
        <v>4</v>
      </c>
      <c r="R666">
        <v>65</v>
      </c>
      <c r="S666">
        <v>174</v>
      </c>
      <c r="T666">
        <v>21</v>
      </c>
      <c r="U666">
        <v>0</v>
      </c>
      <c r="V666" s="53" t="str">
        <f>IFERROR(
IF(tbl_abs[[#This Row],[Month of absence]]=0,"Unknown",
CHOOSE(tbl_abs[[#This Row],[Month of absence]],
"Jan","Feb","Mar","Apr","May","Jun","Jul","Aug","Sep","Oct","Nov","Dec")),"")</f>
        <v>Nov</v>
      </c>
      <c r="W666" s="53" t="str">
        <f>IFERROR(
IF(tbl_abs[[#This Row],[Age]]&lt;30,"&lt;30",
IF(tbl_abs[[#This Row],[Age]]&lt;40,"30–39",
IF(tbl_abs[[#This Row],[Age]]&lt;50,"40–49",
IF(tbl_abs[[#This Row],[Age]]&lt;60,"50–59",
"60+")))),"")</f>
        <v>30–39</v>
      </c>
      <c r="X666" s="53" t="str">
        <f>IFERROR(
IF(tbl_abs[[#This Row],[Distance from Residence to Work]]&lt;=5,"0–5",
IF(tbl_abs[[#This Row],[Distance from Residence to Work]]&lt;=10,"6–10",
IF(tbl_abs[[#This Row],[Distance from Residence to Work]]&lt;=20,"11–20",
"21+"))),"")</f>
        <v>21+</v>
      </c>
      <c r="Y666" s="53" t="str">
        <f>IFERROR(
IF(tbl_abs[[#This Row],[Body Mass Index]]&lt;18.5,"Underweight",
IF(tbl_abs[[#This Row],[Body Mass Index]]&lt;25,"Normal",
IF(tbl_abs[[#This Row],[Body Mass Index]]&lt;30,"Overweight",
"Obese"))),"")</f>
        <v>Normal</v>
      </c>
      <c r="Z666" s="53" t="str">
        <f>IFERROR(
IF(tbl_abs[[#This Row],[Absenteeism time in hours]]&lt;=2,"0–2",
IF(tbl_abs[[#This Row],[Absenteeism time in hours]]&lt;=8,"3–8",
IF(tbl_abs[[#This Row],[Absenteeism time in hours]]&lt;=16,"9–16",
"17+"))),"")</f>
        <v>0–2</v>
      </c>
    </row>
    <row r="667" spans="1:26" ht="15" customHeight="1" x14ac:dyDescent="0.3">
      <c r="A667">
        <v>7</v>
      </c>
      <c r="B667">
        <v>0</v>
      </c>
      <c r="C667" s="1">
        <v>11</v>
      </c>
      <c r="D667">
        <v>3</v>
      </c>
      <c r="E667">
        <v>4</v>
      </c>
      <c r="F667">
        <v>279</v>
      </c>
      <c r="G667" s="1">
        <v>5</v>
      </c>
      <c r="H667">
        <v>14</v>
      </c>
      <c r="I667" s="1">
        <v>39</v>
      </c>
      <c r="J667" s="2">
        <v>284031</v>
      </c>
      <c r="K667">
        <v>97</v>
      </c>
      <c r="L667">
        <v>1</v>
      </c>
      <c r="M667">
        <v>1</v>
      </c>
      <c r="N667">
        <v>2</v>
      </c>
      <c r="O667">
        <v>1</v>
      </c>
      <c r="P667">
        <v>1</v>
      </c>
      <c r="Q667">
        <v>0</v>
      </c>
      <c r="R667">
        <v>68</v>
      </c>
      <c r="S667">
        <v>168</v>
      </c>
      <c r="T667">
        <v>24</v>
      </c>
      <c r="U667">
        <v>120</v>
      </c>
      <c r="V667" s="53" t="str">
        <f>IFERROR(
IF(tbl_abs[[#This Row],[Month of absence]]=0,"Unknown",
CHOOSE(tbl_abs[[#This Row],[Month of absence]],
"Jan","Feb","Mar","Apr","May","Jun","Jul","Aug","Sep","Oct","Nov","Dec")),"")</f>
        <v>Nov</v>
      </c>
      <c r="W667" s="53" t="str">
        <f>IFERROR(
IF(tbl_abs[[#This Row],[Age]]&lt;30,"&lt;30",
IF(tbl_abs[[#This Row],[Age]]&lt;40,"30–39",
IF(tbl_abs[[#This Row],[Age]]&lt;50,"40–49",
IF(tbl_abs[[#This Row],[Age]]&lt;60,"50–59",
"60+")))),"")</f>
        <v>30–39</v>
      </c>
      <c r="X667" s="53" t="str">
        <f>IFERROR(
IF(tbl_abs[[#This Row],[Distance from Residence to Work]]&lt;=5,"0–5",
IF(tbl_abs[[#This Row],[Distance from Residence to Work]]&lt;=10,"6–10",
IF(tbl_abs[[#This Row],[Distance from Residence to Work]]&lt;=20,"11–20",
"21+"))),"")</f>
        <v>0–5</v>
      </c>
      <c r="Y667" s="53" t="str">
        <f>IFERROR(
IF(tbl_abs[[#This Row],[Body Mass Index]]&lt;18.5,"Underweight",
IF(tbl_abs[[#This Row],[Body Mass Index]]&lt;25,"Normal",
IF(tbl_abs[[#This Row],[Body Mass Index]]&lt;30,"Overweight",
"Obese"))),"")</f>
        <v>Normal</v>
      </c>
      <c r="Z667" s="53" t="str">
        <f>IFERROR(
IF(tbl_abs[[#This Row],[Absenteeism time in hours]]&lt;=2,"0–2",
IF(tbl_abs[[#This Row],[Absenteeism time in hours]]&lt;=8,"3–8",
IF(tbl_abs[[#This Row],[Absenteeism time in hours]]&lt;=16,"9–16",
"17+"))),"")</f>
        <v>17+</v>
      </c>
    </row>
    <row r="668" spans="1:26" ht="15" customHeight="1" x14ac:dyDescent="0.3">
      <c r="A668">
        <v>3</v>
      </c>
      <c r="B668">
        <v>23</v>
      </c>
      <c r="C668" s="1">
        <v>11</v>
      </c>
      <c r="D668">
        <v>5</v>
      </c>
      <c r="E668">
        <v>4</v>
      </c>
      <c r="F668">
        <v>179</v>
      </c>
      <c r="G668" s="1">
        <v>51</v>
      </c>
      <c r="H668">
        <v>18</v>
      </c>
      <c r="I668" s="1">
        <v>38</v>
      </c>
      <c r="J668" s="2">
        <v>284031</v>
      </c>
      <c r="K668">
        <v>97</v>
      </c>
      <c r="L668">
        <v>0</v>
      </c>
      <c r="M668">
        <v>1</v>
      </c>
      <c r="N668">
        <v>0</v>
      </c>
      <c r="O668">
        <v>1</v>
      </c>
      <c r="P668">
        <v>0</v>
      </c>
      <c r="Q668">
        <v>0</v>
      </c>
      <c r="R668">
        <v>89</v>
      </c>
      <c r="S668">
        <v>170</v>
      </c>
      <c r="T668">
        <v>31</v>
      </c>
      <c r="U668">
        <v>1</v>
      </c>
      <c r="V668" s="53" t="str">
        <f>IFERROR(
IF(tbl_abs[[#This Row],[Month of absence]]=0,"Unknown",
CHOOSE(tbl_abs[[#This Row],[Month of absence]],
"Jan","Feb","Mar","Apr","May","Jun","Jul","Aug","Sep","Oct","Nov","Dec")),"")</f>
        <v>Nov</v>
      </c>
      <c r="W668" s="53" t="str">
        <f>IFERROR(
IF(tbl_abs[[#This Row],[Age]]&lt;30,"&lt;30",
IF(tbl_abs[[#This Row],[Age]]&lt;40,"30–39",
IF(tbl_abs[[#This Row],[Age]]&lt;50,"40–49",
IF(tbl_abs[[#This Row],[Age]]&lt;60,"50–59",
"60+")))),"")</f>
        <v>30–39</v>
      </c>
      <c r="X668" s="53" t="str">
        <f>IFERROR(
IF(tbl_abs[[#This Row],[Distance from Residence to Work]]&lt;=5,"0–5",
IF(tbl_abs[[#This Row],[Distance from Residence to Work]]&lt;=10,"6–10",
IF(tbl_abs[[#This Row],[Distance from Residence to Work]]&lt;=20,"11–20",
"21+"))),"")</f>
        <v>21+</v>
      </c>
      <c r="Y668" s="53" t="str">
        <f>IFERROR(
IF(tbl_abs[[#This Row],[Body Mass Index]]&lt;18.5,"Underweight",
IF(tbl_abs[[#This Row],[Body Mass Index]]&lt;25,"Normal",
IF(tbl_abs[[#This Row],[Body Mass Index]]&lt;30,"Overweight",
"Obese"))),"")</f>
        <v>Obese</v>
      </c>
      <c r="Z668" s="53" t="str">
        <f>IFERROR(
IF(tbl_abs[[#This Row],[Absenteeism time in hours]]&lt;=2,"0–2",
IF(tbl_abs[[#This Row],[Absenteeism time in hours]]&lt;=8,"3–8",
IF(tbl_abs[[#This Row],[Absenteeism time in hours]]&lt;=16,"9–16",
"17+"))),"")</f>
        <v>0–2</v>
      </c>
    </row>
    <row r="669" spans="1:26" ht="15" customHeight="1" x14ac:dyDescent="0.3">
      <c r="A669">
        <v>3</v>
      </c>
      <c r="B669">
        <v>21</v>
      </c>
      <c r="C669" s="1">
        <v>11</v>
      </c>
      <c r="D669">
        <v>3</v>
      </c>
      <c r="E669">
        <v>4</v>
      </c>
      <c r="F669">
        <v>179</v>
      </c>
      <c r="G669" s="1">
        <v>51</v>
      </c>
      <c r="H669">
        <v>18</v>
      </c>
      <c r="I669" s="1">
        <v>38</v>
      </c>
      <c r="J669" s="2">
        <v>268519</v>
      </c>
      <c r="K669">
        <v>93</v>
      </c>
      <c r="L669">
        <v>0</v>
      </c>
      <c r="M669">
        <v>1</v>
      </c>
      <c r="N669">
        <v>0</v>
      </c>
      <c r="O669">
        <v>1</v>
      </c>
      <c r="P669">
        <v>0</v>
      </c>
      <c r="Q669">
        <v>0</v>
      </c>
      <c r="R669">
        <v>89</v>
      </c>
      <c r="S669">
        <v>170</v>
      </c>
      <c r="T669">
        <v>31</v>
      </c>
      <c r="U669">
        <v>1</v>
      </c>
      <c r="V669" s="53" t="str">
        <f>IFERROR(
IF(tbl_abs[[#This Row],[Month of absence]]=0,"Unknown",
CHOOSE(tbl_abs[[#This Row],[Month of absence]],
"Jan","Feb","Mar","Apr","May","Jun","Jul","Aug","Sep","Oct","Nov","Dec")),"")</f>
        <v>Nov</v>
      </c>
      <c r="W669" s="53" t="str">
        <f>IFERROR(
IF(tbl_abs[[#This Row],[Age]]&lt;30,"&lt;30",
IF(tbl_abs[[#This Row],[Age]]&lt;40,"30–39",
IF(tbl_abs[[#This Row],[Age]]&lt;50,"40–49",
IF(tbl_abs[[#This Row],[Age]]&lt;60,"50–59",
"60+")))),"")</f>
        <v>30–39</v>
      </c>
      <c r="X669" s="53" t="str">
        <f>IFERROR(
IF(tbl_abs[[#This Row],[Distance from Residence to Work]]&lt;=5,"0–5",
IF(tbl_abs[[#This Row],[Distance from Residence to Work]]&lt;=10,"6–10",
IF(tbl_abs[[#This Row],[Distance from Residence to Work]]&lt;=20,"11–20",
"21+"))),"")</f>
        <v>21+</v>
      </c>
      <c r="Y669" s="53" t="str">
        <f>IFERROR(
IF(tbl_abs[[#This Row],[Body Mass Index]]&lt;18.5,"Underweight",
IF(tbl_abs[[#This Row],[Body Mass Index]]&lt;25,"Normal",
IF(tbl_abs[[#This Row],[Body Mass Index]]&lt;30,"Overweight",
"Obese"))),"")</f>
        <v>Obese</v>
      </c>
      <c r="Z669" s="53" t="str">
        <f>IFERROR(
IF(tbl_abs[[#This Row],[Absenteeism time in hours]]&lt;=2,"0–2",
IF(tbl_abs[[#This Row],[Absenteeism time in hours]]&lt;=8,"3–8",
IF(tbl_abs[[#This Row],[Absenteeism time in hours]]&lt;=16,"9–16",
"17+"))),"")</f>
        <v>0–2</v>
      </c>
    </row>
    <row r="670" spans="1:26" ht="15" customHeight="1" x14ac:dyDescent="0.3">
      <c r="A670">
        <v>34</v>
      </c>
      <c r="B670">
        <v>28</v>
      </c>
      <c r="C670" s="1">
        <v>11</v>
      </c>
      <c r="D670">
        <v>4</v>
      </c>
      <c r="E670">
        <v>4</v>
      </c>
      <c r="F670">
        <v>118</v>
      </c>
      <c r="G670" s="1">
        <v>10</v>
      </c>
      <c r="H670">
        <v>10</v>
      </c>
      <c r="I670" s="1">
        <v>37</v>
      </c>
      <c r="J670" s="2">
        <v>268519</v>
      </c>
      <c r="K670">
        <v>93</v>
      </c>
      <c r="L670">
        <v>0</v>
      </c>
      <c r="M670">
        <v>1</v>
      </c>
      <c r="N670">
        <v>0</v>
      </c>
      <c r="O670">
        <v>0</v>
      </c>
      <c r="P670">
        <v>0</v>
      </c>
      <c r="Q670">
        <v>0</v>
      </c>
      <c r="R670">
        <v>83</v>
      </c>
      <c r="S670">
        <v>172</v>
      </c>
      <c r="T670">
        <v>28</v>
      </c>
      <c r="U670">
        <v>3</v>
      </c>
      <c r="V670" s="53" t="str">
        <f>IFERROR(
IF(tbl_abs[[#This Row],[Month of absence]]=0,"Unknown",
CHOOSE(tbl_abs[[#This Row],[Month of absence]],
"Jan","Feb","Mar","Apr","May","Jun","Jul","Aug","Sep","Oct","Nov","Dec")),"")</f>
        <v>Nov</v>
      </c>
      <c r="W670" s="53" t="str">
        <f>IFERROR(
IF(tbl_abs[[#This Row],[Age]]&lt;30,"&lt;30",
IF(tbl_abs[[#This Row],[Age]]&lt;40,"30–39",
IF(tbl_abs[[#This Row],[Age]]&lt;50,"40–49",
IF(tbl_abs[[#This Row],[Age]]&lt;60,"50–59",
"60+")))),"")</f>
        <v>30–39</v>
      </c>
      <c r="X670" s="53" t="str">
        <f>IFERROR(
IF(tbl_abs[[#This Row],[Distance from Residence to Work]]&lt;=5,"0–5",
IF(tbl_abs[[#This Row],[Distance from Residence to Work]]&lt;=10,"6–10",
IF(tbl_abs[[#This Row],[Distance from Residence to Work]]&lt;=20,"11–20",
"21+"))),"")</f>
        <v>6–10</v>
      </c>
      <c r="Y670" s="53" t="str">
        <f>IFERROR(
IF(tbl_abs[[#This Row],[Body Mass Index]]&lt;18.5,"Underweight",
IF(tbl_abs[[#This Row],[Body Mass Index]]&lt;25,"Normal",
IF(tbl_abs[[#This Row],[Body Mass Index]]&lt;30,"Overweight",
"Obese"))),"")</f>
        <v>Overweight</v>
      </c>
      <c r="Z670" s="53" t="str">
        <f>IFERROR(
IF(tbl_abs[[#This Row],[Absenteeism time in hours]]&lt;=2,"0–2",
IF(tbl_abs[[#This Row],[Absenteeism time in hours]]&lt;=8,"3–8",
IF(tbl_abs[[#This Row],[Absenteeism time in hours]]&lt;=16,"9–16",
"17+"))),"")</f>
        <v>3–8</v>
      </c>
    </row>
    <row r="671" spans="1:26" ht="15" customHeight="1" x14ac:dyDescent="0.3">
      <c r="A671">
        <v>18</v>
      </c>
      <c r="B671">
        <v>2</v>
      </c>
      <c r="C671" s="1">
        <v>11</v>
      </c>
      <c r="D671">
        <v>4</v>
      </c>
      <c r="E671">
        <v>4</v>
      </c>
      <c r="F671">
        <v>330</v>
      </c>
      <c r="G671" s="1">
        <v>16</v>
      </c>
      <c r="H671">
        <v>4</v>
      </c>
      <c r="I671" s="1">
        <v>28</v>
      </c>
      <c r="J671" s="2">
        <v>268519</v>
      </c>
      <c r="K671">
        <v>93</v>
      </c>
      <c r="L671">
        <v>0</v>
      </c>
      <c r="M671">
        <v>2</v>
      </c>
      <c r="N671">
        <v>0</v>
      </c>
      <c r="O671">
        <v>0</v>
      </c>
      <c r="P671">
        <v>0</v>
      </c>
      <c r="Q671">
        <v>0</v>
      </c>
      <c r="R671">
        <v>84</v>
      </c>
      <c r="S671">
        <v>182</v>
      </c>
      <c r="T671">
        <v>25</v>
      </c>
      <c r="U671">
        <v>24</v>
      </c>
      <c r="V671" s="53" t="str">
        <f>IFERROR(
IF(tbl_abs[[#This Row],[Month of absence]]=0,"Unknown",
CHOOSE(tbl_abs[[#This Row],[Month of absence]],
"Jan","Feb","Mar","Apr","May","Jun","Jul","Aug","Sep","Oct","Nov","Dec")),"")</f>
        <v>Nov</v>
      </c>
      <c r="W671" s="53" t="str">
        <f>IFERROR(
IF(tbl_abs[[#This Row],[Age]]&lt;30,"&lt;30",
IF(tbl_abs[[#This Row],[Age]]&lt;40,"30–39",
IF(tbl_abs[[#This Row],[Age]]&lt;50,"40–49",
IF(tbl_abs[[#This Row],[Age]]&lt;60,"50–59",
"60+")))),"")</f>
        <v>&lt;30</v>
      </c>
      <c r="X671" s="53" t="str">
        <f>IFERROR(
IF(tbl_abs[[#This Row],[Distance from Residence to Work]]&lt;=5,"0–5",
IF(tbl_abs[[#This Row],[Distance from Residence to Work]]&lt;=10,"6–10",
IF(tbl_abs[[#This Row],[Distance from Residence to Work]]&lt;=20,"11–20",
"21+"))),"")</f>
        <v>11–20</v>
      </c>
      <c r="Y671" s="53" t="str">
        <f>IFERROR(
IF(tbl_abs[[#This Row],[Body Mass Index]]&lt;18.5,"Underweight",
IF(tbl_abs[[#This Row],[Body Mass Index]]&lt;25,"Normal",
IF(tbl_abs[[#This Row],[Body Mass Index]]&lt;30,"Overweight",
"Obese"))),"")</f>
        <v>Overweight</v>
      </c>
      <c r="Z671" s="53" t="str">
        <f>IFERROR(
IF(tbl_abs[[#This Row],[Absenteeism time in hours]]&lt;=2,"0–2",
IF(tbl_abs[[#This Row],[Absenteeism time in hours]]&lt;=8,"3–8",
IF(tbl_abs[[#This Row],[Absenteeism time in hours]]&lt;=16,"9–16",
"17+"))),"")</f>
        <v>17+</v>
      </c>
    </row>
    <row r="672" spans="1:26" ht="15" customHeight="1" x14ac:dyDescent="0.3">
      <c r="A672">
        <v>3</v>
      </c>
      <c r="B672">
        <v>28</v>
      </c>
      <c r="C672" s="1">
        <v>11</v>
      </c>
      <c r="D672">
        <v>6</v>
      </c>
      <c r="E672">
        <v>4</v>
      </c>
      <c r="F672">
        <v>179</v>
      </c>
      <c r="G672" s="1">
        <v>51</v>
      </c>
      <c r="H672">
        <v>18</v>
      </c>
      <c r="I672" s="1">
        <v>38</v>
      </c>
      <c r="J672" s="2">
        <v>268519</v>
      </c>
      <c r="K672">
        <v>93</v>
      </c>
      <c r="L672">
        <v>0</v>
      </c>
      <c r="M672">
        <v>1</v>
      </c>
      <c r="N672">
        <v>0</v>
      </c>
      <c r="O672">
        <v>1</v>
      </c>
      <c r="P672">
        <v>0</v>
      </c>
      <c r="Q672">
        <v>0</v>
      </c>
      <c r="R672">
        <v>89</v>
      </c>
      <c r="S672">
        <v>170</v>
      </c>
      <c r="T672">
        <v>31</v>
      </c>
      <c r="U672">
        <v>1</v>
      </c>
      <c r="V672" s="53" t="str">
        <f>IFERROR(
IF(tbl_abs[[#This Row],[Month of absence]]=0,"Unknown",
CHOOSE(tbl_abs[[#This Row],[Month of absence]],
"Jan","Feb","Mar","Apr","May","Jun","Jul","Aug","Sep","Oct","Nov","Dec")),"")</f>
        <v>Nov</v>
      </c>
      <c r="W672" s="53" t="str">
        <f>IFERROR(
IF(tbl_abs[[#This Row],[Age]]&lt;30,"&lt;30",
IF(tbl_abs[[#This Row],[Age]]&lt;40,"30–39",
IF(tbl_abs[[#This Row],[Age]]&lt;50,"40–49",
IF(tbl_abs[[#This Row],[Age]]&lt;60,"50–59",
"60+")))),"")</f>
        <v>30–39</v>
      </c>
      <c r="X672" s="53" t="str">
        <f>IFERROR(
IF(tbl_abs[[#This Row],[Distance from Residence to Work]]&lt;=5,"0–5",
IF(tbl_abs[[#This Row],[Distance from Residence to Work]]&lt;=10,"6–10",
IF(tbl_abs[[#This Row],[Distance from Residence to Work]]&lt;=20,"11–20",
"21+"))),"")</f>
        <v>21+</v>
      </c>
      <c r="Y672" s="53" t="str">
        <f>IFERROR(
IF(tbl_abs[[#This Row],[Body Mass Index]]&lt;18.5,"Underweight",
IF(tbl_abs[[#This Row],[Body Mass Index]]&lt;25,"Normal",
IF(tbl_abs[[#This Row],[Body Mass Index]]&lt;30,"Overweight",
"Obese"))),"")</f>
        <v>Obese</v>
      </c>
      <c r="Z672" s="53" t="str">
        <f>IFERROR(
IF(tbl_abs[[#This Row],[Absenteeism time in hours]]&lt;=2,"0–2",
IF(tbl_abs[[#This Row],[Absenteeism time in hours]]&lt;=8,"3–8",
IF(tbl_abs[[#This Row],[Absenteeism time in hours]]&lt;=16,"9–16",
"17+"))),"")</f>
        <v>0–2</v>
      </c>
    </row>
    <row r="673" spans="1:26" ht="15" customHeight="1" x14ac:dyDescent="0.3">
      <c r="A673">
        <v>34</v>
      </c>
      <c r="B673">
        <v>9</v>
      </c>
      <c r="C673" s="1">
        <v>11</v>
      </c>
      <c r="D673">
        <v>3</v>
      </c>
      <c r="E673">
        <v>4</v>
      </c>
      <c r="F673">
        <v>118</v>
      </c>
      <c r="G673" s="1">
        <v>10</v>
      </c>
      <c r="H673">
        <v>10</v>
      </c>
      <c r="I673" s="1">
        <v>37</v>
      </c>
      <c r="J673" s="2">
        <v>268519</v>
      </c>
      <c r="K673">
        <v>93</v>
      </c>
      <c r="L673">
        <v>0</v>
      </c>
      <c r="M673">
        <v>1</v>
      </c>
      <c r="N673">
        <v>0</v>
      </c>
      <c r="O673">
        <v>0</v>
      </c>
      <c r="P673">
        <v>0</v>
      </c>
      <c r="Q673">
        <v>0</v>
      </c>
      <c r="R673">
        <v>83</v>
      </c>
      <c r="S673">
        <v>172</v>
      </c>
      <c r="T673">
        <v>28</v>
      </c>
      <c r="U673">
        <v>8</v>
      </c>
      <c r="V673" s="53" t="str">
        <f>IFERROR(
IF(tbl_abs[[#This Row],[Month of absence]]=0,"Unknown",
CHOOSE(tbl_abs[[#This Row],[Month of absence]],
"Jan","Feb","Mar","Apr","May","Jun","Jul","Aug","Sep","Oct","Nov","Dec")),"")</f>
        <v>Nov</v>
      </c>
      <c r="W673" s="53" t="str">
        <f>IFERROR(
IF(tbl_abs[[#This Row],[Age]]&lt;30,"&lt;30",
IF(tbl_abs[[#This Row],[Age]]&lt;40,"30–39",
IF(tbl_abs[[#This Row],[Age]]&lt;50,"40–49",
IF(tbl_abs[[#This Row],[Age]]&lt;60,"50–59",
"60+")))),"")</f>
        <v>30–39</v>
      </c>
      <c r="X673" s="53" t="str">
        <f>IFERROR(
IF(tbl_abs[[#This Row],[Distance from Residence to Work]]&lt;=5,"0–5",
IF(tbl_abs[[#This Row],[Distance from Residence to Work]]&lt;=10,"6–10",
IF(tbl_abs[[#This Row],[Distance from Residence to Work]]&lt;=20,"11–20",
"21+"))),"")</f>
        <v>6–10</v>
      </c>
      <c r="Y673" s="53" t="str">
        <f>IFERROR(
IF(tbl_abs[[#This Row],[Body Mass Index]]&lt;18.5,"Underweight",
IF(tbl_abs[[#This Row],[Body Mass Index]]&lt;25,"Normal",
IF(tbl_abs[[#This Row],[Body Mass Index]]&lt;30,"Overweight",
"Obese"))),"")</f>
        <v>Overweight</v>
      </c>
      <c r="Z673" s="53" t="str">
        <f>IFERROR(
IF(tbl_abs[[#This Row],[Absenteeism time in hours]]&lt;=2,"0–2",
IF(tbl_abs[[#This Row],[Absenteeism time in hours]]&lt;=8,"3–8",
IF(tbl_abs[[#This Row],[Absenteeism time in hours]]&lt;=16,"9–16",
"17+"))),"")</f>
        <v>3–8</v>
      </c>
    </row>
    <row r="674" spans="1:26" ht="15" customHeight="1" x14ac:dyDescent="0.3">
      <c r="A674">
        <v>11</v>
      </c>
      <c r="B674">
        <v>24</v>
      </c>
      <c r="C674" s="1">
        <v>11</v>
      </c>
      <c r="D674">
        <v>4</v>
      </c>
      <c r="E674">
        <v>4</v>
      </c>
      <c r="F674">
        <v>289</v>
      </c>
      <c r="G674" s="1">
        <v>36</v>
      </c>
      <c r="H674">
        <v>13</v>
      </c>
      <c r="I674" s="1">
        <v>33</v>
      </c>
      <c r="J674" s="2">
        <v>268519</v>
      </c>
      <c r="K674">
        <v>93</v>
      </c>
      <c r="L674">
        <v>0</v>
      </c>
      <c r="M674">
        <v>1</v>
      </c>
      <c r="N674">
        <v>2</v>
      </c>
      <c r="O674">
        <v>1</v>
      </c>
      <c r="P674">
        <v>0</v>
      </c>
      <c r="Q674">
        <v>1</v>
      </c>
      <c r="R674">
        <v>90</v>
      </c>
      <c r="S674">
        <v>172</v>
      </c>
      <c r="T674">
        <v>30</v>
      </c>
      <c r="U674">
        <v>8</v>
      </c>
      <c r="V674" s="53" t="str">
        <f>IFERROR(
IF(tbl_abs[[#This Row],[Month of absence]]=0,"Unknown",
CHOOSE(tbl_abs[[#This Row],[Month of absence]],
"Jan","Feb","Mar","Apr","May","Jun","Jul","Aug","Sep","Oct","Nov","Dec")),"")</f>
        <v>Nov</v>
      </c>
      <c r="W674" s="53" t="str">
        <f>IFERROR(
IF(tbl_abs[[#This Row],[Age]]&lt;30,"&lt;30",
IF(tbl_abs[[#This Row],[Age]]&lt;40,"30–39",
IF(tbl_abs[[#This Row],[Age]]&lt;50,"40–49",
IF(tbl_abs[[#This Row],[Age]]&lt;60,"50–59",
"60+")))),"")</f>
        <v>30–39</v>
      </c>
      <c r="X674" s="53" t="str">
        <f>IFERROR(
IF(tbl_abs[[#This Row],[Distance from Residence to Work]]&lt;=5,"0–5",
IF(tbl_abs[[#This Row],[Distance from Residence to Work]]&lt;=10,"6–10",
IF(tbl_abs[[#This Row],[Distance from Residence to Work]]&lt;=20,"11–20",
"21+"))),"")</f>
        <v>21+</v>
      </c>
      <c r="Y674" s="53" t="str">
        <f>IFERROR(
IF(tbl_abs[[#This Row],[Body Mass Index]]&lt;18.5,"Underweight",
IF(tbl_abs[[#This Row],[Body Mass Index]]&lt;25,"Normal",
IF(tbl_abs[[#This Row],[Body Mass Index]]&lt;30,"Overweight",
"Obese"))),"")</f>
        <v>Obese</v>
      </c>
      <c r="Z674" s="53" t="str">
        <f>IFERROR(
IF(tbl_abs[[#This Row],[Absenteeism time in hours]]&lt;=2,"0–2",
IF(tbl_abs[[#This Row],[Absenteeism time in hours]]&lt;=8,"3–8",
IF(tbl_abs[[#This Row],[Absenteeism time in hours]]&lt;=16,"9–16",
"17+"))),"")</f>
        <v>3–8</v>
      </c>
    </row>
    <row r="675" spans="1:26" ht="15" customHeight="1" x14ac:dyDescent="0.3">
      <c r="A675">
        <v>25</v>
      </c>
      <c r="B675">
        <v>1</v>
      </c>
      <c r="C675" s="1">
        <v>11</v>
      </c>
      <c r="D675">
        <v>6</v>
      </c>
      <c r="E675">
        <v>4</v>
      </c>
      <c r="F675">
        <v>235</v>
      </c>
      <c r="G675" s="1">
        <v>16</v>
      </c>
      <c r="H675">
        <v>8</v>
      </c>
      <c r="I675" s="1">
        <v>32</v>
      </c>
      <c r="J675" s="2">
        <v>268519</v>
      </c>
      <c r="K675">
        <v>93</v>
      </c>
      <c r="L675">
        <v>0</v>
      </c>
      <c r="M675">
        <v>3</v>
      </c>
      <c r="N675">
        <v>0</v>
      </c>
      <c r="O675">
        <v>0</v>
      </c>
      <c r="P675">
        <v>0</v>
      </c>
      <c r="Q675">
        <v>0</v>
      </c>
      <c r="R675">
        <v>75</v>
      </c>
      <c r="S675">
        <v>178</v>
      </c>
      <c r="T675">
        <v>25</v>
      </c>
      <c r="U675">
        <v>8</v>
      </c>
      <c r="V675" s="53" t="str">
        <f>IFERROR(
IF(tbl_abs[[#This Row],[Month of absence]]=0,"Unknown",
CHOOSE(tbl_abs[[#This Row],[Month of absence]],
"Jan","Feb","Mar","Apr","May","Jun","Jul","Aug","Sep","Oct","Nov","Dec")),"")</f>
        <v>Nov</v>
      </c>
      <c r="W675" s="53" t="str">
        <f>IFERROR(
IF(tbl_abs[[#This Row],[Age]]&lt;30,"&lt;30",
IF(tbl_abs[[#This Row],[Age]]&lt;40,"30–39",
IF(tbl_abs[[#This Row],[Age]]&lt;50,"40–49",
IF(tbl_abs[[#This Row],[Age]]&lt;60,"50–59",
"60+")))),"")</f>
        <v>30–39</v>
      </c>
      <c r="X675" s="53" t="str">
        <f>IFERROR(
IF(tbl_abs[[#This Row],[Distance from Residence to Work]]&lt;=5,"0–5",
IF(tbl_abs[[#This Row],[Distance from Residence to Work]]&lt;=10,"6–10",
IF(tbl_abs[[#This Row],[Distance from Residence to Work]]&lt;=20,"11–20",
"21+"))),"")</f>
        <v>11–20</v>
      </c>
      <c r="Y675" s="53" t="str">
        <f>IFERROR(
IF(tbl_abs[[#This Row],[Body Mass Index]]&lt;18.5,"Underweight",
IF(tbl_abs[[#This Row],[Body Mass Index]]&lt;25,"Normal",
IF(tbl_abs[[#This Row],[Body Mass Index]]&lt;30,"Overweight",
"Obese"))),"")</f>
        <v>Overweight</v>
      </c>
      <c r="Z675" s="53" t="str">
        <f>IFERROR(
IF(tbl_abs[[#This Row],[Absenteeism time in hours]]&lt;=2,"0–2",
IF(tbl_abs[[#This Row],[Absenteeism time in hours]]&lt;=8,"3–8",
IF(tbl_abs[[#This Row],[Absenteeism time in hours]]&lt;=16,"9–16",
"17+"))),"")</f>
        <v>3–8</v>
      </c>
    </row>
    <row r="676" spans="1:26" ht="15" customHeight="1" x14ac:dyDescent="0.3">
      <c r="A676">
        <v>28</v>
      </c>
      <c r="B676">
        <v>23</v>
      </c>
      <c r="C676" s="1">
        <v>11</v>
      </c>
      <c r="D676">
        <v>6</v>
      </c>
      <c r="E676">
        <v>4</v>
      </c>
      <c r="F676">
        <v>225</v>
      </c>
      <c r="G676" s="1">
        <v>26</v>
      </c>
      <c r="H676">
        <v>9</v>
      </c>
      <c r="I676" s="1">
        <v>28</v>
      </c>
      <c r="J676" s="2">
        <v>268519</v>
      </c>
      <c r="K676">
        <v>93</v>
      </c>
      <c r="L676">
        <v>0</v>
      </c>
      <c r="M676">
        <v>1</v>
      </c>
      <c r="N676">
        <v>1</v>
      </c>
      <c r="O676">
        <v>0</v>
      </c>
      <c r="P676">
        <v>0</v>
      </c>
      <c r="Q676">
        <v>2</v>
      </c>
      <c r="R676">
        <v>69</v>
      </c>
      <c r="S676">
        <v>169</v>
      </c>
      <c r="T676">
        <v>24</v>
      </c>
      <c r="U676">
        <v>4</v>
      </c>
      <c r="V676" s="53" t="str">
        <f>IFERROR(
IF(tbl_abs[[#This Row],[Month of absence]]=0,"Unknown",
CHOOSE(tbl_abs[[#This Row],[Month of absence]],
"Jan","Feb","Mar","Apr","May","Jun","Jul","Aug","Sep","Oct","Nov","Dec")),"")</f>
        <v>Nov</v>
      </c>
      <c r="W676" s="53" t="str">
        <f>IFERROR(
IF(tbl_abs[[#This Row],[Age]]&lt;30,"&lt;30",
IF(tbl_abs[[#This Row],[Age]]&lt;40,"30–39",
IF(tbl_abs[[#This Row],[Age]]&lt;50,"40–49",
IF(tbl_abs[[#This Row],[Age]]&lt;60,"50–59",
"60+")))),"")</f>
        <v>&lt;30</v>
      </c>
      <c r="X676" s="53" t="str">
        <f>IFERROR(
IF(tbl_abs[[#This Row],[Distance from Residence to Work]]&lt;=5,"0–5",
IF(tbl_abs[[#This Row],[Distance from Residence to Work]]&lt;=10,"6–10",
IF(tbl_abs[[#This Row],[Distance from Residence to Work]]&lt;=20,"11–20",
"21+"))),"")</f>
        <v>21+</v>
      </c>
      <c r="Y676" s="53" t="str">
        <f>IFERROR(
IF(tbl_abs[[#This Row],[Body Mass Index]]&lt;18.5,"Underweight",
IF(tbl_abs[[#This Row],[Body Mass Index]]&lt;25,"Normal",
IF(tbl_abs[[#This Row],[Body Mass Index]]&lt;30,"Overweight",
"Obese"))),"")</f>
        <v>Normal</v>
      </c>
      <c r="Z676" s="53" t="str">
        <f>IFERROR(
IF(tbl_abs[[#This Row],[Absenteeism time in hours]]&lt;=2,"0–2",
IF(tbl_abs[[#This Row],[Absenteeism time in hours]]&lt;=8,"3–8",
IF(tbl_abs[[#This Row],[Absenteeism time in hours]]&lt;=16,"9–16",
"17+"))),"")</f>
        <v>3–8</v>
      </c>
    </row>
    <row r="677" spans="1:26" ht="15" customHeight="1" x14ac:dyDescent="0.3">
      <c r="A677">
        <v>10</v>
      </c>
      <c r="B677">
        <v>22</v>
      </c>
      <c r="C677" s="1">
        <v>11</v>
      </c>
      <c r="D677">
        <v>3</v>
      </c>
      <c r="E677">
        <v>4</v>
      </c>
      <c r="F677">
        <v>361</v>
      </c>
      <c r="G677" s="1">
        <v>52</v>
      </c>
      <c r="H677">
        <v>3</v>
      </c>
      <c r="I677" s="1">
        <v>28</v>
      </c>
      <c r="J677" s="2">
        <v>268519</v>
      </c>
      <c r="K677">
        <v>93</v>
      </c>
      <c r="L677">
        <v>0</v>
      </c>
      <c r="M677">
        <v>1</v>
      </c>
      <c r="N677">
        <v>1</v>
      </c>
      <c r="O677">
        <v>1</v>
      </c>
      <c r="P677">
        <v>0</v>
      </c>
      <c r="Q677">
        <v>4</v>
      </c>
      <c r="R677">
        <v>80</v>
      </c>
      <c r="S677">
        <v>172</v>
      </c>
      <c r="T677">
        <v>27</v>
      </c>
      <c r="U677">
        <v>8</v>
      </c>
      <c r="V677" s="53" t="str">
        <f>IFERROR(
IF(tbl_abs[[#This Row],[Month of absence]]=0,"Unknown",
CHOOSE(tbl_abs[[#This Row],[Month of absence]],
"Jan","Feb","Mar","Apr","May","Jun","Jul","Aug","Sep","Oct","Nov","Dec")),"")</f>
        <v>Nov</v>
      </c>
      <c r="W677" s="53" t="str">
        <f>IFERROR(
IF(tbl_abs[[#This Row],[Age]]&lt;30,"&lt;30",
IF(tbl_abs[[#This Row],[Age]]&lt;40,"30–39",
IF(tbl_abs[[#This Row],[Age]]&lt;50,"40–49",
IF(tbl_abs[[#This Row],[Age]]&lt;60,"50–59",
"60+")))),"")</f>
        <v>&lt;30</v>
      </c>
      <c r="X677" s="53" t="str">
        <f>IFERROR(
IF(tbl_abs[[#This Row],[Distance from Residence to Work]]&lt;=5,"0–5",
IF(tbl_abs[[#This Row],[Distance from Residence to Work]]&lt;=10,"6–10",
IF(tbl_abs[[#This Row],[Distance from Residence to Work]]&lt;=20,"11–20",
"21+"))),"")</f>
        <v>21+</v>
      </c>
      <c r="Y677" s="53" t="str">
        <f>IFERROR(
IF(tbl_abs[[#This Row],[Body Mass Index]]&lt;18.5,"Underweight",
IF(tbl_abs[[#This Row],[Body Mass Index]]&lt;25,"Normal",
IF(tbl_abs[[#This Row],[Body Mass Index]]&lt;30,"Overweight",
"Obese"))),"")</f>
        <v>Overweight</v>
      </c>
      <c r="Z677" s="53" t="str">
        <f>IFERROR(
IF(tbl_abs[[#This Row],[Absenteeism time in hours]]&lt;=2,"0–2",
IF(tbl_abs[[#This Row],[Absenteeism time in hours]]&lt;=8,"3–8",
IF(tbl_abs[[#This Row],[Absenteeism time in hours]]&lt;=16,"9–16",
"17+"))),"")</f>
        <v>3–8</v>
      </c>
    </row>
    <row r="678" spans="1:26" ht="15" customHeight="1" x14ac:dyDescent="0.3">
      <c r="A678">
        <v>15</v>
      </c>
      <c r="B678">
        <v>28</v>
      </c>
      <c r="C678" s="1">
        <v>11</v>
      </c>
      <c r="D678">
        <v>4</v>
      </c>
      <c r="E678">
        <v>4</v>
      </c>
      <c r="F678">
        <v>291</v>
      </c>
      <c r="G678" s="1">
        <v>31</v>
      </c>
      <c r="H678">
        <v>12</v>
      </c>
      <c r="I678" s="1">
        <v>40</v>
      </c>
      <c r="J678" s="2">
        <v>268519</v>
      </c>
      <c r="K678">
        <v>93</v>
      </c>
      <c r="L678">
        <v>0</v>
      </c>
      <c r="M678">
        <v>1</v>
      </c>
      <c r="N678">
        <v>1</v>
      </c>
      <c r="O678">
        <v>1</v>
      </c>
      <c r="P678">
        <v>0</v>
      </c>
      <c r="Q678">
        <v>1</v>
      </c>
      <c r="R678">
        <v>73</v>
      </c>
      <c r="S678">
        <v>171</v>
      </c>
      <c r="T678">
        <v>25</v>
      </c>
      <c r="U678">
        <v>2</v>
      </c>
      <c r="V678" s="53" t="str">
        <f>IFERROR(
IF(tbl_abs[[#This Row],[Month of absence]]=0,"Unknown",
CHOOSE(tbl_abs[[#This Row],[Month of absence]],
"Jan","Feb","Mar","Apr","May","Jun","Jul","Aug","Sep","Oct","Nov","Dec")),"")</f>
        <v>Nov</v>
      </c>
      <c r="W678" s="53" t="str">
        <f>IFERROR(
IF(tbl_abs[[#This Row],[Age]]&lt;30,"&lt;30",
IF(tbl_abs[[#This Row],[Age]]&lt;40,"30–39",
IF(tbl_abs[[#This Row],[Age]]&lt;50,"40–49",
IF(tbl_abs[[#This Row],[Age]]&lt;60,"50–59",
"60+")))),"")</f>
        <v>40–49</v>
      </c>
      <c r="X678" s="53" t="str">
        <f>IFERROR(
IF(tbl_abs[[#This Row],[Distance from Residence to Work]]&lt;=5,"0–5",
IF(tbl_abs[[#This Row],[Distance from Residence to Work]]&lt;=10,"6–10",
IF(tbl_abs[[#This Row],[Distance from Residence to Work]]&lt;=20,"11–20",
"21+"))),"")</f>
        <v>21+</v>
      </c>
      <c r="Y678" s="53" t="str">
        <f>IFERROR(
IF(tbl_abs[[#This Row],[Body Mass Index]]&lt;18.5,"Underweight",
IF(tbl_abs[[#This Row],[Body Mass Index]]&lt;25,"Normal",
IF(tbl_abs[[#This Row],[Body Mass Index]]&lt;30,"Overweight",
"Obese"))),"")</f>
        <v>Overweight</v>
      </c>
      <c r="Z678" s="53" t="str">
        <f>IFERROR(
IF(tbl_abs[[#This Row],[Absenteeism time in hours]]&lt;=2,"0–2",
IF(tbl_abs[[#This Row],[Absenteeism time in hours]]&lt;=8,"3–8",
IF(tbl_abs[[#This Row],[Absenteeism time in hours]]&lt;=16,"9–16",
"17+"))),"")</f>
        <v>0–2</v>
      </c>
    </row>
    <row r="679" spans="1:26" ht="15" customHeight="1" x14ac:dyDescent="0.3">
      <c r="A679">
        <v>34</v>
      </c>
      <c r="B679">
        <v>13</v>
      </c>
      <c r="C679" s="1">
        <v>11</v>
      </c>
      <c r="D679">
        <v>5</v>
      </c>
      <c r="E679">
        <v>4</v>
      </c>
      <c r="F679">
        <v>118</v>
      </c>
      <c r="G679" s="1">
        <v>10</v>
      </c>
      <c r="H679">
        <v>10</v>
      </c>
      <c r="I679" s="1">
        <v>37</v>
      </c>
      <c r="J679" s="2">
        <v>268519</v>
      </c>
      <c r="K679">
        <v>93</v>
      </c>
      <c r="L679">
        <v>0</v>
      </c>
      <c r="M679">
        <v>1</v>
      </c>
      <c r="N679">
        <v>0</v>
      </c>
      <c r="O679">
        <v>0</v>
      </c>
      <c r="P679">
        <v>0</v>
      </c>
      <c r="Q679">
        <v>0</v>
      </c>
      <c r="R679">
        <v>83</v>
      </c>
      <c r="S679">
        <v>172</v>
      </c>
      <c r="T679">
        <v>28</v>
      </c>
      <c r="U679">
        <v>2</v>
      </c>
      <c r="V679" s="53" t="str">
        <f>IFERROR(
IF(tbl_abs[[#This Row],[Month of absence]]=0,"Unknown",
CHOOSE(tbl_abs[[#This Row],[Month of absence]],
"Jan","Feb","Mar","Apr","May","Jun","Jul","Aug","Sep","Oct","Nov","Dec")),"")</f>
        <v>Nov</v>
      </c>
      <c r="W679" s="53" t="str">
        <f>IFERROR(
IF(tbl_abs[[#This Row],[Age]]&lt;30,"&lt;30",
IF(tbl_abs[[#This Row],[Age]]&lt;40,"30–39",
IF(tbl_abs[[#This Row],[Age]]&lt;50,"40–49",
IF(tbl_abs[[#This Row],[Age]]&lt;60,"50–59",
"60+")))),"")</f>
        <v>30–39</v>
      </c>
      <c r="X679" s="53" t="str">
        <f>IFERROR(
IF(tbl_abs[[#This Row],[Distance from Residence to Work]]&lt;=5,"0–5",
IF(tbl_abs[[#This Row],[Distance from Residence to Work]]&lt;=10,"6–10",
IF(tbl_abs[[#This Row],[Distance from Residence to Work]]&lt;=20,"11–20",
"21+"))),"")</f>
        <v>6–10</v>
      </c>
      <c r="Y679" s="53" t="str">
        <f>IFERROR(
IF(tbl_abs[[#This Row],[Body Mass Index]]&lt;18.5,"Underweight",
IF(tbl_abs[[#This Row],[Body Mass Index]]&lt;25,"Normal",
IF(tbl_abs[[#This Row],[Body Mass Index]]&lt;30,"Overweight",
"Obese"))),"")</f>
        <v>Overweight</v>
      </c>
      <c r="Z679" s="53" t="str">
        <f>IFERROR(
IF(tbl_abs[[#This Row],[Absenteeism time in hours]]&lt;=2,"0–2",
IF(tbl_abs[[#This Row],[Absenteeism time in hours]]&lt;=8,"3–8",
IF(tbl_abs[[#This Row],[Absenteeism time in hours]]&lt;=16,"9–16",
"17+"))),"")</f>
        <v>0–2</v>
      </c>
    </row>
    <row r="680" spans="1:26" ht="15" customHeight="1" x14ac:dyDescent="0.3">
      <c r="A680">
        <v>28</v>
      </c>
      <c r="B680">
        <v>14</v>
      </c>
      <c r="C680" s="1">
        <v>11</v>
      </c>
      <c r="D680">
        <v>5</v>
      </c>
      <c r="E680">
        <v>4</v>
      </c>
      <c r="F680">
        <v>225</v>
      </c>
      <c r="G680" s="1">
        <v>26</v>
      </c>
      <c r="H680">
        <v>9</v>
      </c>
      <c r="I680" s="1">
        <v>28</v>
      </c>
      <c r="J680" s="2">
        <v>268519</v>
      </c>
      <c r="K680">
        <v>93</v>
      </c>
      <c r="L680">
        <v>0</v>
      </c>
      <c r="M680">
        <v>1</v>
      </c>
      <c r="N680">
        <v>1</v>
      </c>
      <c r="O680">
        <v>0</v>
      </c>
      <c r="P680">
        <v>0</v>
      </c>
      <c r="Q680">
        <v>2</v>
      </c>
      <c r="R680">
        <v>69</v>
      </c>
      <c r="S680">
        <v>169</v>
      </c>
      <c r="T680">
        <v>24</v>
      </c>
      <c r="U680">
        <v>3</v>
      </c>
      <c r="V680" s="53" t="str">
        <f>IFERROR(
IF(tbl_abs[[#This Row],[Month of absence]]=0,"Unknown",
CHOOSE(tbl_abs[[#This Row],[Month of absence]],
"Jan","Feb","Mar","Apr","May","Jun","Jul","Aug","Sep","Oct","Nov","Dec")),"")</f>
        <v>Nov</v>
      </c>
      <c r="W680" s="53" t="str">
        <f>IFERROR(
IF(tbl_abs[[#This Row],[Age]]&lt;30,"&lt;30",
IF(tbl_abs[[#This Row],[Age]]&lt;40,"30–39",
IF(tbl_abs[[#This Row],[Age]]&lt;50,"40–49",
IF(tbl_abs[[#This Row],[Age]]&lt;60,"50–59",
"60+")))),"")</f>
        <v>&lt;30</v>
      </c>
      <c r="X680" s="53" t="str">
        <f>IFERROR(
IF(tbl_abs[[#This Row],[Distance from Residence to Work]]&lt;=5,"0–5",
IF(tbl_abs[[#This Row],[Distance from Residence to Work]]&lt;=10,"6–10",
IF(tbl_abs[[#This Row],[Distance from Residence to Work]]&lt;=20,"11–20",
"21+"))),"")</f>
        <v>21+</v>
      </c>
      <c r="Y680" s="53" t="str">
        <f>IFERROR(
IF(tbl_abs[[#This Row],[Body Mass Index]]&lt;18.5,"Underweight",
IF(tbl_abs[[#This Row],[Body Mass Index]]&lt;25,"Normal",
IF(tbl_abs[[#This Row],[Body Mass Index]]&lt;30,"Overweight",
"Obese"))),"")</f>
        <v>Normal</v>
      </c>
      <c r="Z680" s="53" t="str">
        <f>IFERROR(
IF(tbl_abs[[#This Row],[Absenteeism time in hours]]&lt;=2,"0–2",
IF(tbl_abs[[#This Row],[Absenteeism time in hours]]&lt;=8,"3–8",
IF(tbl_abs[[#This Row],[Absenteeism time in hours]]&lt;=16,"9–16",
"17+"))),"")</f>
        <v>3–8</v>
      </c>
    </row>
    <row r="681" spans="1:26" ht="15" customHeight="1" x14ac:dyDescent="0.3">
      <c r="A681">
        <v>3</v>
      </c>
      <c r="B681">
        <v>28</v>
      </c>
      <c r="C681" s="1">
        <v>11</v>
      </c>
      <c r="D681">
        <v>2</v>
      </c>
      <c r="E681">
        <v>4</v>
      </c>
      <c r="F681">
        <v>179</v>
      </c>
      <c r="G681" s="1">
        <v>51</v>
      </c>
      <c r="H681">
        <v>18</v>
      </c>
      <c r="I681" s="1">
        <v>38</v>
      </c>
      <c r="J681" s="2">
        <v>268519</v>
      </c>
      <c r="K681">
        <v>93</v>
      </c>
      <c r="L681">
        <v>0</v>
      </c>
      <c r="M681">
        <v>1</v>
      </c>
      <c r="N681">
        <v>0</v>
      </c>
      <c r="O681">
        <v>1</v>
      </c>
      <c r="P681">
        <v>0</v>
      </c>
      <c r="Q681">
        <v>0</v>
      </c>
      <c r="R681">
        <v>89</v>
      </c>
      <c r="S681">
        <v>170</v>
      </c>
      <c r="T681">
        <v>31</v>
      </c>
      <c r="U681">
        <v>1</v>
      </c>
      <c r="V681" s="53" t="str">
        <f>IFERROR(
IF(tbl_abs[[#This Row],[Month of absence]]=0,"Unknown",
CHOOSE(tbl_abs[[#This Row],[Month of absence]],
"Jan","Feb","Mar","Apr","May","Jun","Jul","Aug","Sep","Oct","Nov","Dec")),"")</f>
        <v>Nov</v>
      </c>
      <c r="W681" s="53" t="str">
        <f>IFERROR(
IF(tbl_abs[[#This Row],[Age]]&lt;30,"&lt;30",
IF(tbl_abs[[#This Row],[Age]]&lt;40,"30–39",
IF(tbl_abs[[#This Row],[Age]]&lt;50,"40–49",
IF(tbl_abs[[#This Row],[Age]]&lt;60,"50–59",
"60+")))),"")</f>
        <v>30–39</v>
      </c>
      <c r="X681" s="53" t="str">
        <f>IFERROR(
IF(tbl_abs[[#This Row],[Distance from Residence to Work]]&lt;=5,"0–5",
IF(tbl_abs[[#This Row],[Distance from Residence to Work]]&lt;=10,"6–10",
IF(tbl_abs[[#This Row],[Distance from Residence to Work]]&lt;=20,"11–20",
"21+"))),"")</f>
        <v>21+</v>
      </c>
      <c r="Y681" s="53" t="str">
        <f>IFERROR(
IF(tbl_abs[[#This Row],[Body Mass Index]]&lt;18.5,"Underweight",
IF(tbl_abs[[#This Row],[Body Mass Index]]&lt;25,"Normal",
IF(tbl_abs[[#This Row],[Body Mass Index]]&lt;30,"Overweight",
"Obese"))),"")</f>
        <v>Obese</v>
      </c>
      <c r="Z681" s="53" t="str">
        <f>IFERROR(
IF(tbl_abs[[#This Row],[Absenteeism time in hours]]&lt;=2,"0–2",
IF(tbl_abs[[#This Row],[Absenteeism time in hours]]&lt;=8,"3–8",
IF(tbl_abs[[#This Row],[Absenteeism time in hours]]&lt;=16,"9–16",
"17+"))),"")</f>
        <v>0–2</v>
      </c>
    </row>
    <row r="682" spans="1:26" ht="15" customHeight="1" x14ac:dyDescent="0.3">
      <c r="A682">
        <v>34</v>
      </c>
      <c r="B682">
        <v>23</v>
      </c>
      <c r="C682" s="1">
        <v>11</v>
      </c>
      <c r="D682">
        <v>2</v>
      </c>
      <c r="E682">
        <v>4</v>
      </c>
      <c r="F682">
        <v>118</v>
      </c>
      <c r="G682" s="1">
        <v>10</v>
      </c>
      <c r="H682">
        <v>10</v>
      </c>
      <c r="I682" s="1">
        <v>37</v>
      </c>
      <c r="J682" s="2">
        <v>268519</v>
      </c>
      <c r="K682">
        <v>93</v>
      </c>
      <c r="L682">
        <v>0</v>
      </c>
      <c r="M682">
        <v>1</v>
      </c>
      <c r="N682">
        <v>0</v>
      </c>
      <c r="O682">
        <v>0</v>
      </c>
      <c r="P682">
        <v>0</v>
      </c>
      <c r="Q682">
        <v>0</v>
      </c>
      <c r="R682">
        <v>83</v>
      </c>
      <c r="S682">
        <v>172</v>
      </c>
      <c r="T682">
        <v>28</v>
      </c>
      <c r="U682">
        <v>8</v>
      </c>
      <c r="V682" s="53" t="str">
        <f>IFERROR(
IF(tbl_abs[[#This Row],[Month of absence]]=0,"Unknown",
CHOOSE(tbl_abs[[#This Row],[Month of absence]],
"Jan","Feb","Mar","Apr","May","Jun","Jul","Aug","Sep","Oct","Nov","Dec")),"")</f>
        <v>Nov</v>
      </c>
      <c r="W682" s="53" t="str">
        <f>IFERROR(
IF(tbl_abs[[#This Row],[Age]]&lt;30,"&lt;30",
IF(tbl_abs[[#This Row],[Age]]&lt;40,"30–39",
IF(tbl_abs[[#This Row],[Age]]&lt;50,"40–49",
IF(tbl_abs[[#This Row],[Age]]&lt;60,"50–59",
"60+")))),"")</f>
        <v>30–39</v>
      </c>
      <c r="X682" s="53" t="str">
        <f>IFERROR(
IF(tbl_abs[[#This Row],[Distance from Residence to Work]]&lt;=5,"0–5",
IF(tbl_abs[[#This Row],[Distance from Residence to Work]]&lt;=10,"6–10",
IF(tbl_abs[[#This Row],[Distance from Residence to Work]]&lt;=20,"11–20",
"21+"))),"")</f>
        <v>6–10</v>
      </c>
      <c r="Y682" s="53" t="str">
        <f>IFERROR(
IF(tbl_abs[[#This Row],[Body Mass Index]]&lt;18.5,"Underweight",
IF(tbl_abs[[#This Row],[Body Mass Index]]&lt;25,"Normal",
IF(tbl_abs[[#This Row],[Body Mass Index]]&lt;30,"Overweight",
"Obese"))),"")</f>
        <v>Overweight</v>
      </c>
      <c r="Z682" s="53" t="str">
        <f>IFERROR(
IF(tbl_abs[[#This Row],[Absenteeism time in hours]]&lt;=2,"0–2",
IF(tbl_abs[[#This Row],[Absenteeism time in hours]]&lt;=8,"3–8",
IF(tbl_abs[[#This Row],[Absenteeism time in hours]]&lt;=16,"9–16",
"17+"))),"")</f>
        <v>3–8</v>
      </c>
    </row>
    <row r="683" spans="1:26" ht="15" customHeight="1" x14ac:dyDescent="0.3">
      <c r="A683">
        <v>34</v>
      </c>
      <c r="B683">
        <v>8</v>
      </c>
      <c r="C683" s="1">
        <v>11</v>
      </c>
      <c r="D683">
        <v>3</v>
      </c>
      <c r="E683">
        <v>4</v>
      </c>
      <c r="F683">
        <v>118</v>
      </c>
      <c r="G683" s="1">
        <v>10</v>
      </c>
      <c r="H683">
        <v>10</v>
      </c>
      <c r="I683" s="1">
        <v>37</v>
      </c>
      <c r="J683" s="2">
        <v>268519</v>
      </c>
      <c r="K683">
        <v>93</v>
      </c>
      <c r="L683">
        <v>0</v>
      </c>
      <c r="M683">
        <v>1</v>
      </c>
      <c r="N683">
        <v>0</v>
      </c>
      <c r="O683">
        <v>0</v>
      </c>
      <c r="P683">
        <v>0</v>
      </c>
      <c r="Q683">
        <v>0</v>
      </c>
      <c r="R683">
        <v>83</v>
      </c>
      <c r="S683">
        <v>172</v>
      </c>
      <c r="T683">
        <v>28</v>
      </c>
      <c r="U683">
        <v>8</v>
      </c>
      <c r="V683" s="53" t="str">
        <f>IFERROR(
IF(tbl_abs[[#This Row],[Month of absence]]=0,"Unknown",
CHOOSE(tbl_abs[[#This Row],[Month of absence]],
"Jan","Feb","Mar","Apr","May","Jun","Jul","Aug","Sep","Oct","Nov","Dec")),"")</f>
        <v>Nov</v>
      </c>
      <c r="W683" s="53" t="str">
        <f>IFERROR(
IF(tbl_abs[[#This Row],[Age]]&lt;30,"&lt;30",
IF(tbl_abs[[#This Row],[Age]]&lt;40,"30–39",
IF(tbl_abs[[#This Row],[Age]]&lt;50,"40–49",
IF(tbl_abs[[#This Row],[Age]]&lt;60,"50–59",
"60+")))),"")</f>
        <v>30–39</v>
      </c>
      <c r="X683" s="53" t="str">
        <f>IFERROR(
IF(tbl_abs[[#This Row],[Distance from Residence to Work]]&lt;=5,"0–5",
IF(tbl_abs[[#This Row],[Distance from Residence to Work]]&lt;=10,"6–10",
IF(tbl_abs[[#This Row],[Distance from Residence to Work]]&lt;=20,"11–20",
"21+"))),"")</f>
        <v>6–10</v>
      </c>
      <c r="Y683" s="53" t="str">
        <f>IFERROR(
IF(tbl_abs[[#This Row],[Body Mass Index]]&lt;18.5,"Underweight",
IF(tbl_abs[[#This Row],[Body Mass Index]]&lt;25,"Normal",
IF(tbl_abs[[#This Row],[Body Mass Index]]&lt;30,"Overweight",
"Obese"))),"")</f>
        <v>Overweight</v>
      </c>
      <c r="Z683" s="53" t="str">
        <f>IFERROR(
IF(tbl_abs[[#This Row],[Absenteeism time in hours]]&lt;=2,"0–2",
IF(tbl_abs[[#This Row],[Absenteeism time in hours]]&lt;=8,"3–8",
IF(tbl_abs[[#This Row],[Absenteeism time in hours]]&lt;=16,"9–16",
"17+"))),"")</f>
        <v>3–8</v>
      </c>
    </row>
    <row r="684" spans="1:26" ht="15" customHeight="1" x14ac:dyDescent="0.3">
      <c r="A684">
        <v>28</v>
      </c>
      <c r="B684">
        <v>23</v>
      </c>
      <c r="C684" s="1">
        <v>11</v>
      </c>
      <c r="D684">
        <v>3</v>
      </c>
      <c r="E684">
        <v>4</v>
      </c>
      <c r="F684">
        <v>225</v>
      </c>
      <c r="G684" s="1">
        <v>26</v>
      </c>
      <c r="H684">
        <v>9</v>
      </c>
      <c r="I684" s="1">
        <v>28</v>
      </c>
      <c r="J684" s="2">
        <v>268519</v>
      </c>
      <c r="K684">
        <v>93</v>
      </c>
      <c r="L684">
        <v>0</v>
      </c>
      <c r="M684">
        <v>1</v>
      </c>
      <c r="N684">
        <v>1</v>
      </c>
      <c r="O684">
        <v>0</v>
      </c>
      <c r="P684">
        <v>0</v>
      </c>
      <c r="Q684">
        <v>2</v>
      </c>
      <c r="R684">
        <v>69</v>
      </c>
      <c r="S684">
        <v>169</v>
      </c>
      <c r="T684">
        <v>24</v>
      </c>
      <c r="U684">
        <v>2</v>
      </c>
      <c r="V684" s="53" t="str">
        <f>IFERROR(
IF(tbl_abs[[#This Row],[Month of absence]]=0,"Unknown",
CHOOSE(tbl_abs[[#This Row],[Month of absence]],
"Jan","Feb","Mar","Apr","May","Jun","Jul","Aug","Sep","Oct","Nov","Dec")),"")</f>
        <v>Nov</v>
      </c>
      <c r="W684" s="53" t="str">
        <f>IFERROR(
IF(tbl_abs[[#This Row],[Age]]&lt;30,"&lt;30",
IF(tbl_abs[[#This Row],[Age]]&lt;40,"30–39",
IF(tbl_abs[[#This Row],[Age]]&lt;50,"40–49",
IF(tbl_abs[[#This Row],[Age]]&lt;60,"50–59",
"60+")))),"")</f>
        <v>&lt;30</v>
      </c>
      <c r="X684" s="53" t="str">
        <f>IFERROR(
IF(tbl_abs[[#This Row],[Distance from Residence to Work]]&lt;=5,"0–5",
IF(tbl_abs[[#This Row],[Distance from Residence to Work]]&lt;=10,"6–10",
IF(tbl_abs[[#This Row],[Distance from Residence to Work]]&lt;=20,"11–20",
"21+"))),"")</f>
        <v>21+</v>
      </c>
      <c r="Y684" s="53" t="str">
        <f>IFERROR(
IF(tbl_abs[[#This Row],[Body Mass Index]]&lt;18.5,"Underweight",
IF(tbl_abs[[#This Row],[Body Mass Index]]&lt;25,"Normal",
IF(tbl_abs[[#This Row],[Body Mass Index]]&lt;30,"Overweight",
"Obese"))),"")</f>
        <v>Normal</v>
      </c>
      <c r="Z684" s="53" t="str">
        <f>IFERROR(
IF(tbl_abs[[#This Row],[Absenteeism time in hours]]&lt;=2,"0–2",
IF(tbl_abs[[#This Row],[Absenteeism time in hours]]&lt;=8,"3–8",
IF(tbl_abs[[#This Row],[Absenteeism time in hours]]&lt;=16,"9–16",
"17+"))),"")</f>
        <v>0–2</v>
      </c>
    </row>
    <row r="685" spans="1:26" ht="15" customHeight="1" x14ac:dyDescent="0.3">
      <c r="A685">
        <v>15</v>
      </c>
      <c r="B685">
        <v>0</v>
      </c>
      <c r="C685" s="1">
        <v>11</v>
      </c>
      <c r="D685">
        <v>3</v>
      </c>
      <c r="E685">
        <v>4</v>
      </c>
      <c r="F685">
        <v>291</v>
      </c>
      <c r="G685" s="1">
        <v>31</v>
      </c>
      <c r="H685">
        <v>12</v>
      </c>
      <c r="I685" s="1">
        <v>40</v>
      </c>
      <c r="J685" s="2">
        <v>268519</v>
      </c>
      <c r="K685">
        <v>93</v>
      </c>
      <c r="L685">
        <v>1</v>
      </c>
      <c r="M685">
        <v>1</v>
      </c>
      <c r="N685">
        <v>1</v>
      </c>
      <c r="O685">
        <v>1</v>
      </c>
      <c r="P685">
        <v>0</v>
      </c>
      <c r="Q685">
        <v>1</v>
      </c>
      <c r="R685">
        <v>73</v>
      </c>
      <c r="S685">
        <v>171</v>
      </c>
      <c r="T685">
        <v>25</v>
      </c>
      <c r="U685">
        <v>0</v>
      </c>
      <c r="V685" s="53" t="str">
        <f>IFERROR(
IF(tbl_abs[[#This Row],[Month of absence]]=0,"Unknown",
CHOOSE(tbl_abs[[#This Row],[Month of absence]],
"Jan","Feb","Mar","Apr","May","Jun","Jul","Aug","Sep","Oct","Nov","Dec")),"")</f>
        <v>Nov</v>
      </c>
      <c r="W685" s="53" t="str">
        <f>IFERROR(
IF(tbl_abs[[#This Row],[Age]]&lt;30,"&lt;30",
IF(tbl_abs[[#This Row],[Age]]&lt;40,"30–39",
IF(tbl_abs[[#This Row],[Age]]&lt;50,"40–49",
IF(tbl_abs[[#This Row],[Age]]&lt;60,"50–59",
"60+")))),"")</f>
        <v>40–49</v>
      </c>
      <c r="X685" s="53" t="str">
        <f>IFERROR(
IF(tbl_abs[[#This Row],[Distance from Residence to Work]]&lt;=5,"0–5",
IF(tbl_abs[[#This Row],[Distance from Residence to Work]]&lt;=10,"6–10",
IF(tbl_abs[[#This Row],[Distance from Residence to Work]]&lt;=20,"11–20",
"21+"))),"")</f>
        <v>21+</v>
      </c>
      <c r="Y685" s="53" t="str">
        <f>IFERROR(
IF(tbl_abs[[#This Row],[Body Mass Index]]&lt;18.5,"Underweight",
IF(tbl_abs[[#This Row],[Body Mass Index]]&lt;25,"Normal",
IF(tbl_abs[[#This Row],[Body Mass Index]]&lt;30,"Overweight",
"Obese"))),"")</f>
        <v>Overweight</v>
      </c>
      <c r="Z685" s="53" t="str">
        <f>IFERROR(
IF(tbl_abs[[#This Row],[Absenteeism time in hours]]&lt;=2,"0–2",
IF(tbl_abs[[#This Row],[Absenteeism time in hours]]&lt;=8,"3–8",
IF(tbl_abs[[#This Row],[Absenteeism time in hours]]&lt;=16,"9–16",
"17+"))),"")</f>
        <v>0–2</v>
      </c>
    </row>
    <row r="686" spans="1:26" ht="15" customHeight="1" x14ac:dyDescent="0.3">
      <c r="A686">
        <v>11</v>
      </c>
      <c r="B686">
        <v>0</v>
      </c>
      <c r="C686" s="1">
        <v>11</v>
      </c>
      <c r="D686">
        <v>4</v>
      </c>
      <c r="E686">
        <v>4</v>
      </c>
      <c r="F686">
        <v>289</v>
      </c>
      <c r="G686" s="1">
        <v>36</v>
      </c>
      <c r="H686">
        <v>13</v>
      </c>
      <c r="I686" s="1">
        <v>33</v>
      </c>
      <c r="J686" s="2">
        <v>268519</v>
      </c>
      <c r="K686">
        <v>93</v>
      </c>
      <c r="L686">
        <v>1</v>
      </c>
      <c r="M686">
        <v>1</v>
      </c>
      <c r="N686">
        <v>2</v>
      </c>
      <c r="O686">
        <v>1</v>
      </c>
      <c r="P686">
        <v>0</v>
      </c>
      <c r="Q686">
        <v>1</v>
      </c>
      <c r="R686">
        <v>90</v>
      </c>
      <c r="S686">
        <v>172</v>
      </c>
      <c r="T686">
        <v>30</v>
      </c>
      <c r="U686">
        <v>0</v>
      </c>
      <c r="V686" s="53" t="str">
        <f>IFERROR(
IF(tbl_abs[[#This Row],[Month of absence]]=0,"Unknown",
CHOOSE(tbl_abs[[#This Row],[Month of absence]],
"Jan","Feb","Mar","Apr","May","Jun","Jul","Aug","Sep","Oct","Nov","Dec")),"")</f>
        <v>Nov</v>
      </c>
      <c r="W686" s="53" t="str">
        <f>IFERROR(
IF(tbl_abs[[#This Row],[Age]]&lt;30,"&lt;30",
IF(tbl_abs[[#This Row],[Age]]&lt;40,"30–39",
IF(tbl_abs[[#This Row],[Age]]&lt;50,"40–49",
IF(tbl_abs[[#This Row],[Age]]&lt;60,"50–59",
"60+")))),"")</f>
        <v>30–39</v>
      </c>
      <c r="X686" s="53" t="str">
        <f>IFERROR(
IF(tbl_abs[[#This Row],[Distance from Residence to Work]]&lt;=5,"0–5",
IF(tbl_abs[[#This Row],[Distance from Residence to Work]]&lt;=10,"6–10",
IF(tbl_abs[[#This Row],[Distance from Residence to Work]]&lt;=20,"11–20",
"21+"))),"")</f>
        <v>21+</v>
      </c>
      <c r="Y686" s="53" t="str">
        <f>IFERROR(
IF(tbl_abs[[#This Row],[Body Mass Index]]&lt;18.5,"Underweight",
IF(tbl_abs[[#This Row],[Body Mass Index]]&lt;25,"Normal",
IF(tbl_abs[[#This Row],[Body Mass Index]]&lt;30,"Overweight",
"Obese"))),"")</f>
        <v>Obese</v>
      </c>
      <c r="Z686" s="53" t="str">
        <f>IFERROR(
IF(tbl_abs[[#This Row],[Absenteeism time in hours]]&lt;=2,"0–2",
IF(tbl_abs[[#This Row],[Absenteeism time in hours]]&lt;=8,"3–8",
IF(tbl_abs[[#This Row],[Absenteeism time in hours]]&lt;=16,"9–16",
"17+"))),"")</f>
        <v>0–2</v>
      </c>
    </row>
    <row r="687" spans="1:26" ht="15" customHeight="1" x14ac:dyDescent="0.3">
      <c r="A687">
        <v>33</v>
      </c>
      <c r="B687">
        <v>14</v>
      </c>
      <c r="C687" s="1">
        <v>11</v>
      </c>
      <c r="D687">
        <v>5</v>
      </c>
      <c r="E687">
        <v>4</v>
      </c>
      <c r="F687">
        <v>248</v>
      </c>
      <c r="G687" s="1">
        <v>25</v>
      </c>
      <c r="H687">
        <v>14</v>
      </c>
      <c r="I687" s="1">
        <v>47</v>
      </c>
      <c r="J687" s="2">
        <v>268519</v>
      </c>
      <c r="K687">
        <v>93</v>
      </c>
      <c r="L687">
        <v>0</v>
      </c>
      <c r="M687">
        <v>1</v>
      </c>
      <c r="N687">
        <v>2</v>
      </c>
      <c r="O687">
        <v>0</v>
      </c>
      <c r="P687">
        <v>0</v>
      </c>
      <c r="Q687">
        <v>1</v>
      </c>
      <c r="R687">
        <v>86</v>
      </c>
      <c r="S687">
        <v>165</v>
      </c>
      <c r="T687">
        <v>32</v>
      </c>
      <c r="U687">
        <v>4</v>
      </c>
      <c r="V687" s="53" t="str">
        <f>IFERROR(
IF(tbl_abs[[#This Row],[Month of absence]]=0,"Unknown",
CHOOSE(tbl_abs[[#This Row],[Month of absence]],
"Jan","Feb","Mar","Apr","May","Jun","Jul","Aug","Sep","Oct","Nov","Dec")),"")</f>
        <v>Nov</v>
      </c>
      <c r="W687" s="53" t="str">
        <f>IFERROR(
IF(tbl_abs[[#This Row],[Age]]&lt;30,"&lt;30",
IF(tbl_abs[[#This Row],[Age]]&lt;40,"30–39",
IF(tbl_abs[[#This Row],[Age]]&lt;50,"40–49",
IF(tbl_abs[[#This Row],[Age]]&lt;60,"50–59",
"60+")))),"")</f>
        <v>40–49</v>
      </c>
      <c r="X687" s="53" t="str">
        <f>IFERROR(
IF(tbl_abs[[#This Row],[Distance from Residence to Work]]&lt;=5,"0–5",
IF(tbl_abs[[#This Row],[Distance from Residence to Work]]&lt;=10,"6–10",
IF(tbl_abs[[#This Row],[Distance from Residence to Work]]&lt;=20,"11–20",
"21+"))),"")</f>
        <v>21+</v>
      </c>
      <c r="Y687" s="53" t="str">
        <f>IFERROR(
IF(tbl_abs[[#This Row],[Body Mass Index]]&lt;18.5,"Underweight",
IF(tbl_abs[[#This Row],[Body Mass Index]]&lt;25,"Normal",
IF(tbl_abs[[#This Row],[Body Mass Index]]&lt;30,"Overweight",
"Obese"))),"")</f>
        <v>Obese</v>
      </c>
      <c r="Z687" s="53" t="str">
        <f>IFERROR(
IF(tbl_abs[[#This Row],[Absenteeism time in hours]]&lt;=2,"0–2",
IF(tbl_abs[[#This Row],[Absenteeism time in hours]]&lt;=8,"3–8",
IF(tbl_abs[[#This Row],[Absenteeism time in hours]]&lt;=16,"9–16",
"17+"))),"")</f>
        <v>3–8</v>
      </c>
    </row>
    <row r="688" spans="1:26" ht="15" customHeight="1" x14ac:dyDescent="0.3">
      <c r="A688">
        <v>5</v>
      </c>
      <c r="B688">
        <v>0</v>
      </c>
      <c r="C688" s="1">
        <v>11</v>
      </c>
      <c r="D688">
        <v>5</v>
      </c>
      <c r="E688">
        <v>4</v>
      </c>
      <c r="F688">
        <v>235</v>
      </c>
      <c r="G688" s="1">
        <v>20</v>
      </c>
      <c r="H688">
        <v>13</v>
      </c>
      <c r="I688" s="1">
        <v>43</v>
      </c>
      <c r="J688" s="2">
        <v>268519</v>
      </c>
      <c r="K688">
        <v>93</v>
      </c>
      <c r="L688">
        <v>1</v>
      </c>
      <c r="M688">
        <v>1</v>
      </c>
      <c r="N688">
        <v>1</v>
      </c>
      <c r="O688">
        <v>1</v>
      </c>
      <c r="P688">
        <v>0</v>
      </c>
      <c r="Q688">
        <v>0</v>
      </c>
      <c r="R688">
        <v>106</v>
      </c>
      <c r="S688">
        <v>167</v>
      </c>
      <c r="T688">
        <v>38</v>
      </c>
      <c r="V688" s="53" t="str">
        <f>IFERROR(
IF(tbl_abs[[#This Row],[Month of absence]]=0,"Unknown",
CHOOSE(tbl_abs[[#This Row],[Month of absence]],
"Jan","Feb","Mar","Apr","May","Jun","Jul","Aug","Sep","Oct","Nov","Dec")),"")</f>
        <v>Nov</v>
      </c>
      <c r="W688" s="53" t="str">
        <f>IFERROR(
IF(tbl_abs[[#This Row],[Age]]&lt;30,"&lt;30",
IF(tbl_abs[[#This Row],[Age]]&lt;40,"30–39",
IF(tbl_abs[[#This Row],[Age]]&lt;50,"40–49",
IF(tbl_abs[[#This Row],[Age]]&lt;60,"50–59",
"60+")))),"")</f>
        <v>40–49</v>
      </c>
      <c r="X688" s="53" t="str">
        <f>IFERROR(
IF(tbl_abs[[#This Row],[Distance from Residence to Work]]&lt;=5,"0–5",
IF(tbl_abs[[#This Row],[Distance from Residence to Work]]&lt;=10,"6–10",
IF(tbl_abs[[#This Row],[Distance from Residence to Work]]&lt;=20,"11–20",
"21+"))),"")</f>
        <v>11–20</v>
      </c>
      <c r="Y688" s="53" t="str">
        <f>IFERROR(
IF(tbl_abs[[#This Row],[Body Mass Index]]&lt;18.5,"Underweight",
IF(tbl_abs[[#This Row],[Body Mass Index]]&lt;25,"Normal",
IF(tbl_abs[[#This Row],[Body Mass Index]]&lt;30,"Overweight",
"Obese"))),"")</f>
        <v>Obese</v>
      </c>
      <c r="Z688" s="53" t="str">
        <f>IFERROR(
IF(tbl_abs[[#This Row],[Absenteeism time in hours]]&lt;=2,"0–2",
IF(tbl_abs[[#This Row],[Absenteeism time in hours]]&lt;=8,"3–8",
IF(tbl_abs[[#This Row],[Absenteeism time in hours]]&lt;=16,"9–16",
"17+"))),"")</f>
        <v>0–2</v>
      </c>
    </row>
    <row r="689" spans="1:26" ht="15" customHeight="1" x14ac:dyDescent="0.3">
      <c r="A689">
        <v>28</v>
      </c>
      <c r="B689">
        <v>23</v>
      </c>
      <c r="C689" s="1">
        <v>11</v>
      </c>
      <c r="D689">
        <v>6</v>
      </c>
      <c r="E689">
        <v>4</v>
      </c>
      <c r="F689">
        <v>225</v>
      </c>
      <c r="G689" s="1">
        <v>26</v>
      </c>
      <c r="H689">
        <v>9</v>
      </c>
      <c r="I689" s="1">
        <v>28</v>
      </c>
      <c r="J689" s="2">
        <v>268519</v>
      </c>
      <c r="K689">
        <v>93</v>
      </c>
      <c r="L689">
        <v>0</v>
      </c>
      <c r="M689">
        <v>1</v>
      </c>
      <c r="N689">
        <v>1</v>
      </c>
      <c r="O689">
        <v>0</v>
      </c>
      <c r="P689">
        <v>0</v>
      </c>
      <c r="Q689">
        <v>2</v>
      </c>
      <c r="R689">
        <v>69</v>
      </c>
      <c r="S689">
        <v>169</v>
      </c>
      <c r="T689">
        <v>24</v>
      </c>
      <c r="V689" s="53" t="str">
        <f>IFERROR(
IF(tbl_abs[[#This Row],[Month of absence]]=0,"Unknown",
CHOOSE(tbl_abs[[#This Row],[Month of absence]],
"Jan","Feb","Mar","Apr","May","Jun","Jul","Aug","Sep","Oct","Nov","Dec")),"")</f>
        <v>Nov</v>
      </c>
      <c r="W689" s="53" t="str">
        <f>IFERROR(
IF(tbl_abs[[#This Row],[Age]]&lt;30,"&lt;30",
IF(tbl_abs[[#This Row],[Age]]&lt;40,"30–39",
IF(tbl_abs[[#This Row],[Age]]&lt;50,"40–49",
IF(tbl_abs[[#This Row],[Age]]&lt;60,"50–59",
"60+")))),"")</f>
        <v>&lt;30</v>
      </c>
      <c r="X689" s="53" t="str">
        <f>IFERROR(
IF(tbl_abs[[#This Row],[Distance from Residence to Work]]&lt;=5,"0–5",
IF(tbl_abs[[#This Row],[Distance from Residence to Work]]&lt;=10,"6–10",
IF(tbl_abs[[#This Row],[Distance from Residence to Work]]&lt;=20,"11–20",
"21+"))),"")</f>
        <v>21+</v>
      </c>
      <c r="Y689" s="53" t="str">
        <f>IFERROR(
IF(tbl_abs[[#This Row],[Body Mass Index]]&lt;18.5,"Underweight",
IF(tbl_abs[[#This Row],[Body Mass Index]]&lt;25,"Normal",
IF(tbl_abs[[#This Row],[Body Mass Index]]&lt;30,"Overweight",
"Obese"))),"")</f>
        <v>Normal</v>
      </c>
      <c r="Z689" s="53" t="str">
        <f>IFERROR(
IF(tbl_abs[[#This Row],[Absenteeism time in hours]]&lt;=2,"0–2",
IF(tbl_abs[[#This Row],[Absenteeism time in hours]]&lt;=8,"3–8",
IF(tbl_abs[[#This Row],[Absenteeism time in hours]]&lt;=16,"9–16",
"17+"))),"")</f>
        <v>0–2</v>
      </c>
    </row>
    <row r="690" spans="1:26" ht="15" customHeight="1" x14ac:dyDescent="0.3">
      <c r="A690">
        <v>13</v>
      </c>
      <c r="B690">
        <v>26</v>
      </c>
      <c r="C690" s="1">
        <v>11</v>
      </c>
      <c r="D690">
        <v>6</v>
      </c>
      <c r="E690">
        <v>4</v>
      </c>
      <c r="F690">
        <v>369</v>
      </c>
      <c r="G690" s="1">
        <v>17</v>
      </c>
      <c r="H690">
        <v>12</v>
      </c>
      <c r="I690" s="1">
        <v>31</v>
      </c>
      <c r="J690" s="2">
        <v>268519</v>
      </c>
      <c r="K690">
        <v>93</v>
      </c>
      <c r="L690">
        <v>0</v>
      </c>
      <c r="M690">
        <v>1</v>
      </c>
      <c r="N690">
        <v>3</v>
      </c>
      <c r="O690">
        <v>1</v>
      </c>
      <c r="P690">
        <v>0</v>
      </c>
      <c r="Q690">
        <v>0</v>
      </c>
      <c r="R690">
        <v>70</v>
      </c>
      <c r="S690">
        <v>169</v>
      </c>
      <c r="T690">
        <v>25</v>
      </c>
      <c r="V690" s="53" t="str">
        <f>IFERROR(
IF(tbl_abs[[#This Row],[Month of absence]]=0,"Unknown",
CHOOSE(tbl_abs[[#This Row],[Month of absence]],
"Jan","Feb","Mar","Apr","May","Jun","Jul","Aug","Sep","Oct","Nov","Dec")),"")</f>
        <v>Nov</v>
      </c>
      <c r="W690" s="53" t="str">
        <f>IFERROR(
IF(tbl_abs[[#This Row],[Age]]&lt;30,"&lt;30",
IF(tbl_abs[[#This Row],[Age]]&lt;40,"30–39",
IF(tbl_abs[[#This Row],[Age]]&lt;50,"40–49",
IF(tbl_abs[[#This Row],[Age]]&lt;60,"50–59",
"60+")))),"")</f>
        <v>30–39</v>
      </c>
      <c r="X690" s="53" t="str">
        <f>IFERROR(
IF(tbl_abs[[#This Row],[Distance from Residence to Work]]&lt;=5,"0–5",
IF(tbl_abs[[#This Row],[Distance from Residence to Work]]&lt;=10,"6–10",
IF(tbl_abs[[#This Row],[Distance from Residence to Work]]&lt;=20,"11–20",
"21+"))),"")</f>
        <v>11–20</v>
      </c>
      <c r="Y690" s="53" t="str">
        <f>IFERROR(
IF(tbl_abs[[#This Row],[Body Mass Index]]&lt;18.5,"Underweight",
IF(tbl_abs[[#This Row],[Body Mass Index]]&lt;25,"Normal",
IF(tbl_abs[[#This Row],[Body Mass Index]]&lt;30,"Overweight",
"Obese"))),"")</f>
        <v>Overweight</v>
      </c>
      <c r="Z690" s="53" t="str">
        <f>IFERROR(
IF(tbl_abs[[#This Row],[Absenteeism time in hours]]&lt;=2,"0–2",
IF(tbl_abs[[#This Row],[Absenteeism time in hours]]&lt;=8,"3–8",
IF(tbl_abs[[#This Row],[Absenteeism time in hours]]&lt;=16,"9–16",
"17+"))),"")</f>
        <v>0–2</v>
      </c>
    </row>
    <row r="691" spans="1:26" ht="15" customHeight="1" x14ac:dyDescent="0.3">
      <c r="A691">
        <v>10</v>
      </c>
      <c r="B691">
        <v>28</v>
      </c>
      <c r="C691" s="1">
        <v>11</v>
      </c>
      <c r="D691">
        <v>2</v>
      </c>
      <c r="E691">
        <v>4</v>
      </c>
      <c r="F691">
        <v>361</v>
      </c>
      <c r="G691" s="1">
        <v>52</v>
      </c>
      <c r="H691">
        <v>3</v>
      </c>
      <c r="I691" s="1">
        <v>28</v>
      </c>
      <c r="J691" s="2">
        <v>268519</v>
      </c>
      <c r="K691">
        <v>93</v>
      </c>
      <c r="L691">
        <v>0</v>
      </c>
      <c r="M691">
        <v>1</v>
      </c>
      <c r="N691">
        <v>1</v>
      </c>
      <c r="O691">
        <v>1</v>
      </c>
      <c r="P691">
        <v>0</v>
      </c>
      <c r="Q691">
        <v>4</v>
      </c>
      <c r="R691">
        <v>80</v>
      </c>
      <c r="S691">
        <v>172</v>
      </c>
      <c r="T691">
        <v>27</v>
      </c>
      <c r="U691">
        <v>2</v>
      </c>
      <c r="V691" s="53" t="str">
        <f>IFERROR(
IF(tbl_abs[[#This Row],[Month of absence]]=0,"Unknown",
CHOOSE(tbl_abs[[#This Row],[Month of absence]],
"Jan","Feb","Mar","Apr","May","Jun","Jul","Aug","Sep","Oct","Nov","Dec")),"")</f>
        <v>Nov</v>
      </c>
      <c r="W691" s="53" t="str">
        <f>IFERROR(
IF(tbl_abs[[#This Row],[Age]]&lt;30,"&lt;30",
IF(tbl_abs[[#This Row],[Age]]&lt;40,"30–39",
IF(tbl_abs[[#This Row],[Age]]&lt;50,"40–49",
IF(tbl_abs[[#This Row],[Age]]&lt;60,"50–59",
"60+")))),"")</f>
        <v>&lt;30</v>
      </c>
      <c r="X691" s="53" t="str">
        <f>IFERROR(
IF(tbl_abs[[#This Row],[Distance from Residence to Work]]&lt;=5,"0–5",
IF(tbl_abs[[#This Row],[Distance from Residence to Work]]&lt;=10,"6–10",
IF(tbl_abs[[#This Row],[Distance from Residence to Work]]&lt;=20,"11–20",
"21+"))),"")</f>
        <v>21+</v>
      </c>
      <c r="Y691" s="53" t="str">
        <f>IFERROR(
IF(tbl_abs[[#This Row],[Body Mass Index]]&lt;18.5,"Underweight",
IF(tbl_abs[[#This Row],[Body Mass Index]]&lt;25,"Normal",
IF(tbl_abs[[#This Row],[Body Mass Index]]&lt;30,"Overweight",
"Obese"))),"")</f>
        <v>Overweight</v>
      </c>
      <c r="Z691" s="53" t="str">
        <f>IFERROR(
IF(tbl_abs[[#This Row],[Absenteeism time in hours]]&lt;=2,"0–2",
IF(tbl_abs[[#This Row],[Absenteeism time in hours]]&lt;=8,"3–8",
IF(tbl_abs[[#This Row],[Absenteeism time in hours]]&lt;=16,"9–16",
"17+"))),"")</f>
        <v>0–2</v>
      </c>
    </row>
    <row r="692" spans="1:26" ht="15" customHeight="1" x14ac:dyDescent="0.3">
      <c r="A692">
        <v>33</v>
      </c>
      <c r="B692">
        <v>23</v>
      </c>
      <c r="C692" s="1">
        <v>12</v>
      </c>
      <c r="D692">
        <v>3</v>
      </c>
      <c r="E692">
        <v>4</v>
      </c>
      <c r="F692">
        <v>248</v>
      </c>
      <c r="G692" s="1">
        <v>25</v>
      </c>
      <c r="H692">
        <v>14</v>
      </c>
      <c r="I692" s="1">
        <v>47</v>
      </c>
      <c r="J692" s="2">
        <v>261306</v>
      </c>
      <c r="K692">
        <v>97</v>
      </c>
      <c r="L692">
        <v>0</v>
      </c>
      <c r="M692">
        <v>1</v>
      </c>
      <c r="N692">
        <v>2</v>
      </c>
      <c r="O692">
        <v>0</v>
      </c>
      <c r="P692">
        <v>0</v>
      </c>
      <c r="Q692">
        <v>1</v>
      </c>
      <c r="R692">
        <v>86</v>
      </c>
      <c r="S692">
        <v>165</v>
      </c>
      <c r="T692">
        <v>32</v>
      </c>
      <c r="U692">
        <v>1</v>
      </c>
      <c r="V692" s="53" t="str">
        <f>IFERROR(
IF(tbl_abs[[#This Row],[Month of absence]]=0,"Unknown",
CHOOSE(tbl_abs[[#This Row],[Month of absence]],
"Jan","Feb","Mar","Apr","May","Jun","Jul","Aug","Sep","Oct","Nov","Dec")),"")</f>
        <v>Dec</v>
      </c>
      <c r="W692" s="53" t="str">
        <f>IFERROR(
IF(tbl_abs[[#This Row],[Age]]&lt;30,"&lt;30",
IF(tbl_abs[[#This Row],[Age]]&lt;40,"30–39",
IF(tbl_abs[[#This Row],[Age]]&lt;50,"40–49",
IF(tbl_abs[[#This Row],[Age]]&lt;60,"50–59",
"60+")))),"")</f>
        <v>40–49</v>
      </c>
      <c r="X692" s="53" t="str">
        <f>IFERROR(
IF(tbl_abs[[#This Row],[Distance from Residence to Work]]&lt;=5,"0–5",
IF(tbl_abs[[#This Row],[Distance from Residence to Work]]&lt;=10,"6–10",
IF(tbl_abs[[#This Row],[Distance from Residence to Work]]&lt;=20,"11–20",
"21+"))),"")</f>
        <v>21+</v>
      </c>
      <c r="Y692" s="53" t="str">
        <f>IFERROR(
IF(tbl_abs[[#This Row],[Body Mass Index]]&lt;18.5,"Underweight",
IF(tbl_abs[[#This Row],[Body Mass Index]]&lt;25,"Normal",
IF(tbl_abs[[#This Row],[Body Mass Index]]&lt;30,"Overweight",
"Obese"))),"")</f>
        <v>Obese</v>
      </c>
      <c r="Z692" s="53" t="str">
        <f>IFERROR(
IF(tbl_abs[[#This Row],[Absenteeism time in hours]]&lt;=2,"0–2",
IF(tbl_abs[[#This Row],[Absenteeism time in hours]]&lt;=8,"3–8",
IF(tbl_abs[[#This Row],[Absenteeism time in hours]]&lt;=16,"9–16",
"17+"))),"")</f>
        <v>0–2</v>
      </c>
    </row>
    <row r="693" spans="1:26" ht="15" customHeight="1" x14ac:dyDescent="0.3">
      <c r="A693">
        <v>34</v>
      </c>
      <c r="B693">
        <v>19</v>
      </c>
      <c r="C693" s="1">
        <v>12</v>
      </c>
      <c r="D693">
        <v>3</v>
      </c>
      <c r="E693">
        <v>4</v>
      </c>
      <c r="F693">
        <v>118</v>
      </c>
      <c r="G693" s="1">
        <v>10</v>
      </c>
      <c r="H693">
        <v>10</v>
      </c>
      <c r="I693" s="1">
        <v>37</v>
      </c>
      <c r="J693" s="2">
        <v>261306</v>
      </c>
      <c r="K693">
        <v>97</v>
      </c>
      <c r="L693">
        <v>0</v>
      </c>
      <c r="M693">
        <v>1</v>
      </c>
      <c r="N693">
        <v>0</v>
      </c>
      <c r="O693">
        <v>0</v>
      </c>
      <c r="P693">
        <v>0</v>
      </c>
      <c r="Q693">
        <v>0</v>
      </c>
      <c r="R693">
        <v>83</v>
      </c>
      <c r="S693">
        <v>172</v>
      </c>
      <c r="U693">
        <v>64</v>
      </c>
      <c r="V693" s="53" t="str">
        <f>IFERROR(
IF(tbl_abs[[#This Row],[Month of absence]]=0,"Unknown",
CHOOSE(tbl_abs[[#This Row],[Month of absence]],
"Jan","Feb","Mar","Apr","May","Jun","Jul","Aug","Sep","Oct","Nov","Dec")),"")</f>
        <v>Dec</v>
      </c>
      <c r="W693" s="53" t="str">
        <f>IFERROR(
IF(tbl_abs[[#This Row],[Age]]&lt;30,"&lt;30",
IF(tbl_abs[[#This Row],[Age]]&lt;40,"30–39",
IF(tbl_abs[[#This Row],[Age]]&lt;50,"40–49",
IF(tbl_abs[[#This Row],[Age]]&lt;60,"50–59",
"60+")))),"")</f>
        <v>30–39</v>
      </c>
      <c r="X693" s="53" t="str">
        <f>IFERROR(
IF(tbl_abs[[#This Row],[Distance from Residence to Work]]&lt;=5,"0–5",
IF(tbl_abs[[#This Row],[Distance from Residence to Work]]&lt;=10,"6–10",
IF(tbl_abs[[#This Row],[Distance from Residence to Work]]&lt;=20,"11–20",
"21+"))),"")</f>
        <v>6–10</v>
      </c>
      <c r="Y693" s="53" t="str">
        <f>IFERROR(
IF(tbl_abs[[#This Row],[Body Mass Index]]&lt;18.5,"Underweight",
IF(tbl_abs[[#This Row],[Body Mass Index]]&lt;25,"Normal",
IF(tbl_abs[[#This Row],[Body Mass Index]]&lt;30,"Overweight",
"Obese"))),"")</f>
        <v>Underweight</v>
      </c>
      <c r="Z693" s="53" t="str">
        <f>IFERROR(
IF(tbl_abs[[#This Row],[Absenteeism time in hours]]&lt;=2,"0–2",
IF(tbl_abs[[#This Row],[Absenteeism time in hours]]&lt;=8,"3–8",
IF(tbl_abs[[#This Row],[Absenteeism time in hours]]&lt;=16,"9–16",
"17+"))),"")</f>
        <v>17+</v>
      </c>
    </row>
    <row r="694" spans="1:26" ht="15" customHeight="1" x14ac:dyDescent="0.3">
      <c r="A694">
        <v>36</v>
      </c>
      <c r="B694">
        <v>23</v>
      </c>
      <c r="C694" s="1">
        <v>12</v>
      </c>
      <c r="D694">
        <v>4</v>
      </c>
      <c r="E694">
        <v>4</v>
      </c>
      <c r="F694">
        <v>118</v>
      </c>
      <c r="G694" s="1">
        <v>13</v>
      </c>
      <c r="H694">
        <v>18</v>
      </c>
      <c r="I694" s="1">
        <v>50</v>
      </c>
      <c r="J694" s="2">
        <v>261306</v>
      </c>
      <c r="K694">
        <v>97</v>
      </c>
      <c r="L694">
        <v>0</v>
      </c>
      <c r="M694">
        <v>1</v>
      </c>
      <c r="N694">
        <v>1</v>
      </c>
      <c r="O694">
        <v>1</v>
      </c>
      <c r="P694">
        <v>0</v>
      </c>
      <c r="Q694">
        <v>0</v>
      </c>
      <c r="R694">
        <v>98</v>
      </c>
      <c r="S694">
        <v>178</v>
      </c>
      <c r="U694">
        <v>2</v>
      </c>
      <c r="V694" s="53" t="str">
        <f>IFERROR(
IF(tbl_abs[[#This Row],[Month of absence]]=0,"Unknown",
CHOOSE(tbl_abs[[#This Row],[Month of absence]],
"Jan","Feb","Mar","Apr","May","Jun","Jul","Aug","Sep","Oct","Nov","Dec")),"")</f>
        <v>Dec</v>
      </c>
      <c r="W694" s="53" t="str">
        <f>IFERROR(
IF(tbl_abs[[#This Row],[Age]]&lt;30,"&lt;30",
IF(tbl_abs[[#This Row],[Age]]&lt;40,"30–39",
IF(tbl_abs[[#This Row],[Age]]&lt;50,"40–49",
IF(tbl_abs[[#This Row],[Age]]&lt;60,"50–59",
"60+")))),"")</f>
        <v>50–59</v>
      </c>
      <c r="X694" s="53" t="str">
        <f>IFERROR(
IF(tbl_abs[[#This Row],[Distance from Residence to Work]]&lt;=5,"0–5",
IF(tbl_abs[[#This Row],[Distance from Residence to Work]]&lt;=10,"6–10",
IF(tbl_abs[[#This Row],[Distance from Residence to Work]]&lt;=20,"11–20",
"21+"))),"")</f>
        <v>11–20</v>
      </c>
      <c r="Y694" s="53" t="str">
        <f>IFERROR(
IF(tbl_abs[[#This Row],[Body Mass Index]]&lt;18.5,"Underweight",
IF(tbl_abs[[#This Row],[Body Mass Index]]&lt;25,"Normal",
IF(tbl_abs[[#This Row],[Body Mass Index]]&lt;30,"Overweight",
"Obese"))),"")</f>
        <v>Underweight</v>
      </c>
      <c r="Z694" s="53" t="str">
        <f>IFERROR(
IF(tbl_abs[[#This Row],[Absenteeism time in hours]]&lt;=2,"0–2",
IF(tbl_abs[[#This Row],[Absenteeism time in hours]]&lt;=8,"3–8",
IF(tbl_abs[[#This Row],[Absenteeism time in hours]]&lt;=16,"9–16",
"17+"))),"")</f>
        <v>0–2</v>
      </c>
    </row>
    <row r="695" spans="1:26" ht="15" customHeight="1" x14ac:dyDescent="0.3">
      <c r="A695">
        <v>1</v>
      </c>
      <c r="B695">
        <v>26</v>
      </c>
      <c r="C695" s="1">
        <v>12</v>
      </c>
      <c r="D695">
        <v>4</v>
      </c>
      <c r="E695">
        <v>4</v>
      </c>
      <c r="F695">
        <v>235</v>
      </c>
      <c r="G695" s="1">
        <v>11</v>
      </c>
      <c r="H695">
        <v>14</v>
      </c>
      <c r="I695" s="1">
        <v>37</v>
      </c>
      <c r="J695" s="2">
        <v>261306</v>
      </c>
      <c r="K695">
        <v>97</v>
      </c>
      <c r="L695">
        <v>0</v>
      </c>
      <c r="M695">
        <v>3</v>
      </c>
      <c r="N695">
        <v>1</v>
      </c>
      <c r="O695">
        <v>0</v>
      </c>
      <c r="P695">
        <v>0</v>
      </c>
      <c r="Q695">
        <v>1</v>
      </c>
      <c r="R695">
        <v>88</v>
      </c>
      <c r="S695">
        <v>172</v>
      </c>
      <c r="T695">
        <v>29</v>
      </c>
      <c r="U695">
        <v>8</v>
      </c>
      <c r="V695" s="53" t="str">
        <f>IFERROR(
IF(tbl_abs[[#This Row],[Month of absence]]=0,"Unknown",
CHOOSE(tbl_abs[[#This Row],[Month of absence]],
"Jan","Feb","Mar","Apr","May","Jun","Jul","Aug","Sep","Oct","Nov","Dec")),"")</f>
        <v>Dec</v>
      </c>
      <c r="W695" s="53" t="str">
        <f>IFERROR(
IF(tbl_abs[[#This Row],[Age]]&lt;30,"&lt;30",
IF(tbl_abs[[#This Row],[Age]]&lt;40,"30–39",
IF(tbl_abs[[#This Row],[Age]]&lt;50,"40–49",
IF(tbl_abs[[#This Row],[Age]]&lt;60,"50–59",
"60+")))),"")</f>
        <v>30–39</v>
      </c>
      <c r="X695" s="53" t="str">
        <f>IFERROR(
IF(tbl_abs[[#This Row],[Distance from Residence to Work]]&lt;=5,"0–5",
IF(tbl_abs[[#This Row],[Distance from Residence to Work]]&lt;=10,"6–10",
IF(tbl_abs[[#This Row],[Distance from Residence to Work]]&lt;=20,"11–20",
"21+"))),"")</f>
        <v>11–20</v>
      </c>
      <c r="Y695" s="53" t="str">
        <f>IFERROR(
IF(tbl_abs[[#This Row],[Body Mass Index]]&lt;18.5,"Underweight",
IF(tbl_abs[[#This Row],[Body Mass Index]]&lt;25,"Normal",
IF(tbl_abs[[#This Row],[Body Mass Index]]&lt;30,"Overweight",
"Obese"))),"")</f>
        <v>Overweight</v>
      </c>
      <c r="Z695" s="53" t="str">
        <f>IFERROR(
IF(tbl_abs[[#This Row],[Absenteeism time in hours]]&lt;=2,"0–2",
IF(tbl_abs[[#This Row],[Absenteeism time in hours]]&lt;=8,"3–8",
IF(tbl_abs[[#This Row],[Absenteeism time in hours]]&lt;=16,"9–16",
"17+"))),"")</f>
        <v>3–8</v>
      </c>
    </row>
    <row r="696" spans="1:26" ht="15" customHeight="1" x14ac:dyDescent="0.3">
      <c r="A696">
        <v>28</v>
      </c>
      <c r="B696">
        <v>23</v>
      </c>
      <c r="C696" s="1">
        <v>12</v>
      </c>
      <c r="D696">
        <v>5</v>
      </c>
      <c r="E696">
        <v>4</v>
      </c>
      <c r="F696">
        <v>225</v>
      </c>
      <c r="G696" s="1">
        <v>26</v>
      </c>
      <c r="H696">
        <v>9</v>
      </c>
      <c r="I696" s="1">
        <v>28</v>
      </c>
      <c r="J696" s="2">
        <v>261306</v>
      </c>
      <c r="K696">
        <v>97</v>
      </c>
      <c r="L696">
        <v>0</v>
      </c>
      <c r="M696">
        <v>1</v>
      </c>
      <c r="N696">
        <v>1</v>
      </c>
      <c r="O696">
        <v>0</v>
      </c>
      <c r="P696">
        <v>0</v>
      </c>
      <c r="Q696">
        <v>2</v>
      </c>
      <c r="R696">
        <v>69</v>
      </c>
      <c r="S696">
        <v>169</v>
      </c>
      <c r="T696">
        <v>24</v>
      </c>
      <c r="U696">
        <v>2</v>
      </c>
      <c r="V696" s="53" t="str">
        <f>IFERROR(
IF(tbl_abs[[#This Row],[Month of absence]]=0,"Unknown",
CHOOSE(tbl_abs[[#This Row],[Month of absence]],
"Jan","Feb","Mar","Apr","May","Jun","Jul","Aug","Sep","Oct","Nov","Dec")),"")</f>
        <v>Dec</v>
      </c>
      <c r="W696" s="53" t="str">
        <f>IFERROR(
IF(tbl_abs[[#This Row],[Age]]&lt;30,"&lt;30",
IF(tbl_abs[[#This Row],[Age]]&lt;40,"30–39",
IF(tbl_abs[[#This Row],[Age]]&lt;50,"40–49",
IF(tbl_abs[[#This Row],[Age]]&lt;60,"50–59",
"60+")))),"")</f>
        <v>&lt;30</v>
      </c>
      <c r="X696" s="53" t="str">
        <f>IFERROR(
IF(tbl_abs[[#This Row],[Distance from Residence to Work]]&lt;=5,"0–5",
IF(tbl_abs[[#This Row],[Distance from Residence to Work]]&lt;=10,"6–10",
IF(tbl_abs[[#This Row],[Distance from Residence to Work]]&lt;=20,"11–20",
"21+"))),"")</f>
        <v>21+</v>
      </c>
      <c r="Y696" s="53" t="str">
        <f>IFERROR(
IF(tbl_abs[[#This Row],[Body Mass Index]]&lt;18.5,"Underweight",
IF(tbl_abs[[#This Row],[Body Mass Index]]&lt;25,"Normal",
IF(tbl_abs[[#This Row],[Body Mass Index]]&lt;30,"Overweight",
"Obese"))),"")</f>
        <v>Normal</v>
      </c>
      <c r="Z696" s="53" t="str">
        <f>IFERROR(
IF(tbl_abs[[#This Row],[Absenteeism time in hours]]&lt;=2,"0–2",
IF(tbl_abs[[#This Row],[Absenteeism time in hours]]&lt;=8,"3–8",
IF(tbl_abs[[#This Row],[Absenteeism time in hours]]&lt;=16,"9–16",
"17+"))),"")</f>
        <v>0–2</v>
      </c>
    </row>
    <row r="697" spans="1:26" ht="15" customHeight="1" x14ac:dyDescent="0.3">
      <c r="A697">
        <v>20</v>
      </c>
      <c r="B697">
        <v>26</v>
      </c>
      <c r="C697" s="1">
        <v>12</v>
      </c>
      <c r="D697">
        <v>6</v>
      </c>
      <c r="E697">
        <v>4</v>
      </c>
      <c r="F697">
        <v>260</v>
      </c>
      <c r="G697" s="1">
        <v>50</v>
      </c>
      <c r="H697">
        <v>11</v>
      </c>
      <c r="I697" s="1">
        <v>36</v>
      </c>
      <c r="J697" s="2">
        <v>261306</v>
      </c>
      <c r="K697">
        <v>97</v>
      </c>
      <c r="L697">
        <v>0</v>
      </c>
      <c r="M697">
        <v>1</v>
      </c>
      <c r="N697">
        <v>4</v>
      </c>
      <c r="O697">
        <v>1</v>
      </c>
      <c r="P697">
        <v>0</v>
      </c>
      <c r="Q697">
        <v>0</v>
      </c>
      <c r="R697">
        <v>65</v>
      </c>
      <c r="S697">
        <v>168</v>
      </c>
      <c r="T697">
        <v>23</v>
      </c>
      <c r="U697">
        <v>8</v>
      </c>
      <c r="V697" s="53" t="str">
        <f>IFERROR(
IF(tbl_abs[[#This Row],[Month of absence]]=0,"Unknown",
CHOOSE(tbl_abs[[#This Row],[Month of absence]],
"Jan","Feb","Mar","Apr","May","Jun","Jul","Aug","Sep","Oct","Nov","Dec")),"")</f>
        <v>Dec</v>
      </c>
      <c r="W697" s="53" t="str">
        <f>IFERROR(
IF(tbl_abs[[#This Row],[Age]]&lt;30,"&lt;30",
IF(tbl_abs[[#This Row],[Age]]&lt;40,"30–39",
IF(tbl_abs[[#This Row],[Age]]&lt;50,"40–49",
IF(tbl_abs[[#This Row],[Age]]&lt;60,"50–59",
"60+")))),"")</f>
        <v>30–39</v>
      </c>
      <c r="X697" s="53" t="str">
        <f>IFERROR(
IF(tbl_abs[[#This Row],[Distance from Residence to Work]]&lt;=5,"0–5",
IF(tbl_abs[[#This Row],[Distance from Residence to Work]]&lt;=10,"6–10",
IF(tbl_abs[[#This Row],[Distance from Residence to Work]]&lt;=20,"11–20",
"21+"))),"")</f>
        <v>21+</v>
      </c>
      <c r="Y697" s="53" t="str">
        <f>IFERROR(
IF(tbl_abs[[#This Row],[Body Mass Index]]&lt;18.5,"Underweight",
IF(tbl_abs[[#This Row],[Body Mass Index]]&lt;25,"Normal",
IF(tbl_abs[[#This Row],[Body Mass Index]]&lt;30,"Overweight",
"Obese"))),"")</f>
        <v>Normal</v>
      </c>
      <c r="Z697" s="53" t="str">
        <f>IFERROR(
IF(tbl_abs[[#This Row],[Absenteeism time in hours]]&lt;=2,"0–2",
IF(tbl_abs[[#This Row],[Absenteeism time in hours]]&lt;=8,"3–8",
IF(tbl_abs[[#This Row],[Absenteeism time in hours]]&lt;=16,"9–16",
"17+"))),"")</f>
        <v>3–8</v>
      </c>
    </row>
    <row r="698" spans="1:26" ht="15" customHeight="1" x14ac:dyDescent="0.3">
      <c r="A698">
        <v>34</v>
      </c>
      <c r="B698">
        <v>19</v>
      </c>
      <c r="C698" s="1">
        <v>12</v>
      </c>
      <c r="D698">
        <v>3</v>
      </c>
      <c r="E698">
        <v>4</v>
      </c>
      <c r="F698">
        <v>118</v>
      </c>
      <c r="G698" s="1">
        <v>10</v>
      </c>
      <c r="H698">
        <v>10</v>
      </c>
      <c r="I698" s="1">
        <v>37</v>
      </c>
      <c r="J698" s="2"/>
      <c r="K698">
        <v>97</v>
      </c>
      <c r="L698">
        <v>0</v>
      </c>
      <c r="M698">
        <v>1</v>
      </c>
      <c r="N698">
        <v>0</v>
      </c>
      <c r="O698">
        <v>0</v>
      </c>
      <c r="P698">
        <v>0</v>
      </c>
      <c r="Q698">
        <v>0</v>
      </c>
      <c r="R698">
        <v>83</v>
      </c>
      <c r="S698">
        <v>172</v>
      </c>
      <c r="T698">
        <v>28</v>
      </c>
      <c r="U698">
        <v>56</v>
      </c>
      <c r="V698" s="53" t="str">
        <f>IFERROR(
IF(tbl_abs[[#This Row],[Month of absence]]=0,"Unknown",
CHOOSE(tbl_abs[[#This Row],[Month of absence]],
"Jan","Feb","Mar","Apr","May","Jun","Jul","Aug","Sep","Oct","Nov","Dec")),"")</f>
        <v>Dec</v>
      </c>
      <c r="W698" s="53" t="str">
        <f>IFERROR(
IF(tbl_abs[[#This Row],[Age]]&lt;30,"&lt;30",
IF(tbl_abs[[#This Row],[Age]]&lt;40,"30–39",
IF(tbl_abs[[#This Row],[Age]]&lt;50,"40–49",
IF(tbl_abs[[#This Row],[Age]]&lt;60,"50–59",
"60+")))),"")</f>
        <v>30–39</v>
      </c>
      <c r="X698" s="53" t="str">
        <f>IFERROR(
IF(tbl_abs[[#This Row],[Distance from Residence to Work]]&lt;=5,"0–5",
IF(tbl_abs[[#This Row],[Distance from Residence to Work]]&lt;=10,"6–10",
IF(tbl_abs[[#This Row],[Distance from Residence to Work]]&lt;=20,"11–20",
"21+"))),"")</f>
        <v>6–10</v>
      </c>
      <c r="Y698" s="53" t="str">
        <f>IFERROR(
IF(tbl_abs[[#This Row],[Body Mass Index]]&lt;18.5,"Underweight",
IF(tbl_abs[[#This Row],[Body Mass Index]]&lt;25,"Normal",
IF(tbl_abs[[#This Row],[Body Mass Index]]&lt;30,"Overweight",
"Obese"))),"")</f>
        <v>Overweight</v>
      </c>
      <c r="Z698" s="53" t="str">
        <f>IFERROR(
IF(tbl_abs[[#This Row],[Absenteeism time in hours]]&lt;=2,"0–2",
IF(tbl_abs[[#This Row],[Absenteeism time in hours]]&lt;=8,"3–8",
IF(tbl_abs[[#This Row],[Absenteeism time in hours]]&lt;=16,"9–16",
"17+"))),"")</f>
        <v>17+</v>
      </c>
    </row>
    <row r="699" spans="1:26" ht="15" customHeight="1" x14ac:dyDescent="0.3">
      <c r="A699">
        <v>10</v>
      </c>
      <c r="B699">
        <v>22</v>
      </c>
      <c r="C699" s="1">
        <v>12</v>
      </c>
      <c r="D699">
        <v>4</v>
      </c>
      <c r="E699">
        <v>4</v>
      </c>
      <c r="F699">
        <v>361</v>
      </c>
      <c r="G699" s="1">
        <v>52</v>
      </c>
      <c r="H699">
        <v>3</v>
      </c>
      <c r="I699" s="1">
        <v>28</v>
      </c>
      <c r="J699" s="2"/>
      <c r="K699">
        <v>97</v>
      </c>
      <c r="L699">
        <v>0</v>
      </c>
      <c r="M699">
        <v>1</v>
      </c>
      <c r="N699">
        <v>1</v>
      </c>
      <c r="O699">
        <v>1</v>
      </c>
      <c r="P699">
        <v>0</v>
      </c>
      <c r="Q699">
        <v>4</v>
      </c>
      <c r="R699">
        <v>80</v>
      </c>
      <c r="S699">
        <v>172</v>
      </c>
      <c r="T699">
        <v>27</v>
      </c>
      <c r="U699">
        <v>8</v>
      </c>
      <c r="V699" s="53" t="str">
        <f>IFERROR(
IF(tbl_abs[[#This Row],[Month of absence]]=0,"Unknown",
CHOOSE(tbl_abs[[#This Row],[Month of absence]],
"Jan","Feb","Mar","Apr","May","Jun","Jul","Aug","Sep","Oct","Nov","Dec")),"")</f>
        <v>Dec</v>
      </c>
      <c r="W699" s="53" t="str">
        <f>IFERROR(
IF(tbl_abs[[#This Row],[Age]]&lt;30,"&lt;30",
IF(tbl_abs[[#This Row],[Age]]&lt;40,"30–39",
IF(tbl_abs[[#This Row],[Age]]&lt;50,"40–49",
IF(tbl_abs[[#This Row],[Age]]&lt;60,"50–59",
"60+")))),"")</f>
        <v>&lt;30</v>
      </c>
      <c r="X699" s="53" t="str">
        <f>IFERROR(
IF(tbl_abs[[#This Row],[Distance from Residence to Work]]&lt;=5,"0–5",
IF(tbl_abs[[#This Row],[Distance from Residence to Work]]&lt;=10,"6–10",
IF(tbl_abs[[#This Row],[Distance from Residence to Work]]&lt;=20,"11–20",
"21+"))),"")</f>
        <v>21+</v>
      </c>
      <c r="Y699" s="53" t="str">
        <f>IFERROR(
IF(tbl_abs[[#This Row],[Body Mass Index]]&lt;18.5,"Underweight",
IF(tbl_abs[[#This Row],[Body Mass Index]]&lt;25,"Normal",
IF(tbl_abs[[#This Row],[Body Mass Index]]&lt;30,"Overweight",
"Obese"))),"")</f>
        <v>Overweight</v>
      </c>
      <c r="Z699" s="53" t="str">
        <f>IFERROR(
IF(tbl_abs[[#This Row],[Absenteeism time in hours]]&lt;=2,"0–2",
IF(tbl_abs[[#This Row],[Absenteeism time in hours]]&lt;=8,"3–8",
IF(tbl_abs[[#This Row],[Absenteeism time in hours]]&lt;=16,"9–16",
"17+"))),"")</f>
        <v>3–8</v>
      </c>
    </row>
    <row r="700" spans="1:26" ht="15" customHeight="1" x14ac:dyDescent="0.3">
      <c r="A700">
        <v>28</v>
      </c>
      <c r="B700">
        <v>28</v>
      </c>
      <c r="C700" s="1">
        <v>12</v>
      </c>
      <c r="D700">
        <v>5</v>
      </c>
      <c r="E700">
        <v>4</v>
      </c>
      <c r="F700">
        <v>225</v>
      </c>
      <c r="G700" s="1">
        <v>26</v>
      </c>
      <c r="I700" s="1">
        <v>28</v>
      </c>
      <c r="J700" s="2">
        <v>261306</v>
      </c>
      <c r="K700">
        <v>97</v>
      </c>
      <c r="L700">
        <v>0</v>
      </c>
      <c r="M700">
        <v>1</v>
      </c>
      <c r="N700">
        <v>1</v>
      </c>
      <c r="O700">
        <v>0</v>
      </c>
      <c r="P700">
        <v>0</v>
      </c>
      <c r="Q700">
        <v>2</v>
      </c>
      <c r="R700">
        <v>69</v>
      </c>
      <c r="S700">
        <v>169</v>
      </c>
      <c r="U700">
        <v>3</v>
      </c>
      <c r="V700" s="53" t="str">
        <f>IFERROR(
IF(tbl_abs[[#This Row],[Month of absence]]=0,"Unknown",
CHOOSE(tbl_abs[[#This Row],[Month of absence]],
"Jan","Feb","Mar","Apr","May","Jun","Jul","Aug","Sep","Oct","Nov","Dec")),"")</f>
        <v>Dec</v>
      </c>
      <c r="W700" s="53" t="str">
        <f>IFERROR(
IF(tbl_abs[[#This Row],[Age]]&lt;30,"&lt;30",
IF(tbl_abs[[#This Row],[Age]]&lt;40,"30–39",
IF(tbl_abs[[#This Row],[Age]]&lt;50,"40–49",
IF(tbl_abs[[#This Row],[Age]]&lt;60,"50–59",
"60+")))),"")</f>
        <v>&lt;30</v>
      </c>
      <c r="X700" s="53" t="str">
        <f>IFERROR(
IF(tbl_abs[[#This Row],[Distance from Residence to Work]]&lt;=5,"0–5",
IF(tbl_abs[[#This Row],[Distance from Residence to Work]]&lt;=10,"6–10",
IF(tbl_abs[[#This Row],[Distance from Residence to Work]]&lt;=20,"11–20",
"21+"))),"")</f>
        <v>21+</v>
      </c>
      <c r="Y700" s="53" t="str">
        <f>IFERROR(
IF(tbl_abs[[#This Row],[Body Mass Index]]&lt;18.5,"Underweight",
IF(tbl_abs[[#This Row],[Body Mass Index]]&lt;25,"Normal",
IF(tbl_abs[[#This Row],[Body Mass Index]]&lt;30,"Overweight",
"Obese"))),"")</f>
        <v>Underweight</v>
      </c>
      <c r="Z700" s="53" t="str">
        <f>IFERROR(
IF(tbl_abs[[#This Row],[Absenteeism time in hours]]&lt;=2,"0–2",
IF(tbl_abs[[#This Row],[Absenteeism time in hours]]&lt;=8,"3–8",
IF(tbl_abs[[#This Row],[Absenteeism time in hours]]&lt;=16,"9–16",
"17+"))),"")</f>
        <v>3–8</v>
      </c>
    </row>
    <row r="701" spans="1:26" ht="15" customHeight="1" x14ac:dyDescent="0.3">
      <c r="A701">
        <v>20</v>
      </c>
      <c r="B701">
        <v>28</v>
      </c>
      <c r="C701" s="1">
        <v>12</v>
      </c>
      <c r="D701">
        <v>6</v>
      </c>
      <c r="E701">
        <v>4</v>
      </c>
      <c r="F701">
        <v>260</v>
      </c>
      <c r="G701" s="1">
        <v>50</v>
      </c>
      <c r="H701">
        <v>11</v>
      </c>
      <c r="I701" s="1">
        <v>36</v>
      </c>
      <c r="J701" s="2">
        <v>261306</v>
      </c>
      <c r="K701">
        <v>97</v>
      </c>
      <c r="L701">
        <v>0</v>
      </c>
      <c r="M701">
        <v>1</v>
      </c>
      <c r="N701">
        <v>4</v>
      </c>
      <c r="O701">
        <v>1</v>
      </c>
      <c r="P701">
        <v>0</v>
      </c>
      <c r="Q701">
        <v>0</v>
      </c>
      <c r="R701">
        <v>65</v>
      </c>
      <c r="S701">
        <v>168</v>
      </c>
      <c r="U701">
        <v>3</v>
      </c>
      <c r="V701" s="53" t="str">
        <f>IFERROR(
IF(tbl_abs[[#This Row],[Month of absence]]=0,"Unknown",
CHOOSE(tbl_abs[[#This Row],[Month of absence]],
"Jan","Feb","Mar","Apr","May","Jun","Jul","Aug","Sep","Oct","Nov","Dec")),"")</f>
        <v>Dec</v>
      </c>
      <c r="W701" s="53" t="str">
        <f>IFERROR(
IF(tbl_abs[[#This Row],[Age]]&lt;30,"&lt;30",
IF(tbl_abs[[#This Row],[Age]]&lt;40,"30–39",
IF(tbl_abs[[#This Row],[Age]]&lt;50,"40–49",
IF(tbl_abs[[#This Row],[Age]]&lt;60,"50–59",
"60+")))),"")</f>
        <v>30–39</v>
      </c>
      <c r="X701" s="53" t="str">
        <f>IFERROR(
IF(tbl_abs[[#This Row],[Distance from Residence to Work]]&lt;=5,"0–5",
IF(tbl_abs[[#This Row],[Distance from Residence to Work]]&lt;=10,"6–10",
IF(tbl_abs[[#This Row],[Distance from Residence to Work]]&lt;=20,"11–20",
"21+"))),"")</f>
        <v>21+</v>
      </c>
      <c r="Y701" s="53" t="str">
        <f>IFERROR(
IF(tbl_abs[[#This Row],[Body Mass Index]]&lt;18.5,"Underweight",
IF(tbl_abs[[#This Row],[Body Mass Index]]&lt;25,"Normal",
IF(tbl_abs[[#This Row],[Body Mass Index]]&lt;30,"Overweight",
"Obese"))),"")</f>
        <v>Underweight</v>
      </c>
      <c r="Z701" s="53" t="str">
        <f>IFERROR(
IF(tbl_abs[[#This Row],[Absenteeism time in hours]]&lt;=2,"0–2",
IF(tbl_abs[[#This Row],[Absenteeism time in hours]]&lt;=8,"3–8",
IF(tbl_abs[[#This Row],[Absenteeism time in hours]]&lt;=16,"9–16",
"17+"))),"")</f>
        <v>3–8</v>
      </c>
    </row>
    <row r="702" spans="1:26" ht="15" customHeight="1" x14ac:dyDescent="0.3">
      <c r="A702">
        <v>28</v>
      </c>
      <c r="B702">
        <v>23</v>
      </c>
      <c r="C702" s="1">
        <v>12</v>
      </c>
      <c r="D702">
        <v>3</v>
      </c>
      <c r="E702">
        <v>4</v>
      </c>
      <c r="F702">
        <v>225</v>
      </c>
      <c r="G702" s="1">
        <v>26</v>
      </c>
      <c r="H702">
        <v>9</v>
      </c>
      <c r="I702" s="1">
        <v>28</v>
      </c>
      <c r="J702" s="2">
        <v>261306</v>
      </c>
      <c r="K702">
        <v>97</v>
      </c>
      <c r="L702">
        <v>0</v>
      </c>
      <c r="M702">
        <v>1</v>
      </c>
      <c r="N702">
        <v>1</v>
      </c>
      <c r="O702">
        <v>0</v>
      </c>
      <c r="P702">
        <v>0</v>
      </c>
      <c r="Q702">
        <v>2</v>
      </c>
      <c r="R702">
        <v>69</v>
      </c>
      <c r="S702">
        <v>169</v>
      </c>
      <c r="U702">
        <v>2</v>
      </c>
      <c r="V702" s="53" t="str">
        <f>IFERROR(
IF(tbl_abs[[#This Row],[Month of absence]]=0,"Unknown",
CHOOSE(tbl_abs[[#This Row],[Month of absence]],
"Jan","Feb","Mar","Apr","May","Jun","Jul","Aug","Sep","Oct","Nov","Dec")),"")</f>
        <v>Dec</v>
      </c>
      <c r="W702" s="53" t="str">
        <f>IFERROR(
IF(tbl_abs[[#This Row],[Age]]&lt;30,"&lt;30",
IF(tbl_abs[[#This Row],[Age]]&lt;40,"30–39",
IF(tbl_abs[[#This Row],[Age]]&lt;50,"40–49",
IF(tbl_abs[[#This Row],[Age]]&lt;60,"50–59",
"60+")))),"")</f>
        <v>&lt;30</v>
      </c>
      <c r="X702" s="53" t="str">
        <f>IFERROR(
IF(tbl_abs[[#This Row],[Distance from Residence to Work]]&lt;=5,"0–5",
IF(tbl_abs[[#This Row],[Distance from Residence to Work]]&lt;=10,"6–10",
IF(tbl_abs[[#This Row],[Distance from Residence to Work]]&lt;=20,"11–20",
"21+"))),"")</f>
        <v>21+</v>
      </c>
      <c r="Y702" s="53" t="str">
        <f>IFERROR(
IF(tbl_abs[[#This Row],[Body Mass Index]]&lt;18.5,"Underweight",
IF(tbl_abs[[#This Row],[Body Mass Index]]&lt;25,"Normal",
IF(tbl_abs[[#This Row],[Body Mass Index]]&lt;30,"Overweight",
"Obese"))),"")</f>
        <v>Underweight</v>
      </c>
      <c r="Z702" s="53" t="str">
        <f>IFERROR(
IF(tbl_abs[[#This Row],[Absenteeism time in hours]]&lt;=2,"0–2",
IF(tbl_abs[[#This Row],[Absenteeism time in hours]]&lt;=8,"3–8",
IF(tbl_abs[[#This Row],[Absenteeism time in hours]]&lt;=16,"9–16",
"17+"))),"")</f>
        <v>0–2</v>
      </c>
    </row>
    <row r="703" spans="1:26" ht="15" customHeight="1" x14ac:dyDescent="0.3">
      <c r="A703">
        <v>10</v>
      </c>
      <c r="B703">
        <v>22</v>
      </c>
      <c r="C703" s="1">
        <v>12</v>
      </c>
      <c r="D703">
        <v>4</v>
      </c>
      <c r="E703">
        <v>4</v>
      </c>
      <c r="F703">
        <v>361</v>
      </c>
      <c r="G703" s="1">
        <v>52</v>
      </c>
      <c r="H703">
        <v>3</v>
      </c>
      <c r="I703" s="1">
        <v>28</v>
      </c>
      <c r="J703" s="2">
        <v>261306</v>
      </c>
      <c r="K703">
        <v>97</v>
      </c>
      <c r="N703">
        <v>1</v>
      </c>
      <c r="O703">
        <v>1</v>
      </c>
      <c r="P703">
        <v>0</v>
      </c>
      <c r="Q703">
        <v>4</v>
      </c>
      <c r="R703">
        <v>80</v>
      </c>
      <c r="T703">
        <v>27</v>
      </c>
      <c r="U703">
        <v>8</v>
      </c>
      <c r="V703" s="53" t="str">
        <f>IFERROR(
IF(tbl_abs[[#This Row],[Month of absence]]=0,"Unknown",
CHOOSE(tbl_abs[[#This Row],[Month of absence]],
"Jan","Feb","Mar","Apr","May","Jun","Jul","Aug","Sep","Oct","Nov","Dec")),"")</f>
        <v>Dec</v>
      </c>
      <c r="W703" s="53" t="str">
        <f>IFERROR(
IF(tbl_abs[[#This Row],[Age]]&lt;30,"&lt;30",
IF(tbl_abs[[#This Row],[Age]]&lt;40,"30–39",
IF(tbl_abs[[#This Row],[Age]]&lt;50,"40–49",
IF(tbl_abs[[#This Row],[Age]]&lt;60,"50–59",
"60+")))),"")</f>
        <v>&lt;30</v>
      </c>
      <c r="X703" s="53" t="str">
        <f>IFERROR(
IF(tbl_abs[[#This Row],[Distance from Residence to Work]]&lt;=5,"0–5",
IF(tbl_abs[[#This Row],[Distance from Residence to Work]]&lt;=10,"6–10",
IF(tbl_abs[[#This Row],[Distance from Residence to Work]]&lt;=20,"11–20",
"21+"))),"")</f>
        <v>21+</v>
      </c>
      <c r="Y703" s="53" t="str">
        <f>IFERROR(
IF(tbl_abs[[#This Row],[Body Mass Index]]&lt;18.5,"Underweight",
IF(tbl_abs[[#This Row],[Body Mass Index]]&lt;25,"Normal",
IF(tbl_abs[[#This Row],[Body Mass Index]]&lt;30,"Overweight",
"Obese"))),"")</f>
        <v>Overweight</v>
      </c>
      <c r="Z703" s="53" t="str">
        <f>IFERROR(
IF(tbl_abs[[#This Row],[Absenteeism time in hours]]&lt;=2,"0–2",
IF(tbl_abs[[#This Row],[Absenteeism time in hours]]&lt;=8,"3–8",
IF(tbl_abs[[#This Row],[Absenteeism time in hours]]&lt;=16,"9–16",
"17+"))),"")</f>
        <v>3–8</v>
      </c>
    </row>
    <row r="704" spans="1:26" ht="15" customHeight="1" x14ac:dyDescent="0.3">
      <c r="A704">
        <v>34</v>
      </c>
      <c r="B704">
        <v>27</v>
      </c>
      <c r="C704" s="1">
        <v>12</v>
      </c>
      <c r="D704">
        <v>6</v>
      </c>
      <c r="E704">
        <v>4</v>
      </c>
      <c r="F704">
        <v>118</v>
      </c>
      <c r="G704" s="1">
        <v>10</v>
      </c>
      <c r="H704">
        <v>10</v>
      </c>
      <c r="I704" s="1">
        <v>37</v>
      </c>
      <c r="J704" s="2">
        <v>261306</v>
      </c>
      <c r="K704">
        <v>97</v>
      </c>
      <c r="N704">
        <v>0</v>
      </c>
      <c r="O704">
        <v>0</v>
      </c>
      <c r="P704">
        <v>0</v>
      </c>
      <c r="Q704">
        <v>0</v>
      </c>
      <c r="R704">
        <v>83</v>
      </c>
      <c r="S704">
        <v>172</v>
      </c>
      <c r="T704">
        <v>28</v>
      </c>
      <c r="U704">
        <v>2</v>
      </c>
      <c r="V704" s="53" t="str">
        <f>IFERROR(
IF(tbl_abs[[#This Row],[Month of absence]]=0,"Unknown",
CHOOSE(tbl_abs[[#This Row],[Month of absence]],
"Jan","Feb","Mar","Apr","May","Jun","Jul","Aug","Sep","Oct","Nov","Dec")),"")</f>
        <v>Dec</v>
      </c>
      <c r="W704" s="53" t="str">
        <f>IFERROR(
IF(tbl_abs[[#This Row],[Age]]&lt;30,"&lt;30",
IF(tbl_abs[[#This Row],[Age]]&lt;40,"30–39",
IF(tbl_abs[[#This Row],[Age]]&lt;50,"40–49",
IF(tbl_abs[[#This Row],[Age]]&lt;60,"50–59",
"60+")))),"")</f>
        <v>30–39</v>
      </c>
      <c r="X704" s="53" t="str">
        <f>IFERROR(
IF(tbl_abs[[#This Row],[Distance from Residence to Work]]&lt;=5,"0–5",
IF(tbl_abs[[#This Row],[Distance from Residence to Work]]&lt;=10,"6–10",
IF(tbl_abs[[#This Row],[Distance from Residence to Work]]&lt;=20,"11–20",
"21+"))),"")</f>
        <v>6–10</v>
      </c>
      <c r="Y704" s="53" t="str">
        <f>IFERROR(
IF(tbl_abs[[#This Row],[Body Mass Index]]&lt;18.5,"Underweight",
IF(tbl_abs[[#This Row],[Body Mass Index]]&lt;25,"Normal",
IF(tbl_abs[[#This Row],[Body Mass Index]]&lt;30,"Overweight",
"Obese"))),"")</f>
        <v>Overweight</v>
      </c>
      <c r="Z704" s="53" t="str">
        <f>IFERROR(
IF(tbl_abs[[#This Row],[Absenteeism time in hours]]&lt;=2,"0–2",
IF(tbl_abs[[#This Row],[Absenteeism time in hours]]&lt;=8,"3–8",
IF(tbl_abs[[#This Row],[Absenteeism time in hours]]&lt;=16,"9–16",
"17+"))),"")</f>
        <v>0–2</v>
      </c>
    </row>
    <row r="705" spans="1:26" ht="15" customHeight="1" x14ac:dyDescent="0.3">
      <c r="A705">
        <v>24</v>
      </c>
      <c r="B705">
        <v>19</v>
      </c>
      <c r="C705" s="1">
        <v>12</v>
      </c>
      <c r="D705">
        <v>6</v>
      </c>
      <c r="E705">
        <v>2</v>
      </c>
      <c r="F705">
        <v>246</v>
      </c>
      <c r="G705" s="1">
        <v>25</v>
      </c>
      <c r="H705">
        <v>16</v>
      </c>
      <c r="I705" s="1">
        <v>41</v>
      </c>
      <c r="J705" s="2">
        <v>261306</v>
      </c>
      <c r="K705">
        <v>97</v>
      </c>
      <c r="L705">
        <v>0</v>
      </c>
      <c r="M705">
        <v>1</v>
      </c>
      <c r="N705">
        <v>0</v>
      </c>
      <c r="O705">
        <v>1</v>
      </c>
      <c r="P705">
        <v>0</v>
      </c>
      <c r="Q705">
        <v>0</v>
      </c>
      <c r="R705">
        <v>67</v>
      </c>
      <c r="S705">
        <v>170</v>
      </c>
      <c r="T705">
        <v>23</v>
      </c>
      <c r="U705">
        <v>8</v>
      </c>
      <c r="V705" s="53" t="str">
        <f>IFERROR(
IF(tbl_abs[[#This Row],[Month of absence]]=0,"Unknown",
CHOOSE(tbl_abs[[#This Row],[Month of absence]],
"Jan","Feb","Mar","Apr","May","Jun","Jul","Aug","Sep","Oct","Nov","Dec")),"")</f>
        <v>Dec</v>
      </c>
      <c r="W705" s="53" t="str">
        <f>IFERROR(
IF(tbl_abs[[#This Row],[Age]]&lt;30,"&lt;30",
IF(tbl_abs[[#This Row],[Age]]&lt;40,"30–39",
IF(tbl_abs[[#This Row],[Age]]&lt;50,"40–49",
IF(tbl_abs[[#This Row],[Age]]&lt;60,"50–59",
"60+")))),"")</f>
        <v>40–49</v>
      </c>
      <c r="X705" s="53" t="str">
        <f>IFERROR(
IF(tbl_abs[[#This Row],[Distance from Residence to Work]]&lt;=5,"0–5",
IF(tbl_abs[[#This Row],[Distance from Residence to Work]]&lt;=10,"6–10",
IF(tbl_abs[[#This Row],[Distance from Residence to Work]]&lt;=20,"11–20",
"21+"))),"")</f>
        <v>21+</v>
      </c>
      <c r="Y705" s="53" t="str">
        <f>IFERROR(
IF(tbl_abs[[#This Row],[Body Mass Index]]&lt;18.5,"Underweight",
IF(tbl_abs[[#This Row],[Body Mass Index]]&lt;25,"Normal",
IF(tbl_abs[[#This Row],[Body Mass Index]]&lt;30,"Overweight",
"Obese"))),"")</f>
        <v>Normal</v>
      </c>
      <c r="Z705" s="53" t="str">
        <f>IFERROR(
IF(tbl_abs[[#This Row],[Absenteeism time in hours]]&lt;=2,"0–2",
IF(tbl_abs[[#This Row],[Absenteeism time in hours]]&lt;=8,"3–8",
IF(tbl_abs[[#This Row],[Absenteeism time in hours]]&lt;=16,"9–16",
"17+"))),"")</f>
        <v>3–8</v>
      </c>
    </row>
    <row r="706" spans="1:26" ht="15" customHeight="1" x14ac:dyDescent="0.3">
      <c r="A706">
        <v>28</v>
      </c>
      <c r="B706">
        <v>23</v>
      </c>
      <c r="C706" s="1">
        <v>12</v>
      </c>
      <c r="D706">
        <v>6</v>
      </c>
      <c r="E706">
        <v>2</v>
      </c>
      <c r="F706">
        <v>225</v>
      </c>
      <c r="G706" s="1">
        <v>26</v>
      </c>
      <c r="H706">
        <v>9</v>
      </c>
      <c r="J706" s="2">
        <v>261306</v>
      </c>
      <c r="L706">
        <v>0</v>
      </c>
      <c r="M706">
        <v>1</v>
      </c>
      <c r="N706">
        <v>1</v>
      </c>
      <c r="O706">
        <v>0</v>
      </c>
      <c r="P706">
        <v>0</v>
      </c>
      <c r="Q706">
        <v>2</v>
      </c>
      <c r="R706">
        <v>69</v>
      </c>
      <c r="S706">
        <v>169</v>
      </c>
      <c r="T706">
        <v>24</v>
      </c>
      <c r="U706">
        <v>2</v>
      </c>
      <c r="V706" s="53" t="str">
        <f>IFERROR(
IF(tbl_abs[[#This Row],[Month of absence]]=0,"Unknown",
CHOOSE(tbl_abs[[#This Row],[Month of absence]],
"Jan","Feb","Mar","Apr","May","Jun","Jul","Aug","Sep","Oct","Nov","Dec")),"")</f>
        <v>Dec</v>
      </c>
      <c r="W706" s="53" t="str">
        <f>IFERROR(
IF(tbl_abs[[#This Row],[Age]]&lt;30,"&lt;30",
IF(tbl_abs[[#This Row],[Age]]&lt;40,"30–39",
IF(tbl_abs[[#This Row],[Age]]&lt;50,"40–49",
IF(tbl_abs[[#This Row],[Age]]&lt;60,"50–59",
"60+")))),"")</f>
        <v>&lt;30</v>
      </c>
      <c r="X706" s="53" t="str">
        <f>IFERROR(
IF(tbl_abs[[#This Row],[Distance from Residence to Work]]&lt;=5,"0–5",
IF(tbl_abs[[#This Row],[Distance from Residence to Work]]&lt;=10,"6–10",
IF(tbl_abs[[#This Row],[Distance from Residence to Work]]&lt;=20,"11–20",
"21+"))),"")</f>
        <v>21+</v>
      </c>
      <c r="Y706" s="53" t="str">
        <f>IFERROR(
IF(tbl_abs[[#This Row],[Body Mass Index]]&lt;18.5,"Underweight",
IF(tbl_abs[[#This Row],[Body Mass Index]]&lt;25,"Normal",
IF(tbl_abs[[#This Row],[Body Mass Index]]&lt;30,"Overweight",
"Obese"))),"")</f>
        <v>Normal</v>
      </c>
      <c r="Z706" s="53" t="str">
        <f>IFERROR(
IF(tbl_abs[[#This Row],[Absenteeism time in hours]]&lt;=2,"0–2",
IF(tbl_abs[[#This Row],[Absenteeism time in hours]]&lt;=8,"3–8",
IF(tbl_abs[[#This Row],[Absenteeism time in hours]]&lt;=16,"9–16",
"17+"))),"")</f>
        <v>0–2</v>
      </c>
    </row>
    <row r="707" spans="1:26" ht="15" customHeight="1" x14ac:dyDescent="0.3">
      <c r="A707">
        <v>28</v>
      </c>
      <c r="B707">
        <v>12</v>
      </c>
      <c r="C707" s="1">
        <v>12</v>
      </c>
      <c r="D707">
        <v>2</v>
      </c>
      <c r="E707">
        <v>4</v>
      </c>
      <c r="F707">
        <v>225</v>
      </c>
      <c r="G707" s="1">
        <v>26</v>
      </c>
      <c r="H707">
        <v>9</v>
      </c>
      <c r="I707" s="1">
        <v>28</v>
      </c>
      <c r="J707" s="2">
        <v>236629</v>
      </c>
      <c r="K707">
        <v>93</v>
      </c>
      <c r="L707">
        <v>0</v>
      </c>
      <c r="M707">
        <v>1</v>
      </c>
      <c r="N707">
        <v>1</v>
      </c>
      <c r="O707">
        <v>0</v>
      </c>
      <c r="P707">
        <v>0</v>
      </c>
      <c r="Q707">
        <v>2</v>
      </c>
      <c r="R707">
        <v>69</v>
      </c>
      <c r="S707">
        <v>169</v>
      </c>
      <c r="T707">
        <v>24</v>
      </c>
      <c r="U707">
        <v>3</v>
      </c>
      <c r="V707" s="53" t="str">
        <f>IFERROR(
IF(tbl_abs[[#This Row],[Month of absence]]=0,"Unknown",
CHOOSE(tbl_abs[[#This Row],[Month of absence]],
"Jan","Feb","Mar","Apr","May","Jun","Jul","Aug","Sep","Oct","Nov","Dec")),"")</f>
        <v>Dec</v>
      </c>
      <c r="W707" s="53" t="str">
        <f>IFERROR(
IF(tbl_abs[[#This Row],[Age]]&lt;30,"&lt;30",
IF(tbl_abs[[#This Row],[Age]]&lt;40,"30–39",
IF(tbl_abs[[#This Row],[Age]]&lt;50,"40–49",
IF(tbl_abs[[#This Row],[Age]]&lt;60,"50–59",
"60+")))),"")</f>
        <v>&lt;30</v>
      </c>
      <c r="X707" s="53" t="str">
        <f>IFERROR(
IF(tbl_abs[[#This Row],[Distance from Residence to Work]]&lt;=5,"0–5",
IF(tbl_abs[[#This Row],[Distance from Residence to Work]]&lt;=10,"6–10",
IF(tbl_abs[[#This Row],[Distance from Residence to Work]]&lt;=20,"11–20",
"21+"))),"")</f>
        <v>21+</v>
      </c>
      <c r="Y707" s="53" t="str">
        <f>IFERROR(
IF(tbl_abs[[#This Row],[Body Mass Index]]&lt;18.5,"Underweight",
IF(tbl_abs[[#This Row],[Body Mass Index]]&lt;25,"Normal",
IF(tbl_abs[[#This Row],[Body Mass Index]]&lt;30,"Overweight",
"Obese"))),"")</f>
        <v>Normal</v>
      </c>
      <c r="Z707" s="53" t="str">
        <f>IFERROR(
IF(tbl_abs[[#This Row],[Absenteeism time in hours]]&lt;=2,"0–2",
IF(tbl_abs[[#This Row],[Absenteeism time in hours]]&lt;=8,"3–8",
IF(tbl_abs[[#This Row],[Absenteeism time in hours]]&lt;=16,"9–16",
"17+"))),"")</f>
        <v>3–8</v>
      </c>
    </row>
    <row r="708" spans="1:26" ht="15" customHeight="1" x14ac:dyDescent="0.3">
      <c r="A708">
        <v>3</v>
      </c>
      <c r="B708">
        <v>28</v>
      </c>
      <c r="C708" s="1">
        <v>12</v>
      </c>
      <c r="D708">
        <v>2</v>
      </c>
      <c r="E708">
        <v>4</v>
      </c>
      <c r="F708">
        <v>179</v>
      </c>
      <c r="G708" s="1">
        <v>51</v>
      </c>
      <c r="H708">
        <v>18</v>
      </c>
      <c r="I708" s="1">
        <v>38</v>
      </c>
      <c r="J708" s="2">
        <v>236629</v>
      </c>
      <c r="K708">
        <v>93</v>
      </c>
      <c r="L708">
        <v>0</v>
      </c>
      <c r="M708">
        <v>1</v>
      </c>
      <c r="N708">
        <v>0</v>
      </c>
      <c r="O708">
        <v>1</v>
      </c>
      <c r="P708">
        <v>0</v>
      </c>
      <c r="Q708">
        <v>0</v>
      </c>
      <c r="R708">
        <v>89</v>
      </c>
      <c r="S708">
        <v>170</v>
      </c>
      <c r="T708">
        <v>31</v>
      </c>
      <c r="U708">
        <v>2</v>
      </c>
      <c r="V708" s="53" t="str">
        <f>IFERROR(
IF(tbl_abs[[#This Row],[Month of absence]]=0,"Unknown",
CHOOSE(tbl_abs[[#This Row],[Month of absence]],
"Jan","Feb","Mar","Apr","May","Jun","Jul","Aug","Sep","Oct","Nov","Dec")),"")</f>
        <v>Dec</v>
      </c>
      <c r="W708" s="53" t="str">
        <f>IFERROR(
IF(tbl_abs[[#This Row],[Age]]&lt;30,"&lt;30",
IF(tbl_abs[[#This Row],[Age]]&lt;40,"30–39",
IF(tbl_abs[[#This Row],[Age]]&lt;50,"40–49",
IF(tbl_abs[[#This Row],[Age]]&lt;60,"50–59",
"60+")))),"")</f>
        <v>30–39</v>
      </c>
      <c r="X708" s="53" t="str">
        <f>IFERROR(
IF(tbl_abs[[#This Row],[Distance from Residence to Work]]&lt;=5,"0–5",
IF(tbl_abs[[#This Row],[Distance from Residence to Work]]&lt;=10,"6–10",
IF(tbl_abs[[#This Row],[Distance from Residence to Work]]&lt;=20,"11–20",
"21+"))),"")</f>
        <v>21+</v>
      </c>
      <c r="Y708" s="53" t="str">
        <f>IFERROR(
IF(tbl_abs[[#This Row],[Body Mass Index]]&lt;18.5,"Underweight",
IF(tbl_abs[[#This Row],[Body Mass Index]]&lt;25,"Normal",
IF(tbl_abs[[#This Row],[Body Mass Index]]&lt;30,"Overweight",
"Obese"))),"")</f>
        <v>Obese</v>
      </c>
      <c r="Z708" s="53" t="str">
        <f>IFERROR(
IF(tbl_abs[[#This Row],[Absenteeism time in hours]]&lt;=2,"0–2",
IF(tbl_abs[[#This Row],[Absenteeism time in hours]]&lt;=8,"3–8",
IF(tbl_abs[[#This Row],[Absenteeism time in hours]]&lt;=16,"9–16",
"17+"))),"")</f>
        <v>0–2</v>
      </c>
    </row>
    <row r="709" spans="1:26" ht="15" customHeight="1" x14ac:dyDescent="0.3">
      <c r="A709">
        <v>3</v>
      </c>
      <c r="B709">
        <v>28</v>
      </c>
      <c r="C709" s="1">
        <v>12</v>
      </c>
      <c r="D709">
        <v>2</v>
      </c>
      <c r="E709">
        <v>4</v>
      </c>
      <c r="F709">
        <v>179</v>
      </c>
      <c r="G709" s="1">
        <v>51</v>
      </c>
      <c r="H709">
        <v>18</v>
      </c>
      <c r="I709" s="1">
        <v>38</v>
      </c>
      <c r="J709" s="2">
        <v>236629</v>
      </c>
      <c r="K709">
        <v>93</v>
      </c>
      <c r="L709">
        <v>0</v>
      </c>
      <c r="M709">
        <v>1</v>
      </c>
      <c r="N709">
        <v>0</v>
      </c>
      <c r="O709">
        <v>1</v>
      </c>
      <c r="P709">
        <v>0</v>
      </c>
      <c r="Q709">
        <v>0</v>
      </c>
      <c r="R709">
        <v>89</v>
      </c>
      <c r="S709">
        <v>170</v>
      </c>
      <c r="T709">
        <v>31</v>
      </c>
      <c r="U709">
        <v>1</v>
      </c>
      <c r="V709" s="53" t="str">
        <f>IFERROR(
IF(tbl_abs[[#This Row],[Month of absence]]=0,"Unknown",
CHOOSE(tbl_abs[[#This Row],[Month of absence]],
"Jan","Feb","Mar","Apr","May","Jun","Jul","Aug","Sep","Oct","Nov","Dec")),"")</f>
        <v>Dec</v>
      </c>
      <c r="W709" s="53" t="str">
        <f>IFERROR(
IF(tbl_abs[[#This Row],[Age]]&lt;30,"&lt;30",
IF(tbl_abs[[#This Row],[Age]]&lt;40,"30–39",
IF(tbl_abs[[#This Row],[Age]]&lt;50,"40–49",
IF(tbl_abs[[#This Row],[Age]]&lt;60,"50–59",
"60+")))),"")</f>
        <v>30–39</v>
      </c>
      <c r="X709" s="53" t="str">
        <f>IFERROR(
IF(tbl_abs[[#This Row],[Distance from Residence to Work]]&lt;=5,"0–5",
IF(tbl_abs[[#This Row],[Distance from Residence to Work]]&lt;=10,"6–10",
IF(tbl_abs[[#This Row],[Distance from Residence to Work]]&lt;=20,"11–20",
"21+"))),"")</f>
        <v>21+</v>
      </c>
      <c r="Y709" s="53" t="str">
        <f>IFERROR(
IF(tbl_abs[[#This Row],[Body Mass Index]]&lt;18.5,"Underweight",
IF(tbl_abs[[#This Row],[Body Mass Index]]&lt;25,"Normal",
IF(tbl_abs[[#This Row],[Body Mass Index]]&lt;30,"Overweight",
"Obese"))),"")</f>
        <v>Obese</v>
      </c>
      <c r="Z709" s="53" t="str">
        <f>IFERROR(
IF(tbl_abs[[#This Row],[Absenteeism time in hours]]&lt;=2,"0–2",
IF(tbl_abs[[#This Row],[Absenteeism time in hours]]&lt;=8,"3–8",
IF(tbl_abs[[#This Row],[Absenteeism time in hours]]&lt;=16,"9–16",
"17+"))),"")</f>
        <v>0–2</v>
      </c>
    </row>
    <row r="710" spans="1:26" ht="15" customHeight="1" x14ac:dyDescent="0.3">
      <c r="A710">
        <v>1</v>
      </c>
      <c r="B710">
        <v>23</v>
      </c>
      <c r="C710" s="1">
        <v>12</v>
      </c>
      <c r="D710">
        <v>2</v>
      </c>
      <c r="E710">
        <v>4</v>
      </c>
      <c r="F710">
        <v>235</v>
      </c>
      <c r="G710" s="1">
        <v>11</v>
      </c>
      <c r="H710">
        <v>14</v>
      </c>
      <c r="I710" s="1">
        <v>37</v>
      </c>
      <c r="J710" s="2">
        <v>236629</v>
      </c>
      <c r="K710">
        <v>93</v>
      </c>
      <c r="L710">
        <v>0</v>
      </c>
      <c r="M710">
        <v>3</v>
      </c>
      <c r="N710">
        <v>1</v>
      </c>
      <c r="O710">
        <v>0</v>
      </c>
      <c r="P710">
        <v>0</v>
      </c>
      <c r="Q710">
        <v>1</v>
      </c>
      <c r="R710">
        <v>88</v>
      </c>
      <c r="S710">
        <v>172</v>
      </c>
      <c r="T710">
        <v>29</v>
      </c>
      <c r="U710">
        <v>3</v>
      </c>
      <c r="V710" s="53" t="str">
        <f>IFERROR(
IF(tbl_abs[[#This Row],[Month of absence]]=0,"Unknown",
CHOOSE(tbl_abs[[#This Row],[Month of absence]],
"Jan","Feb","Mar","Apr","May","Jun","Jul","Aug","Sep","Oct","Nov","Dec")),"")</f>
        <v>Dec</v>
      </c>
      <c r="W710" s="53" t="str">
        <f>IFERROR(
IF(tbl_abs[[#This Row],[Age]]&lt;30,"&lt;30",
IF(tbl_abs[[#This Row],[Age]]&lt;40,"30–39",
IF(tbl_abs[[#This Row],[Age]]&lt;50,"40–49",
IF(tbl_abs[[#This Row],[Age]]&lt;60,"50–59",
"60+")))),"")</f>
        <v>30–39</v>
      </c>
      <c r="X710" s="53" t="str">
        <f>IFERROR(
IF(tbl_abs[[#This Row],[Distance from Residence to Work]]&lt;=5,"0–5",
IF(tbl_abs[[#This Row],[Distance from Residence to Work]]&lt;=10,"6–10",
IF(tbl_abs[[#This Row],[Distance from Residence to Work]]&lt;=20,"11–20",
"21+"))),"")</f>
        <v>11–20</v>
      </c>
      <c r="Y710" s="53" t="str">
        <f>IFERROR(
IF(tbl_abs[[#This Row],[Body Mass Index]]&lt;18.5,"Underweight",
IF(tbl_abs[[#This Row],[Body Mass Index]]&lt;25,"Normal",
IF(tbl_abs[[#This Row],[Body Mass Index]]&lt;30,"Overweight",
"Obese"))),"")</f>
        <v>Overweight</v>
      </c>
      <c r="Z710" s="53" t="str">
        <f>IFERROR(
IF(tbl_abs[[#This Row],[Absenteeism time in hours]]&lt;=2,"0–2",
IF(tbl_abs[[#This Row],[Absenteeism time in hours]]&lt;=8,"3–8",
IF(tbl_abs[[#This Row],[Absenteeism time in hours]]&lt;=16,"9–16",
"17+"))),"")</f>
        <v>3–8</v>
      </c>
    </row>
    <row r="711" spans="1:26" ht="15" customHeight="1" x14ac:dyDescent="0.3">
      <c r="A711">
        <v>36</v>
      </c>
      <c r="B711">
        <v>28</v>
      </c>
      <c r="C711" s="1">
        <v>12</v>
      </c>
      <c r="D711">
        <v>3</v>
      </c>
      <c r="E711">
        <v>4</v>
      </c>
      <c r="F711">
        <v>118</v>
      </c>
      <c r="G711" s="1">
        <v>13</v>
      </c>
      <c r="H711">
        <v>18</v>
      </c>
      <c r="I711" s="1">
        <v>50</v>
      </c>
      <c r="J711" s="2">
        <v>236629</v>
      </c>
      <c r="K711">
        <v>93</v>
      </c>
      <c r="L711">
        <v>0</v>
      </c>
      <c r="M711">
        <v>1</v>
      </c>
      <c r="N711">
        <v>1</v>
      </c>
      <c r="O711">
        <v>1</v>
      </c>
      <c r="P711">
        <v>0</v>
      </c>
      <c r="Q711">
        <v>0</v>
      </c>
      <c r="R711">
        <v>98</v>
      </c>
      <c r="S711">
        <v>178</v>
      </c>
      <c r="T711">
        <v>31</v>
      </c>
      <c r="U711">
        <v>1</v>
      </c>
      <c r="V711" s="53" t="str">
        <f>IFERROR(
IF(tbl_abs[[#This Row],[Month of absence]]=0,"Unknown",
CHOOSE(tbl_abs[[#This Row],[Month of absence]],
"Jan","Feb","Mar","Apr","May","Jun","Jul","Aug","Sep","Oct","Nov","Dec")),"")</f>
        <v>Dec</v>
      </c>
      <c r="W711" s="53" t="str">
        <f>IFERROR(
IF(tbl_abs[[#This Row],[Age]]&lt;30,"&lt;30",
IF(tbl_abs[[#This Row],[Age]]&lt;40,"30–39",
IF(tbl_abs[[#This Row],[Age]]&lt;50,"40–49",
IF(tbl_abs[[#This Row],[Age]]&lt;60,"50–59",
"60+")))),"")</f>
        <v>50–59</v>
      </c>
      <c r="X711" s="53" t="str">
        <f>IFERROR(
IF(tbl_abs[[#This Row],[Distance from Residence to Work]]&lt;=5,"0–5",
IF(tbl_abs[[#This Row],[Distance from Residence to Work]]&lt;=10,"6–10",
IF(tbl_abs[[#This Row],[Distance from Residence to Work]]&lt;=20,"11–20",
"21+"))),"")</f>
        <v>11–20</v>
      </c>
      <c r="Y711" s="53" t="str">
        <f>IFERROR(
IF(tbl_abs[[#This Row],[Body Mass Index]]&lt;18.5,"Underweight",
IF(tbl_abs[[#This Row],[Body Mass Index]]&lt;25,"Normal",
IF(tbl_abs[[#This Row],[Body Mass Index]]&lt;30,"Overweight",
"Obese"))),"")</f>
        <v>Obese</v>
      </c>
      <c r="Z711" s="53" t="str">
        <f>IFERROR(
IF(tbl_abs[[#This Row],[Absenteeism time in hours]]&lt;=2,"0–2",
IF(tbl_abs[[#This Row],[Absenteeism time in hours]]&lt;=8,"3–8",
IF(tbl_abs[[#This Row],[Absenteeism time in hours]]&lt;=16,"9–16",
"17+"))),"")</f>
        <v>0–2</v>
      </c>
    </row>
    <row r="712" spans="1:26" ht="15" customHeight="1" x14ac:dyDescent="0.3">
      <c r="A712">
        <v>20</v>
      </c>
      <c r="B712">
        <v>28</v>
      </c>
      <c r="C712" s="1">
        <v>12</v>
      </c>
      <c r="D712">
        <v>6</v>
      </c>
      <c r="E712">
        <v>4</v>
      </c>
      <c r="F712">
        <v>260</v>
      </c>
      <c r="G712" s="1">
        <v>50</v>
      </c>
      <c r="H712">
        <v>11</v>
      </c>
      <c r="I712" s="1">
        <v>36</v>
      </c>
      <c r="J712" s="2">
        <v>236629</v>
      </c>
      <c r="K712">
        <v>93</v>
      </c>
      <c r="L712">
        <v>0</v>
      </c>
      <c r="M712">
        <v>1</v>
      </c>
      <c r="N712">
        <v>4</v>
      </c>
      <c r="O712">
        <v>1</v>
      </c>
      <c r="P712">
        <v>0</v>
      </c>
      <c r="Q712">
        <v>0</v>
      </c>
      <c r="R712">
        <v>65</v>
      </c>
      <c r="S712">
        <v>168</v>
      </c>
      <c r="T712">
        <v>23</v>
      </c>
      <c r="U712">
        <v>4</v>
      </c>
      <c r="V712" s="53" t="str">
        <f>IFERROR(
IF(tbl_abs[[#This Row],[Month of absence]]=0,"Unknown",
CHOOSE(tbl_abs[[#This Row],[Month of absence]],
"Jan","Feb","Mar","Apr","May","Jun","Jul","Aug","Sep","Oct","Nov","Dec")),"")</f>
        <v>Dec</v>
      </c>
      <c r="W712" s="53" t="str">
        <f>IFERROR(
IF(tbl_abs[[#This Row],[Age]]&lt;30,"&lt;30",
IF(tbl_abs[[#This Row],[Age]]&lt;40,"30–39",
IF(tbl_abs[[#This Row],[Age]]&lt;50,"40–49",
IF(tbl_abs[[#This Row],[Age]]&lt;60,"50–59",
"60+")))),"")</f>
        <v>30–39</v>
      </c>
      <c r="X712" s="53" t="str">
        <f>IFERROR(
IF(tbl_abs[[#This Row],[Distance from Residence to Work]]&lt;=5,"0–5",
IF(tbl_abs[[#This Row],[Distance from Residence to Work]]&lt;=10,"6–10",
IF(tbl_abs[[#This Row],[Distance from Residence to Work]]&lt;=20,"11–20",
"21+"))),"")</f>
        <v>21+</v>
      </c>
      <c r="Y712" s="53" t="str">
        <f>IFERROR(
IF(tbl_abs[[#This Row],[Body Mass Index]]&lt;18.5,"Underweight",
IF(tbl_abs[[#This Row],[Body Mass Index]]&lt;25,"Normal",
IF(tbl_abs[[#This Row],[Body Mass Index]]&lt;30,"Overweight",
"Obese"))),"")</f>
        <v>Normal</v>
      </c>
      <c r="Z712" s="53" t="str">
        <f>IFERROR(
IF(tbl_abs[[#This Row],[Absenteeism time in hours]]&lt;=2,"0–2",
IF(tbl_abs[[#This Row],[Absenteeism time in hours]]&lt;=8,"3–8",
IF(tbl_abs[[#This Row],[Absenteeism time in hours]]&lt;=16,"9–16",
"17+"))),"")</f>
        <v>3–8</v>
      </c>
    </row>
    <row r="713" spans="1:26" ht="15" customHeight="1" x14ac:dyDescent="0.3">
      <c r="A713">
        <v>24</v>
      </c>
      <c r="B713">
        <v>4</v>
      </c>
      <c r="C713" s="1">
        <v>12</v>
      </c>
      <c r="D713">
        <v>5</v>
      </c>
      <c r="E713">
        <v>4</v>
      </c>
      <c r="F713">
        <v>246</v>
      </c>
      <c r="G713" s="1">
        <v>25</v>
      </c>
      <c r="H713">
        <v>16</v>
      </c>
      <c r="I713" s="1">
        <v>41</v>
      </c>
      <c r="J713" s="2">
        <v>236629</v>
      </c>
      <c r="K713">
        <v>93</v>
      </c>
      <c r="L713">
        <v>0</v>
      </c>
      <c r="M713">
        <v>1</v>
      </c>
      <c r="N713">
        <v>0</v>
      </c>
      <c r="O713">
        <v>1</v>
      </c>
      <c r="P713">
        <v>0</v>
      </c>
      <c r="Q713">
        <v>0</v>
      </c>
      <c r="R713">
        <v>67</v>
      </c>
      <c r="S713">
        <v>170</v>
      </c>
      <c r="T713">
        <v>23</v>
      </c>
      <c r="U713">
        <v>8</v>
      </c>
      <c r="V713" s="53" t="str">
        <f>IFERROR(
IF(tbl_abs[[#This Row],[Month of absence]]=0,"Unknown",
CHOOSE(tbl_abs[[#This Row],[Month of absence]],
"Jan","Feb","Mar","Apr","May","Jun","Jul","Aug","Sep","Oct","Nov","Dec")),"")</f>
        <v>Dec</v>
      </c>
      <c r="W713" s="53" t="str">
        <f>IFERROR(
IF(tbl_abs[[#This Row],[Age]]&lt;30,"&lt;30",
IF(tbl_abs[[#This Row],[Age]]&lt;40,"30–39",
IF(tbl_abs[[#This Row],[Age]]&lt;50,"40–49",
IF(tbl_abs[[#This Row],[Age]]&lt;60,"50–59",
"60+")))),"")</f>
        <v>40–49</v>
      </c>
      <c r="X713" s="53" t="str">
        <f>IFERROR(
IF(tbl_abs[[#This Row],[Distance from Residence to Work]]&lt;=5,"0–5",
IF(tbl_abs[[#This Row],[Distance from Residence to Work]]&lt;=10,"6–10",
IF(tbl_abs[[#This Row],[Distance from Residence to Work]]&lt;=20,"11–20",
"21+"))),"")</f>
        <v>21+</v>
      </c>
      <c r="Y713" s="53" t="str">
        <f>IFERROR(
IF(tbl_abs[[#This Row],[Body Mass Index]]&lt;18.5,"Underweight",
IF(tbl_abs[[#This Row],[Body Mass Index]]&lt;25,"Normal",
IF(tbl_abs[[#This Row],[Body Mass Index]]&lt;30,"Overweight",
"Obese"))),"")</f>
        <v>Normal</v>
      </c>
      <c r="Z713" s="53" t="str">
        <f>IFERROR(
IF(tbl_abs[[#This Row],[Absenteeism time in hours]]&lt;=2,"0–2",
IF(tbl_abs[[#This Row],[Absenteeism time in hours]]&lt;=8,"3–8",
IF(tbl_abs[[#This Row],[Absenteeism time in hours]]&lt;=16,"9–16",
"17+"))),"")</f>
        <v>3–8</v>
      </c>
    </row>
    <row r="714" spans="1:26" ht="15" customHeight="1" x14ac:dyDescent="0.3">
      <c r="A714">
        <v>3</v>
      </c>
      <c r="B714">
        <v>28</v>
      </c>
      <c r="C714" s="1">
        <v>12</v>
      </c>
      <c r="D714">
        <v>5</v>
      </c>
      <c r="E714">
        <v>4</v>
      </c>
      <c r="F714">
        <v>179</v>
      </c>
      <c r="G714" s="1">
        <v>51</v>
      </c>
      <c r="H714">
        <v>18</v>
      </c>
      <c r="I714" s="1">
        <v>38</v>
      </c>
      <c r="J714" s="2">
        <v>236629</v>
      </c>
      <c r="K714">
        <v>93</v>
      </c>
      <c r="L714">
        <v>0</v>
      </c>
      <c r="M714">
        <v>1</v>
      </c>
      <c r="N714">
        <v>0</v>
      </c>
      <c r="O714">
        <v>1</v>
      </c>
      <c r="P714">
        <v>0</v>
      </c>
      <c r="Q714">
        <v>0</v>
      </c>
      <c r="R714">
        <v>89</v>
      </c>
      <c r="S714">
        <v>170</v>
      </c>
      <c r="T714">
        <v>31</v>
      </c>
      <c r="U714">
        <v>1</v>
      </c>
      <c r="V714" s="53" t="str">
        <f>IFERROR(
IF(tbl_abs[[#This Row],[Month of absence]]=0,"Unknown",
CHOOSE(tbl_abs[[#This Row],[Month of absence]],
"Jan","Feb","Mar","Apr","May","Jun","Jul","Aug","Sep","Oct","Nov","Dec")),"")</f>
        <v>Dec</v>
      </c>
      <c r="W714" s="53" t="str">
        <f>IFERROR(
IF(tbl_abs[[#This Row],[Age]]&lt;30,"&lt;30",
IF(tbl_abs[[#This Row],[Age]]&lt;40,"30–39",
IF(tbl_abs[[#This Row],[Age]]&lt;50,"40–49",
IF(tbl_abs[[#This Row],[Age]]&lt;60,"50–59",
"60+")))),"")</f>
        <v>30–39</v>
      </c>
      <c r="X714" s="53" t="str">
        <f>IFERROR(
IF(tbl_abs[[#This Row],[Distance from Residence to Work]]&lt;=5,"0–5",
IF(tbl_abs[[#This Row],[Distance from Residence to Work]]&lt;=10,"6–10",
IF(tbl_abs[[#This Row],[Distance from Residence to Work]]&lt;=20,"11–20",
"21+"))),"")</f>
        <v>21+</v>
      </c>
      <c r="Y714" s="53" t="str">
        <f>IFERROR(
IF(tbl_abs[[#This Row],[Body Mass Index]]&lt;18.5,"Underweight",
IF(tbl_abs[[#This Row],[Body Mass Index]]&lt;25,"Normal",
IF(tbl_abs[[#This Row],[Body Mass Index]]&lt;30,"Overweight",
"Obese"))),"")</f>
        <v>Obese</v>
      </c>
      <c r="Z714" s="53" t="str">
        <f>IFERROR(
IF(tbl_abs[[#This Row],[Absenteeism time in hours]]&lt;=2,"0–2",
IF(tbl_abs[[#This Row],[Absenteeism time in hours]]&lt;=8,"3–8",
IF(tbl_abs[[#This Row],[Absenteeism time in hours]]&lt;=16,"9–16",
"17+"))),"")</f>
        <v>0–2</v>
      </c>
    </row>
    <row r="715" spans="1:26" ht="15" customHeight="1" x14ac:dyDescent="0.3">
      <c r="A715">
        <v>3</v>
      </c>
      <c r="B715">
        <v>28</v>
      </c>
      <c r="C715" s="1">
        <v>12</v>
      </c>
      <c r="D715">
        <v>6</v>
      </c>
      <c r="E715">
        <v>4</v>
      </c>
      <c r="F715">
        <v>179</v>
      </c>
      <c r="G715" s="1">
        <v>51</v>
      </c>
      <c r="H715">
        <v>18</v>
      </c>
      <c r="I715" s="1">
        <v>38</v>
      </c>
      <c r="J715" s="2">
        <v>236629</v>
      </c>
      <c r="K715">
        <v>93</v>
      </c>
      <c r="L715">
        <v>0</v>
      </c>
      <c r="M715">
        <v>1</v>
      </c>
      <c r="N715">
        <v>0</v>
      </c>
      <c r="O715">
        <v>1</v>
      </c>
      <c r="P715">
        <v>0</v>
      </c>
      <c r="Q715">
        <v>0</v>
      </c>
      <c r="R715">
        <v>89</v>
      </c>
      <c r="S715">
        <v>170</v>
      </c>
      <c r="T715">
        <v>31</v>
      </c>
      <c r="U715">
        <v>1</v>
      </c>
      <c r="V715" s="53" t="str">
        <f>IFERROR(
IF(tbl_abs[[#This Row],[Month of absence]]=0,"Unknown",
CHOOSE(tbl_abs[[#This Row],[Month of absence]],
"Jan","Feb","Mar","Apr","May","Jun","Jul","Aug","Sep","Oct","Nov","Dec")),"")</f>
        <v>Dec</v>
      </c>
      <c r="W715" s="53" t="str">
        <f>IFERROR(
IF(tbl_abs[[#This Row],[Age]]&lt;30,"&lt;30",
IF(tbl_abs[[#This Row],[Age]]&lt;40,"30–39",
IF(tbl_abs[[#This Row],[Age]]&lt;50,"40–49",
IF(tbl_abs[[#This Row],[Age]]&lt;60,"50–59",
"60+")))),"")</f>
        <v>30–39</v>
      </c>
      <c r="X715" s="53" t="str">
        <f>IFERROR(
IF(tbl_abs[[#This Row],[Distance from Residence to Work]]&lt;=5,"0–5",
IF(tbl_abs[[#This Row],[Distance from Residence to Work]]&lt;=10,"6–10",
IF(tbl_abs[[#This Row],[Distance from Residence to Work]]&lt;=20,"11–20",
"21+"))),"")</f>
        <v>21+</v>
      </c>
      <c r="Y715" s="53" t="str">
        <f>IFERROR(
IF(tbl_abs[[#This Row],[Body Mass Index]]&lt;18.5,"Underweight",
IF(tbl_abs[[#This Row],[Body Mass Index]]&lt;25,"Normal",
IF(tbl_abs[[#This Row],[Body Mass Index]]&lt;30,"Overweight",
"Obese"))),"")</f>
        <v>Obese</v>
      </c>
      <c r="Z715" s="53" t="str">
        <f>IFERROR(
IF(tbl_abs[[#This Row],[Absenteeism time in hours]]&lt;=2,"0–2",
IF(tbl_abs[[#This Row],[Absenteeism time in hours]]&lt;=8,"3–8",
IF(tbl_abs[[#This Row],[Absenteeism time in hours]]&lt;=16,"9–16",
"17+"))),"")</f>
        <v>0–2</v>
      </c>
    </row>
    <row r="716" spans="1:26" ht="15" customHeight="1" x14ac:dyDescent="0.3">
      <c r="A716">
        <v>22</v>
      </c>
      <c r="B716">
        <v>23</v>
      </c>
      <c r="C716" s="1">
        <v>12</v>
      </c>
      <c r="D716">
        <v>3</v>
      </c>
      <c r="E716">
        <v>4</v>
      </c>
      <c r="F716">
        <v>179</v>
      </c>
      <c r="G716" s="1">
        <v>26</v>
      </c>
      <c r="H716">
        <v>9</v>
      </c>
      <c r="I716" s="1">
        <v>30</v>
      </c>
      <c r="J716" s="2">
        <v>236629</v>
      </c>
      <c r="K716">
        <v>93</v>
      </c>
      <c r="L716">
        <v>0</v>
      </c>
      <c r="M716">
        <v>3</v>
      </c>
      <c r="N716">
        <v>0</v>
      </c>
      <c r="O716">
        <v>0</v>
      </c>
      <c r="P716">
        <v>0</v>
      </c>
      <c r="Q716">
        <v>0</v>
      </c>
      <c r="R716">
        <v>56</v>
      </c>
      <c r="S716">
        <v>171</v>
      </c>
      <c r="T716">
        <v>19</v>
      </c>
      <c r="U716">
        <v>1</v>
      </c>
      <c r="V716" s="53" t="str">
        <f>IFERROR(
IF(tbl_abs[[#This Row],[Month of absence]]=0,"Unknown",
CHOOSE(tbl_abs[[#This Row],[Month of absence]],
"Jan","Feb","Mar","Apr","May","Jun","Jul","Aug","Sep","Oct","Nov","Dec")),"")</f>
        <v>Dec</v>
      </c>
      <c r="W716" s="53" t="str">
        <f>IFERROR(
IF(tbl_abs[[#This Row],[Age]]&lt;30,"&lt;30",
IF(tbl_abs[[#This Row],[Age]]&lt;40,"30–39",
IF(tbl_abs[[#This Row],[Age]]&lt;50,"40–49",
IF(tbl_abs[[#This Row],[Age]]&lt;60,"50–59",
"60+")))),"")</f>
        <v>30–39</v>
      </c>
      <c r="X716" s="53" t="str">
        <f>IFERROR(
IF(tbl_abs[[#This Row],[Distance from Residence to Work]]&lt;=5,"0–5",
IF(tbl_abs[[#This Row],[Distance from Residence to Work]]&lt;=10,"6–10",
IF(tbl_abs[[#This Row],[Distance from Residence to Work]]&lt;=20,"11–20",
"21+"))),"")</f>
        <v>21+</v>
      </c>
      <c r="Y716" s="53" t="str">
        <f>IFERROR(
IF(tbl_abs[[#This Row],[Body Mass Index]]&lt;18.5,"Underweight",
IF(tbl_abs[[#This Row],[Body Mass Index]]&lt;25,"Normal",
IF(tbl_abs[[#This Row],[Body Mass Index]]&lt;30,"Overweight",
"Obese"))),"")</f>
        <v>Normal</v>
      </c>
      <c r="Z716" s="53" t="str">
        <f>IFERROR(
IF(tbl_abs[[#This Row],[Absenteeism time in hours]]&lt;=2,"0–2",
IF(tbl_abs[[#This Row],[Absenteeism time in hours]]&lt;=8,"3–8",
IF(tbl_abs[[#This Row],[Absenteeism time in hours]]&lt;=16,"9–16",
"17+"))),"")</f>
        <v>0–2</v>
      </c>
    </row>
    <row r="717" spans="1:26" ht="15" customHeight="1" x14ac:dyDescent="0.3">
      <c r="A717">
        <v>34</v>
      </c>
      <c r="B717">
        <v>25</v>
      </c>
      <c r="C717" s="1">
        <v>12</v>
      </c>
      <c r="D717">
        <v>3</v>
      </c>
      <c r="E717">
        <v>4</v>
      </c>
      <c r="F717">
        <v>118</v>
      </c>
      <c r="G717" s="1">
        <v>10</v>
      </c>
      <c r="H717">
        <v>10</v>
      </c>
      <c r="I717" s="1">
        <v>37</v>
      </c>
      <c r="J717" s="2">
        <v>236629</v>
      </c>
      <c r="K717">
        <v>93</v>
      </c>
      <c r="L717">
        <v>0</v>
      </c>
      <c r="M717">
        <v>1</v>
      </c>
      <c r="N717">
        <v>0</v>
      </c>
      <c r="O717">
        <v>0</v>
      </c>
      <c r="P717">
        <v>0</v>
      </c>
      <c r="Q717">
        <v>0</v>
      </c>
      <c r="R717">
        <v>83</v>
      </c>
      <c r="S717">
        <v>172</v>
      </c>
      <c r="T717">
        <v>28</v>
      </c>
      <c r="U717">
        <v>8</v>
      </c>
      <c r="V717" s="53" t="str">
        <f>IFERROR(
IF(tbl_abs[[#This Row],[Month of absence]]=0,"Unknown",
CHOOSE(tbl_abs[[#This Row],[Month of absence]],
"Jan","Feb","Mar","Apr","May","Jun","Jul","Aug","Sep","Oct","Nov","Dec")),"")</f>
        <v>Dec</v>
      </c>
      <c r="W717" s="53" t="str">
        <f>IFERROR(
IF(tbl_abs[[#This Row],[Age]]&lt;30,"&lt;30",
IF(tbl_abs[[#This Row],[Age]]&lt;40,"30–39",
IF(tbl_abs[[#This Row],[Age]]&lt;50,"40–49",
IF(tbl_abs[[#This Row],[Age]]&lt;60,"50–59",
"60+")))),"")</f>
        <v>30–39</v>
      </c>
      <c r="X717" s="53" t="str">
        <f>IFERROR(
IF(tbl_abs[[#This Row],[Distance from Residence to Work]]&lt;=5,"0–5",
IF(tbl_abs[[#This Row],[Distance from Residence to Work]]&lt;=10,"6–10",
IF(tbl_abs[[#This Row],[Distance from Residence to Work]]&lt;=20,"11–20",
"21+"))),"")</f>
        <v>6–10</v>
      </c>
      <c r="Y717" s="53" t="str">
        <f>IFERROR(
IF(tbl_abs[[#This Row],[Body Mass Index]]&lt;18.5,"Underweight",
IF(tbl_abs[[#This Row],[Body Mass Index]]&lt;25,"Normal",
IF(tbl_abs[[#This Row],[Body Mass Index]]&lt;30,"Overweight",
"Obese"))),"")</f>
        <v>Overweight</v>
      </c>
      <c r="Z717" s="53" t="str">
        <f>IFERROR(
IF(tbl_abs[[#This Row],[Absenteeism time in hours]]&lt;=2,"0–2",
IF(tbl_abs[[#This Row],[Absenteeism time in hours]]&lt;=8,"3–8",
IF(tbl_abs[[#This Row],[Absenteeism time in hours]]&lt;=16,"9–16",
"17+"))),"")</f>
        <v>3–8</v>
      </c>
    </row>
    <row r="718" spans="1:26" ht="15" customHeight="1" x14ac:dyDescent="0.3">
      <c r="A718">
        <v>1</v>
      </c>
      <c r="B718">
        <v>25</v>
      </c>
      <c r="C718" s="1">
        <v>12</v>
      </c>
      <c r="D718">
        <v>5</v>
      </c>
      <c r="E718">
        <v>4</v>
      </c>
      <c r="F718">
        <v>235</v>
      </c>
      <c r="G718" s="1">
        <v>11</v>
      </c>
      <c r="H718">
        <v>14</v>
      </c>
      <c r="I718" s="1">
        <v>37</v>
      </c>
      <c r="J718" s="2">
        <v>236629</v>
      </c>
      <c r="K718">
        <v>93</v>
      </c>
      <c r="L718">
        <v>0</v>
      </c>
      <c r="M718">
        <v>3</v>
      </c>
      <c r="O718">
        <v>0</v>
      </c>
      <c r="P718">
        <v>0</v>
      </c>
      <c r="Q718">
        <v>1</v>
      </c>
      <c r="R718">
        <v>88</v>
      </c>
      <c r="S718">
        <v>172</v>
      </c>
      <c r="T718">
        <v>29</v>
      </c>
      <c r="U718">
        <v>2</v>
      </c>
      <c r="V718" s="53" t="str">
        <f>IFERROR(
IF(tbl_abs[[#This Row],[Month of absence]]=0,"Unknown",
CHOOSE(tbl_abs[[#This Row],[Month of absence]],
"Jan","Feb","Mar","Apr","May","Jun","Jul","Aug","Sep","Oct","Nov","Dec")),"")</f>
        <v>Dec</v>
      </c>
      <c r="W718" s="53" t="str">
        <f>IFERROR(
IF(tbl_abs[[#This Row],[Age]]&lt;30,"&lt;30",
IF(tbl_abs[[#This Row],[Age]]&lt;40,"30–39",
IF(tbl_abs[[#This Row],[Age]]&lt;50,"40–49",
IF(tbl_abs[[#This Row],[Age]]&lt;60,"50–59",
"60+")))),"")</f>
        <v>30–39</v>
      </c>
      <c r="X718" s="53" t="str">
        <f>IFERROR(
IF(tbl_abs[[#This Row],[Distance from Residence to Work]]&lt;=5,"0–5",
IF(tbl_abs[[#This Row],[Distance from Residence to Work]]&lt;=10,"6–10",
IF(tbl_abs[[#This Row],[Distance from Residence to Work]]&lt;=20,"11–20",
"21+"))),"")</f>
        <v>11–20</v>
      </c>
      <c r="Y718" s="53" t="str">
        <f>IFERROR(
IF(tbl_abs[[#This Row],[Body Mass Index]]&lt;18.5,"Underweight",
IF(tbl_abs[[#This Row],[Body Mass Index]]&lt;25,"Normal",
IF(tbl_abs[[#This Row],[Body Mass Index]]&lt;30,"Overweight",
"Obese"))),"")</f>
        <v>Overweight</v>
      </c>
      <c r="Z718" s="53" t="str">
        <f>IFERROR(
IF(tbl_abs[[#This Row],[Absenteeism time in hours]]&lt;=2,"0–2",
IF(tbl_abs[[#This Row],[Absenteeism time in hours]]&lt;=8,"3–8",
IF(tbl_abs[[#This Row],[Absenteeism time in hours]]&lt;=16,"9–16",
"17+"))),"")</f>
        <v>0–2</v>
      </c>
    </row>
    <row r="719" spans="1:26" ht="15" customHeight="1" x14ac:dyDescent="0.3">
      <c r="A719">
        <v>3</v>
      </c>
      <c r="B719">
        <v>28</v>
      </c>
      <c r="C719" s="1">
        <v>12</v>
      </c>
      <c r="D719">
        <v>6</v>
      </c>
      <c r="E719">
        <v>4</v>
      </c>
      <c r="F719">
        <v>179</v>
      </c>
      <c r="G719" s="1">
        <v>51</v>
      </c>
      <c r="H719">
        <v>18</v>
      </c>
      <c r="I719" s="1">
        <v>38</v>
      </c>
      <c r="J719" s="2">
        <v>236629</v>
      </c>
      <c r="K719">
        <v>93</v>
      </c>
      <c r="L719">
        <v>0</v>
      </c>
      <c r="M719">
        <v>1</v>
      </c>
      <c r="N719">
        <v>0</v>
      </c>
      <c r="O719">
        <v>1</v>
      </c>
      <c r="P719">
        <v>0</v>
      </c>
      <c r="Q719">
        <v>0</v>
      </c>
      <c r="R719">
        <v>89</v>
      </c>
      <c r="S719">
        <v>170</v>
      </c>
      <c r="T719">
        <v>31</v>
      </c>
      <c r="U719">
        <v>1</v>
      </c>
      <c r="V719" s="53" t="str">
        <f>IFERROR(
IF(tbl_abs[[#This Row],[Month of absence]]=0,"Unknown",
CHOOSE(tbl_abs[[#This Row],[Month of absence]],
"Jan","Feb","Mar","Apr","May","Jun","Jul","Aug","Sep","Oct","Nov","Dec")),"")</f>
        <v>Dec</v>
      </c>
      <c r="W719" s="53" t="str">
        <f>IFERROR(
IF(tbl_abs[[#This Row],[Age]]&lt;30,"&lt;30",
IF(tbl_abs[[#This Row],[Age]]&lt;40,"30–39",
IF(tbl_abs[[#This Row],[Age]]&lt;50,"40–49",
IF(tbl_abs[[#This Row],[Age]]&lt;60,"50–59",
"60+")))),"")</f>
        <v>30–39</v>
      </c>
      <c r="X719" s="53" t="str">
        <f>IFERROR(
IF(tbl_abs[[#This Row],[Distance from Residence to Work]]&lt;=5,"0–5",
IF(tbl_abs[[#This Row],[Distance from Residence to Work]]&lt;=10,"6–10",
IF(tbl_abs[[#This Row],[Distance from Residence to Work]]&lt;=20,"11–20",
"21+"))),"")</f>
        <v>21+</v>
      </c>
      <c r="Y719" s="53" t="str">
        <f>IFERROR(
IF(tbl_abs[[#This Row],[Body Mass Index]]&lt;18.5,"Underweight",
IF(tbl_abs[[#This Row],[Body Mass Index]]&lt;25,"Normal",
IF(tbl_abs[[#This Row],[Body Mass Index]]&lt;30,"Overweight",
"Obese"))),"")</f>
        <v>Obese</v>
      </c>
      <c r="Z719" s="53" t="str">
        <f>IFERROR(
IF(tbl_abs[[#This Row],[Absenteeism time in hours]]&lt;=2,"0–2",
IF(tbl_abs[[#This Row],[Absenteeism time in hours]]&lt;=8,"3–8",
IF(tbl_abs[[#This Row],[Absenteeism time in hours]]&lt;=16,"9–16",
"17+"))),"")</f>
        <v>0–2</v>
      </c>
    </row>
    <row r="720" spans="1:26" ht="15" customHeight="1" x14ac:dyDescent="0.3">
      <c r="A720">
        <v>5</v>
      </c>
      <c r="B720">
        <v>13</v>
      </c>
      <c r="C720" s="1">
        <v>12</v>
      </c>
      <c r="D720">
        <v>3</v>
      </c>
      <c r="E720">
        <v>2</v>
      </c>
      <c r="F720">
        <v>235</v>
      </c>
      <c r="G720" s="1">
        <v>20</v>
      </c>
      <c r="H720">
        <v>13</v>
      </c>
      <c r="I720" s="1">
        <v>43</v>
      </c>
      <c r="J720" s="2">
        <v>236629</v>
      </c>
      <c r="K720">
        <v>93</v>
      </c>
      <c r="L720">
        <v>0</v>
      </c>
      <c r="M720">
        <v>1</v>
      </c>
      <c r="N720">
        <v>1</v>
      </c>
      <c r="O720">
        <v>1</v>
      </c>
      <c r="P720">
        <v>0</v>
      </c>
      <c r="Q720">
        <v>0</v>
      </c>
      <c r="R720">
        <v>106</v>
      </c>
      <c r="S720">
        <v>167</v>
      </c>
      <c r="T720">
        <v>38</v>
      </c>
      <c r="U720">
        <v>8</v>
      </c>
      <c r="V720" s="53" t="str">
        <f>IFERROR(
IF(tbl_abs[[#This Row],[Month of absence]]=0,"Unknown",
CHOOSE(tbl_abs[[#This Row],[Month of absence]],
"Jan","Feb","Mar","Apr","May","Jun","Jul","Aug","Sep","Oct","Nov","Dec")),"")</f>
        <v>Dec</v>
      </c>
      <c r="W720" s="53" t="str">
        <f>IFERROR(
IF(tbl_abs[[#This Row],[Age]]&lt;30,"&lt;30",
IF(tbl_abs[[#This Row],[Age]]&lt;40,"30–39",
IF(tbl_abs[[#This Row],[Age]]&lt;50,"40–49",
IF(tbl_abs[[#This Row],[Age]]&lt;60,"50–59",
"60+")))),"")</f>
        <v>40–49</v>
      </c>
      <c r="X720" s="53" t="str">
        <f>IFERROR(
IF(tbl_abs[[#This Row],[Distance from Residence to Work]]&lt;=5,"0–5",
IF(tbl_abs[[#This Row],[Distance from Residence to Work]]&lt;=10,"6–10",
IF(tbl_abs[[#This Row],[Distance from Residence to Work]]&lt;=20,"11–20",
"21+"))),"")</f>
        <v>11–20</v>
      </c>
      <c r="Y720" s="53" t="str">
        <f>IFERROR(
IF(tbl_abs[[#This Row],[Body Mass Index]]&lt;18.5,"Underweight",
IF(tbl_abs[[#This Row],[Body Mass Index]]&lt;25,"Normal",
IF(tbl_abs[[#This Row],[Body Mass Index]]&lt;30,"Overweight",
"Obese"))),"")</f>
        <v>Obese</v>
      </c>
      <c r="Z720" s="53" t="str">
        <f>IFERROR(
IF(tbl_abs[[#This Row],[Absenteeism time in hours]]&lt;=2,"0–2",
IF(tbl_abs[[#This Row],[Absenteeism time in hours]]&lt;=8,"3–8",
IF(tbl_abs[[#This Row],[Absenteeism time in hours]]&lt;=16,"9–16",
"17+"))),"")</f>
        <v>3–8</v>
      </c>
    </row>
    <row r="721" spans="1:26" ht="15" customHeight="1" x14ac:dyDescent="0.3">
      <c r="A721">
        <v>1</v>
      </c>
      <c r="B721">
        <v>14</v>
      </c>
      <c r="C721" s="1">
        <v>12</v>
      </c>
      <c r="D721">
        <v>3</v>
      </c>
      <c r="E721">
        <v>2</v>
      </c>
      <c r="F721">
        <v>235</v>
      </c>
      <c r="G721" s="1">
        <v>11</v>
      </c>
      <c r="H721">
        <v>14</v>
      </c>
      <c r="I721" s="1">
        <v>37</v>
      </c>
      <c r="J721" s="2">
        <v>236629</v>
      </c>
      <c r="K721">
        <v>93</v>
      </c>
      <c r="L721">
        <v>0</v>
      </c>
      <c r="M721">
        <v>3</v>
      </c>
      <c r="N721">
        <v>1</v>
      </c>
      <c r="O721">
        <v>0</v>
      </c>
      <c r="P721">
        <v>0</v>
      </c>
      <c r="Q721">
        <v>1</v>
      </c>
      <c r="R721">
        <v>88</v>
      </c>
      <c r="S721">
        <v>172</v>
      </c>
      <c r="T721">
        <v>29</v>
      </c>
      <c r="U721">
        <v>4</v>
      </c>
      <c r="V721" s="53" t="str">
        <f>IFERROR(
IF(tbl_abs[[#This Row],[Month of absence]]=0,"Unknown",
CHOOSE(tbl_abs[[#This Row],[Month of absence]],
"Jan","Feb","Mar","Apr","May","Jun","Jul","Aug","Sep","Oct","Nov","Dec")),"")</f>
        <v>Dec</v>
      </c>
      <c r="W721" s="53" t="str">
        <f>IFERROR(
IF(tbl_abs[[#This Row],[Age]]&lt;30,"&lt;30",
IF(tbl_abs[[#This Row],[Age]]&lt;40,"30–39",
IF(tbl_abs[[#This Row],[Age]]&lt;50,"40–49",
IF(tbl_abs[[#This Row],[Age]]&lt;60,"50–59",
"60+")))),"")</f>
        <v>30–39</v>
      </c>
      <c r="X721" s="53" t="str">
        <f>IFERROR(
IF(tbl_abs[[#This Row],[Distance from Residence to Work]]&lt;=5,"0–5",
IF(tbl_abs[[#This Row],[Distance from Residence to Work]]&lt;=10,"6–10",
IF(tbl_abs[[#This Row],[Distance from Residence to Work]]&lt;=20,"11–20",
"21+"))),"")</f>
        <v>11–20</v>
      </c>
      <c r="Y721" s="53" t="str">
        <f>IFERROR(
IF(tbl_abs[[#This Row],[Body Mass Index]]&lt;18.5,"Underweight",
IF(tbl_abs[[#This Row],[Body Mass Index]]&lt;25,"Normal",
IF(tbl_abs[[#This Row],[Body Mass Index]]&lt;30,"Overweight",
"Obese"))),"")</f>
        <v>Overweight</v>
      </c>
      <c r="Z721" s="53" t="str">
        <f>IFERROR(
IF(tbl_abs[[#This Row],[Absenteeism time in hours]]&lt;=2,"0–2",
IF(tbl_abs[[#This Row],[Absenteeism time in hours]]&lt;=8,"3–8",
IF(tbl_abs[[#This Row],[Absenteeism time in hours]]&lt;=16,"9–16",
"17+"))),"")</f>
        <v>3–8</v>
      </c>
    </row>
    <row r="722" spans="1:26" ht="15" customHeight="1" x14ac:dyDescent="0.3">
      <c r="A722">
        <v>20</v>
      </c>
      <c r="B722">
        <v>26</v>
      </c>
      <c r="C722" s="1">
        <v>12</v>
      </c>
      <c r="D722">
        <v>4</v>
      </c>
      <c r="E722">
        <v>2</v>
      </c>
      <c r="F722">
        <v>260</v>
      </c>
      <c r="G722" s="1">
        <v>50</v>
      </c>
      <c r="H722">
        <v>11</v>
      </c>
      <c r="I722" s="1">
        <v>36</v>
      </c>
      <c r="J722" s="2">
        <v>236629</v>
      </c>
      <c r="K722">
        <v>93</v>
      </c>
      <c r="L722">
        <v>0</v>
      </c>
      <c r="M722">
        <v>1</v>
      </c>
      <c r="N722">
        <v>4</v>
      </c>
      <c r="O722">
        <v>1</v>
      </c>
      <c r="P722">
        <v>0</v>
      </c>
      <c r="Q722">
        <v>0</v>
      </c>
      <c r="R722">
        <v>65</v>
      </c>
      <c r="S722">
        <v>168</v>
      </c>
      <c r="T722">
        <v>23</v>
      </c>
      <c r="U722">
        <v>8</v>
      </c>
      <c r="V722" s="53" t="str">
        <f>IFERROR(
IF(tbl_abs[[#This Row],[Month of absence]]=0,"Unknown",
CHOOSE(tbl_abs[[#This Row],[Month of absence]],
"Jan","Feb","Mar","Apr","May","Jun","Jul","Aug","Sep","Oct","Nov","Dec")),"")</f>
        <v>Dec</v>
      </c>
      <c r="W722" s="53" t="str">
        <f>IFERROR(
IF(tbl_abs[[#This Row],[Age]]&lt;30,"&lt;30",
IF(tbl_abs[[#This Row],[Age]]&lt;40,"30–39",
IF(tbl_abs[[#This Row],[Age]]&lt;50,"40–49",
IF(tbl_abs[[#This Row],[Age]]&lt;60,"50–59",
"60+")))),"")</f>
        <v>30–39</v>
      </c>
      <c r="X722" s="53" t="str">
        <f>IFERROR(
IF(tbl_abs[[#This Row],[Distance from Residence to Work]]&lt;=5,"0–5",
IF(tbl_abs[[#This Row],[Distance from Residence to Work]]&lt;=10,"6–10",
IF(tbl_abs[[#This Row],[Distance from Residence to Work]]&lt;=20,"11–20",
"21+"))),"")</f>
        <v>21+</v>
      </c>
      <c r="Y722" s="53" t="str">
        <f>IFERROR(
IF(tbl_abs[[#This Row],[Body Mass Index]]&lt;18.5,"Underweight",
IF(tbl_abs[[#This Row],[Body Mass Index]]&lt;25,"Normal",
IF(tbl_abs[[#This Row],[Body Mass Index]]&lt;30,"Overweight",
"Obese"))),"")</f>
        <v>Normal</v>
      </c>
      <c r="Z722" s="53" t="str">
        <f>IFERROR(
IF(tbl_abs[[#This Row],[Absenteeism time in hours]]&lt;=2,"0–2",
IF(tbl_abs[[#This Row],[Absenteeism time in hours]]&lt;=8,"3–8",
IF(tbl_abs[[#This Row],[Absenteeism time in hours]]&lt;=16,"9–16",
"17+"))),"")</f>
        <v>3–8</v>
      </c>
    </row>
    <row r="723" spans="1:26" ht="15" customHeight="1" x14ac:dyDescent="0.3">
      <c r="A723">
        <v>30</v>
      </c>
      <c r="B723">
        <v>28</v>
      </c>
      <c r="C723" s="1">
        <v>12</v>
      </c>
      <c r="D723">
        <v>2</v>
      </c>
      <c r="E723">
        <v>2</v>
      </c>
      <c r="F723">
        <v>157</v>
      </c>
      <c r="G723" s="1">
        <v>27</v>
      </c>
      <c r="H723">
        <v>6</v>
      </c>
      <c r="I723" s="1">
        <v>29</v>
      </c>
      <c r="J723" s="2">
        <v>236629</v>
      </c>
      <c r="K723">
        <v>93</v>
      </c>
      <c r="L723">
        <v>0</v>
      </c>
      <c r="M723">
        <v>1</v>
      </c>
      <c r="N723">
        <v>0</v>
      </c>
      <c r="O723">
        <v>1</v>
      </c>
      <c r="P723">
        <v>1</v>
      </c>
      <c r="Q723">
        <v>0</v>
      </c>
      <c r="R723">
        <v>75</v>
      </c>
      <c r="S723">
        <v>185</v>
      </c>
      <c r="T723">
        <v>22</v>
      </c>
      <c r="U723">
        <v>2</v>
      </c>
      <c r="V723" s="53" t="str">
        <f>IFERROR(
IF(tbl_abs[[#This Row],[Month of absence]]=0,"Unknown",
CHOOSE(tbl_abs[[#This Row],[Month of absence]],
"Jan","Feb","Mar","Apr","May","Jun","Jul","Aug","Sep","Oct","Nov","Dec")),"")</f>
        <v>Dec</v>
      </c>
      <c r="W723" s="53" t="str">
        <f>IFERROR(
IF(tbl_abs[[#This Row],[Age]]&lt;30,"&lt;30",
IF(tbl_abs[[#This Row],[Age]]&lt;40,"30–39",
IF(tbl_abs[[#This Row],[Age]]&lt;50,"40–49",
IF(tbl_abs[[#This Row],[Age]]&lt;60,"50–59",
"60+")))),"")</f>
        <v>&lt;30</v>
      </c>
      <c r="X723" s="53" t="str">
        <f>IFERROR(
IF(tbl_abs[[#This Row],[Distance from Residence to Work]]&lt;=5,"0–5",
IF(tbl_abs[[#This Row],[Distance from Residence to Work]]&lt;=10,"6–10",
IF(tbl_abs[[#This Row],[Distance from Residence to Work]]&lt;=20,"11–20",
"21+"))),"")</f>
        <v>21+</v>
      </c>
      <c r="Y723" s="53" t="str">
        <f>IFERROR(
IF(tbl_abs[[#This Row],[Body Mass Index]]&lt;18.5,"Underweight",
IF(tbl_abs[[#This Row],[Body Mass Index]]&lt;25,"Normal",
IF(tbl_abs[[#This Row],[Body Mass Index]]&lt;30,"Overweight",
"Obese"))),"")</f>
        <v>Normal</v>
      </c>
      <c r="Z723" s="53" t="str">
        <f>IFERROR(
IF(tbl_abs[[#This Row],[Absenteeism time in hours]]&lt;=2,"0–2",
IF(tbl_abs[[#This Row],[Absenteeism time in hours]]&lt;=8,"3–8",
IF(tbl_abs[[#This Row],[Absenteeism time in hours]]&lt;=16,"9–16",
"17+"))),"")</f>
        <v>0–2</v>
      </c>
    </row>
    <row r="724" spans="1:26" ht="15" customHeight="1" x14ac:dyDescent="0.3">
      <c r="A724">
        <v>3</v>
      </c>
      <c r="B724">
        <v>28</v>
      </c>
      <c r="C724" s="1">
        <v>12</v>
      </c>
      <c r="D724">
        <v>2</v>
      </c>
      <c r="E724">
        <v>2</v>
      </c>
      <c r="F724">
        <v>179</v>
      </c>
      <c r="G724" s="1">
        <v>51</v>
      </c>
      <c r="H724">
        <v>18</v>
      </c>
      <c r="I724" s="1">
        <v>38</v>
      </c>
      <c r="J724" s="2">
        <v>236629</v>
      </c>
      <c r="K724">
        <v>93</v>
      </c>
      <c r="L724">
        <v>0</v>
      </c>
      <c r="M724">
        <v>1</v>
      </c>
      <c r="N724">
        <v>0</v>
      </c>
      <c r="O724">
        <v>1</v>
      </c>
      <c r="P724">
        <v>0</v>
      </c>
      <c r="Q724">
        <v>0</v>
      </c>
      <c r="R724">
        <v>89</v>
      </c>
      <c r="S724">
        <v>170</v>
      </c>
      <c r="T724">
        <v>31</v>
      </c>
      <c r="U724">
        <v>3</v>
      </c>
      <c r="V724" s="53" t="str">
        <f>IFERROR(
IF(tbl_abs[[#This Row],[Month of absence]]=0,"Unknown",
CHOOSE(tbl_abs[[#This Row],[Month of absence]],
"Jan","Feb","Mar","Apr","May","Jun","Jul","Aug","Sep","Oct","Nov","Dec")),"")</f>
        <v>Dec</v>
      </c>
      <c r="W724" s="53" t="str">
        <f>IFERROR(
IF(tbl_abs[[#This Row],[Age]]&lt;30,"&lt;30",
IF(tbl_abs[[#This Row],[Age]]&lt;40,"30–39",
IF(tbl_abs[[#This Row],[Age]]&lt;50,"40–49",
IF(tbl_abs[[#This Row],[Age]]&lt;60,"50–59",
"60+")))),"")</f>
        <v>30–39</v>
      </c>
      <c r="X724" s="53" t="str">
        <f>IFERROR(
IF(tbl_abs[[#This Row],[Distance from Residence to Work]]&lt;=5,"0–5",
IF(tbl_abs[[#This Row],[Distance from Residence to Work]]&lt;=10,"6–10",
IF(tbl_abs[[#This Row],[Distance from Residence to Work]]&lt;=20,"11–20",
"21+"))),"")</f>
        <v>21+</v>
      </c>
      <c r="Y724" s="53" t="str">
        <f>IFERROR(
IF(tbl_abs[[#This Row],[Body Mass Index]]&lt;18.5,"Underweight",
IF(tbl_abs[[#This Row],[Body Mass Index]]&lt;25,"Normal",
IF(tbl_abs[[#This Row],[Body Mass Index]]&lt;30,"Overweight",
"Obese"))),"")</f>
        <v>Obese</v>
      </c>
      <c r="Z724" s="53" t="str">
        <f>IFERROR(
IF(tbl_abs[[#This Row],[Absenteeism time in hours]]&lt;=2,"0–2",
IF(tbl_abs[[#This Row],[Absenteeism time in hours]]&lt;=8,"3–8",
IF(tbl_abs[[#This Row],[Absenteeism time in hours]]&lt;=16,"9–16",
"17+"))),"")</f>
        <v>3–8</v>
      </c>
    </row>
    <row r="725" spans="1:26" ht="15" customHeight="1" x14ac:dyDescent="0.3">
      <c r="A725">
        <v>11</v>
      </c>
      <c r="B725">
        <v>19</v>
      </c>
      <c r="C725" s="1">
        <v>12</v>
      </c>
      <c r="D725">
        <v>2</v>
      </c>
      <c r="E725">
        <v>2</v>
      </c>
      <c r="F725">
        <v>289</v>
      </c>
      <c r="G725" s="1">
        <v>36</v>
      </c>
      <c r="H725">
        <v>13</v>
      </c>
      <c r="I725" s="1">
        <v>33</v>
      </c>
      <c r="J725" s="2">
        <v>236629</v>
      </c>
      <c r="K725">
        <v>93</v>
      </c>
      <c r="L725">
        <v>0</v>
      </c>
      <c r="M725">
        <v>1</v>
      </c>
      <c r="N725">
        <v>2</v>
      </c>
      <c r="O725">
        <v>1</v>
      </c>
      <c r="P725">
        <v>0</v>
      </c>
      <c r="Q725">
        <v>1</v>
      </c>
      <c r="R725">
        <v>90</v>
      </c>
      <c r="S725">
        <v>172</v>
      </c>
      <c r="T725">
        <v>30</v>
      </c>
      <c r="U725">
        <v>8</v>
      </c>
      <c r="V725" s="53" t="str">
        <f>IFERROR(
IF(tbl_abs[[#This Row],[Month of absence]]=0,"Unknown",
CHOOSE(tbl_abs[[#This Row],[Month of absence]],
"Jan","Feb","Mar","Apr","May","Jun","Jul","Aug","Sep","Oct","Nov","Dec")),"")</f>
        <v>Dec</v>
      </c>
      <c r="W725" s="53" t="str">
        <f>IFERROR(
IF(tbl_abs[[#This Row],[Age]]&lt;30,"&lt;30",
IF(tbl_abs[[#This Row],[Age]]&lt;40,"30–39",
IF(tbl_abs[[#This Row],[Age]]&lt;50,"40–49",
IF(tbl_abs[[#This Row],[Age]]&lt;60,"50–59",
"60+")))),"")</f>
        <v>30–39</v>
      </c>
      <c r="X725" s="53" t="str">
        <f>IFERROR(
IF(tbl_abs[[#This Row],[Distance from Residence to Work]]&lt;=5,"0–5",
IF(tbl_abs[[#This Row],[Distance from Residence to Work]]&lt;=10,"6–10",
IF(tbl_abs[[#This Row],[Distance from Residence to Work]]&lt;=20,"11–20",
"21+"))),"")</f>
        <v>21+</v>
      </c>
      <c r="Y725" s="53" t="str">
        <f>IFERROR(
IF(tbl_abs[[#This Row],[Body Mass Index]]&lt;18.5,"Underweight",
IF(tbl_abs[[#This Row],[Body Mass Index]]&lt;25,"Normal",
IF(tbl_abs[[#This Row],[Body Mass Index]]&lt;30,"Overweight",
"Obese"))),"")</f>
        <v>Obese</v>
      </c>
      <c r="Z725" s="53" t="str">
        <f>IFERROR(
IF(tbl_abs[[#This Row],[Absenteeism time in hours]]&lt;=2,"0–2",
IF(tbl_abs[[#This Row],[Absenteeism time in hours]]&lt;=8,"3–8",
IF(tbl_abs[[#This Row],[Absenteeism time in hours]]&lt;=16,"9–16",
"17+"))),"")</f>
        <v>3–8</v>
      </c>
    </row>
    <row r="726" spans="1:26" ht="15" customHeight="1" x14ac:dyDescent="0.3">
      <c r="A726">
        <v>3</v>
      </c>
      <c r="B726">
        <v>13</v>
      </c>
      <c r="C726" s="1">
        <v>12</v>
      </c>
      <c r="D726">
        <v>3</v>
      </c>
      <c r="E726">
        <v>4</v>
      </c>
      <c r="F726">
        <v>179</v>
      </c>
      <c r="G726" s="1">
        <v>51</v>
      </c>
      <c r="H726">
        <v>18</v>
      </c>
      <c r="I726" s="1">
        <v>38</v>
      </c>
      <c r="J726" s="2">
        <v>280549</v>
      </c>
      <c r="K726">
        <v>98</v>
      </c>
      <c r="L726">
        <v>0</v>
      </c>
      <c r="M726">
        <v>1</v>
      </c>
      <c r="N726">
        <v>0</v>
      </c>
      <c r="O726">
        <v>1</v>
      </c>
      <c r="P726">
        <v>0</v>
      </c>
      <c r="Q726">
        <v>0</v>
      </c>
      <c r="R726">
        <v>89</v>
      </c>
      <c r="S726">
        <v>170</v>
      </c>
      <c r="T726">
        <v>31</v>
      </c>
      <c r="V726" s="53" t="str">
        <f>IFERROR(
IF(tbl_abs[[#This Row],[Month of absence]]=0,"Unknown",
CHOOSE(tbl_abs[[#This Row],[Month of absence]],
"Jan","Feb","Mar","Apr","May","Jun","Jul","Aug","Sep","Oct","Nov","Dec")),"")</f>
        <v>Dec</v>
      </c>
      <c r="W726" s="53" t="str">
        <f>IFERROR(
IF(tbl_abs[[#This Row],[Age]]&lt;30,"&lt;30",
IF(tbl_abs[[#This Row],[Age]]&lt;40,"30–39",
IF(tbl_abs[[#This Row],[Age]]&lt;50,"40–49",
IF(tbl_abs[[#This Row],[Age]]&lt;60,"50–59",
"60+")))),"")</f>
        <v>30–39</v>
      </c>
      <c r="X726" s="53" t="str">
        <f>IFERROR(
IF(tbl_abs[[#This Row],[Distance from Residence to Work]]&lt;=5,"0–5",
IF(tbl_abs[[#This Row],[Distance from Residence to Work]]&lt;=10,"6–10",
IF(tbl_abs[[#This Row],[Distance from Residence to Work]]&lt;=20,"11–20",
"21+"))),"")</f>
        <v>21+</v>
      </c>
      <c r="Y726" s="53" t="str">
        <f>IFERROR(
IF(tbl_abs[[#This Row],[Body Mass Index]]&lt;18.5,"Underweight",
IF(tbl_abs[[#This Row],[Body Mass Index]]&lt;25,"Normal",
IF(tbl_abs[[#This Row],[Body Mass Index]]&lt;30,"Overweight",
"Obese"))),"")</f>
        <v>Obese</v>
      </c>
      <c r="Z726" s="53" t="str">
        <f>IFERROR(
IF(tbl_abs[[#This Row],[Absenteeism time in hours]]&lt;=2,"0–2",
IF(tbl_abs[[#This Row],[Absenteeism time in hours]]&lt;=8,"3–8",
IF(tbl_abs[[#This Row],[Absenteeism time in hours]]&lt;=16,"9–16",
"17+"))),"")</f>
        <v>0–2</v>
      </c>
    </row>
    <row r="727" spans="1:26" ht="15" customHeight="1" x14ac:dyDescent="0.3">
      <c r="A727">
        <v>15</v>
      </c>
      <c r="B727">
        <v>28</v>
      </c>
      <c r="C727" s="1">
        <v>12</v>
      </c>
      <c r="D727">
        <v>4</v>
      </c>
      <c r="E727">
        <v>4</v>
      </c>
      <c r="F727">
        <v>291</v>
      </c>
      <c r="G727" s="1">
        <v>31</v>
      </c>
      <c r="H727">
        <v>12</v>
      </c>
      <c r="I727" s="1">
        <v>40</v>
      </c>
      <c r="J727" s="2">
        <v>280549</v>
      </c>
      <c r="K727">
        <v>98</v>
      </c>
      <c r="L727">
        <v>0</v>
      </c>
      <c r="M727">
        <v>1</v>
      </c>
      <c r="N727">
        <v>1</v>
      </c>
      <c r="O727">
        <v>1</v>
      </c>
      <c r="P727">
        <v>0</v>
      </c>
      <c r="Q727">
        <v>1</v>
      </c>
      <c r="R727">
        <v>73</v>
      </c>
      <c r="S727">
        <v>171</v>
      </c>
      <c r="T727">
        <v>25</v>
      </c>
      <c r="U727">
        <v>1</v>
      </c>
      <c r="V727" s="53" t="str">
        <f>IFERROR(
IF(tbl_abs[[#This Row],[Month of absence]]=0,"Unknown",
CHOOSE(tbl_abs[[#This Row],[Month of absence]],
"Jan","Feb","Mar","Apr","May","Jun","Jul","Aug","Sep","Oct","Nov","Dec")),"")</f>
        <v>Dec</v>
      </c>
      <c r="W727" s="53" t="str">
        <f>IFERROR(
IF(tbl_abs[[#This Row],[Age]]&lt;30,"&lt;30",
IF(tbl_abs[[#This Row],[Age]]&lt;40,"30–39",
IF(tbl_abs[[#This Row],[Age]]&lt;50,"40–49",
IF(tbl_abs[[#This Row],[Age]]&lt;60,"50–59",
"60+")))),"")</f>
        <v>40–49</v>
      </c>
      <c r="X727" s="53" t="str">
        <f>IFERROR(
IF(tbl_abs[[#This Row],[Distance from Residence to Work]]&lt;=5,"0–5",
IF(tbl_abs[[#This Row],[Distance from Residence to Work]]&lt;=10,"6–10",
IF(tbl_abs[[#This Row],[Distance from Residence to Work]]&lt;=20,"11–20",
"21+"))),"")</f>
        <v>21+</v>
      </c>
      <c r="Y727" s="53" t="str">
        <f>IFERROR(
IF(tbl_abs[[#This Row],[Body Mass Index]]&lt;18.5,"Underweight",
IF(tbl_abs[[#This Row],[Body Mass Index]]&lt;25,"Normal",
IF(tbl_abs[[#This Row],[Body Mass Index]]&lt;30,"Overweight",
"Obese"))),"")</f>
        <v>Overweight</v>
      </c>
      <c r="Z727" s="53" t="str">
        <f>IFERROR(
IF(tbl_abs[[#This Row],[Absenteeism time in hours]]&lt;=2,"0–2",
IF(tbl_abs[[#This Row],[Absenteeism time in hours]]&lt;=8,"3–8",
IF(tbl_abs[[#This Row],[Absenteeism time in hours]]&lt;=16,"9–16",
"17+"))),"")</f>
        <v>0–2</v>
      </c>
    </row>
    <row r="728" spans="1:26" ht="15" customHeight="1" x14ac:dyDescent="0.3">
      <c r="A728">
        <v>28</v>
      </c>
      <c r="B728">
        <v>23</v>
      </c>
      <c r="C728" s="1">
        <v>12</v>
      </c>
      <c r="D728">
        <v>4</v>
      </c>
      <c r="E728">
        <v>4</v>
      </c>
      <c r="F728">
        <v>225</v>
      </c>
      <c r="G728" s="1">
        <v>26</v>
      </c>
      <c r="H728">
        <v>9</v>
      </c>
      <c r="I728" s="1">
        <v>28</v>
      </c>
      <c r="J728" s="2">
        <v>280549</v>
      </c>
      <c r="K728">
        <v>98</v>
      </c>
      <c r="L728">
        <v>0</v>
      </c>
      <c r="M728">
        <v>1</v>
      </c>
      <c r="N728">
        <v>1</v>
      </c>
      <c r="O728">
        <v>0</v>
      </c>
      <c r="P728">
        <v>0</v>
      </c>
      <c r="Q728">
        <v>2</v>
      </c>
      <c r="R728">
        <v>69</v>
      </c>
      <c r="S728">
        <v>169</v>
      </c>
      <c r="T728">
        <v>24</v>
      </c>
      <c r="U728">
        <v>3</v>
      </c>
      <c r="V728" s="53" t="str">
        <f>IFERROR(
IF(tbl_abs[[#This Row],[Month of absence]]=0,"Unknown",
CHOOSE(tbl_abs[[#This Row],[Month of absence]],
"Jan","Feb","Mar","Apr","May","Jun","Jul","Aug","Sep","Oct","Nov","Dec")),"")</f>
        <v>Dec</v>
      </c>
      <c r="W728" s="53" t="str">
        <f>IFERROR(
IF(tbl_abs[[#This Row],[Age]]&lt;30,"&lt;30",
IF(tbl_abs[[#This Row],[Age]]&lt;40,"30–39",
IF(tbl_abs[[#This Row],[Age]]&lt;50,"40–49",
IF(tbl_abs[[#This Row],[Age]]&lt;60,"50–59",
"60+")))),"")</f>
        <v>&lt;30</v>
      </c>
      <c r="X728" s="53" t="str">
        <f>IFERROR(
IF(tbl_abs[[#This Row],[Distance from Residence to Work]]&lt;=5,"0–5",
IF(tbl_abs[[#This Row],[Distance from Residence to Work]]&lt;=10,"6–10",
IF(tbl_abs[[#This Row],[Distance from Residence to Work]]&lt;=20,"11–20",
"21+"))),"")</f>
        <v>21+</v>
      </c>
      <c r="Y728" s="53" t="str">
        <f>IFERROR(
IF(tbl_abs[[#This Row],[Body Mass Index]]&lt;18.5,"Underweight",
IF(tbl_abs[[#This Row],[Body Mass Index]]&lt;25,"Normal",
IF(tbl_abs[[#This Row],[Body Mass Index]]&lt;30,"Overweight",
"Obese"))),"")</f>
        <v>Normal</v>
      </c>
      <c r="Z728" s="53" t="str">
        <f>IFERROR(
IF(tbl_abs[[#This Row],[Absenteeism time in hours]]&lt;=2,"0–2",
IF(tbl_abs[[#This Row],[Absenteeism time in hours]]&lt;=8,"3–8",
IF(tbl_abs[[#This Row],[Absenteeism time in hours]]&lt;=16,"9–16",
"17+"))),"")</f>
        <v>3–8</v>
      </c>
    </row>
    <row r="729" spans="1:26" ht="15" customHeight="1" x14ac:dyDescent="0.3">
      <c r="A729">
        <v>22</v>
      </c>
      <c r="B729">
        <v>13</v>
      </c>
      <c r="C729" s="1">
        <v>12</v>
      </c>
      <c r="D729">
        <v>6</v>
      </c>
      <c r="E729">
        <v>4</v>
      </c>
      <c r="F729">
        <v>179</v>
      </c>
      <c r="G729" s="1">
        <v>26</v>
      </c>
      <c r="H729">
        <v>9</v>
      </c>
      <c r="I729" s="1">
        <v>30</v>
      </c>
      <c r="J729" s="2">
        <v>280549</v>
      </c>
      <c r="K729">
        <v>98</v>
      </c>
      <c r="L729">
        <v>0</v>
      </c>
      <c r="M729">
        <v>3</v>
      </c>
      <c r="N729">
        <v>0</v>
      </c>
      <c r="O729">
        <v>0</v>
      </c>
      <c r="P729">
        <v>0</v>
      </c>
      <c r="Q729">
        <v>0</v>
      </c>
      <c r="R729">
        <v>56</v>
      </c>
      <c r="S729">
        <v>171</v>
      </c>
      <c r="T729">
        <v>19</v>
      </c>
      <c r="U729">
        <v>1</v>
      </c>
      <c r="V729" s="53" t="str">
        <f>IFERROR(
IF(tbl_abs[[#This Row],[Month of absence]]=0,"Unknown",
CHOOSE(tbl_abs[[#This Row],[Month of absence]],
"Jan","Feb","Mar","Apr","May","Jun","Jul","Aug","Sep","Oct","Nov","Dec")),"")</f>
        <v>Dec</v>
      </c>
      <c r="W729" s="53" t="str">
        <f>IFERROR(
IF(tbl_abs[[#This Row],[Age]]&lt;30,"&lt;30",
IF(tbl_abs[[#This Row],[Age]]&lt;40,"30–39",
IF(tbl_abs[[#This Row],[Age]]&lt;50,"40–49",
IF(tbl_abs[[#This Row],[Age]]&lt;60,"50–59",
"60+")))),"")</f>
        <v>30–39</v>
      </c>
      <c r="X729" s="53" t="str">
        <f>IFERROR(
IF(tbl_abs[[#This Row],[Distance from Residence to Work]]&lt;=5,"0–5",
IF(tbl_abs[[#This Row],[Distance from Residence to Work]]&lt;=10,"6–10",
IF(tbl_abs[[#This Row],[Distance from Residence to Work]]&lt;=20,"11–20",
"21+"))),"")</f>
        <v>21+</v>
      </c>
      <c r="Y729" s="53" t="str">
        <f>IFERROR(
IF(tbl_abs[[#This Row],[Body Mass Index]]&lt;18.5,"Underweight",
IF(tbl_abs[[#This Row],[Body Mass Index]]&lt;25,"Normal",
IF(tbl_abs[[#This Row],[Body Mass Index]]&lt;30,"Overweight",
"Obese"))),"")</f>
        <v>Normal</v>
      </c>
      <c r="Z729" s="53" t="str">
        <f>IFERROR(
IF(tbl_abs[[#This Row],[Absenteeism time in hours]]&lt;=2,"0–2",
IF(tbl_abs[[#This Row],[Absenteeism time in hours]]&lt;=8,"3–8",
IF(tbl_abs[[#This Row],[Absenteeism time in hours]]&lt;=16,"9–16",
"17+"))),"")</f>
        <v>0–2</v>
      </c>
    </row>
    <row r="730" spans="1:26" ht="15" customHeight="1" x14ac:dyDescent="0.3">
      <c r="A730">
        <v>28</v>
      </c>
      <c r="B730">
        <v>23</v>
      </c>
      <c r="C730" s="1">
        <v>12</v>
      </c>
      <c r="D730">
        <v>6</v>
      </c>
      <c r="E730">
        <v>4</v>
      </c>
      <c r="F730">
        <v>225</v>
      </c>
      <c r="G730" s="1">
        <v>26</v>
      </c>
      <c r="H730">
        <v>9</v>
      </c>
      <c r="I730" s="1">
        <v>28</v>
      </c>
      <c r="J730" s="2">
        <v>280549</v>
      </c>
      <c r="K730">
        <v>98</v>
      </c>
      <c r="L730">
        <v>0</v>
      </c>
      <c r="M730">
        <v>1</v>
      </c>
      <c r="N730">
        <v>1</v>
      </c>
      <c r="O730">
        <v>0</v>
      </c>
      <c r="P730">
        <v>0</v>
      </c>
      <c r="Q730">
        <v>2</v>
      </c>
      <c r="R730">
        <v>69</v>
      </c>
      <c r="S730">
        <v>169</v>
      </c>
      <c r="T730">
        <v>24</v>
      </c>
      <c r="U730">
        <v>3</v>
      </c>
      <c r="V730" s="53" t="str">
        <f>IFERROR(
IF(tbl_abs[[#This Row],[Month of absence]]=0,"Unknown",
CHOOSE(tbl_abs[[#This Row],[Month of absence]],
"Jan","Feb","Mar","Apr","May","Jun","Jul","Aug","Sep","Oct","Nov","Dec")),"")</f>
        <v>Dec</v>
      </c>
      <c r="W730" s="53" t="str">
        <f>IFERROR(
IF(tbl_abs[[#This Row],[Age]]&lt;30,"&lt;30",
IF(tbl_abs[[#This Row],[Age]]&lt;40,"30–39",
IF(tbl_abs[[#This Row],[Age]]&lt;50,"40–49",
IF(tbl_abs[[#This Row],[Age]]&lt;60,"50–59",
"60+")))),"")</f>
        <v>&lt;30</v>
      </c>
      <c r="X730" s="53" t="str">
        <f>IFERROR(
IF(tbl_abs[[#This Row],[Distance from Residence to Work]]&lt;=5,"0–5",
IF(tbl_abs[[#This Row],[Distance from Residence to Work]]&lt;=10,"6–10",
IF(tbl_abs[[#This Row],[Distance from Residence to Work]]&lt;=20,"11–20",
"21+"))),"")</f>
        <v>21+</v>
      </c>
      <c r="Y730" s="53" t="str">
        <f>IFERROR(
IF(tbl_abs[[#This Row],[Body Mass Index]]&lt;18.5,"Underweight",
IF(tbl_abs[[#This Row],[Body Mass Index]]&lt;25,"Normal",
IF(tbl_abs[[#This Row],[Body Mass Index]]&lt;30,"Overweight",
"Obese"))),"")</f>
        <v>Normal</v>
      </c>
      <c r="Z730" s="53" t="str">
        <f>IFERROR(
IF(tbl_abs[[#This Row],[Absenteeism time in hours]]&lt;=2,"0–2",
IF(tbl_abs[[#This Row],[Absenteeism time in hours]]&lt;=8,"3–8",
IF(tbl_abs[[#This Row],[Absenteeism time in hours]]&lt;=16,"9–16",
"17+"))),"")</f>
        <v>3–8</v>
      </c>
    </row>
    <row r="731" spans="1:26" ht="15" customHeight="1" x14ac:dyDescent="0.3">
      <c r="A731">
        <v>28</v>
      </c>
      <c r="B731">
        <v>23</v>
      </c>
      <c r="C731" s="1">
        <v>12</v>
      </c>
      <c r="D731">
        <v>4</v>
      </c>
      <c r="E731">
        <v>4</v>
      </c>
      <c r="F731">
        <v>225</v>
      </c>
      <c r="G731" s="1">
        <v>26</v>
      </c>
      <c r="H731">
        <v>9</v>
      </c>
      <c r="I731" s="1">
        <v>28</v>
      </c>
      <c r="J731" s="2">
        <v>280549</v>
      </c>
      <c r="K731">
        <v>98</v>
      </c>
      <c r="L731">
        <v>0</v>
      </c>
      <c r="M731">
        <v>1</v>
      </c>
      <c r="N731">
        <v>1</v>
      </c>
      <c r="O731">
        <v>0</v>
      </c>
      <c r="P731">
        <v>0</v>
      </c>
      <c r="Q731">
        <v>2</v>
      </c>
      <c r="R731">
        <v>69</v>
      </c>
      <c r="S731">
        <v>169</v>
      </c>
      <c r="T731">
        <v>24</v>
      </c>
      <c r="U731">
        <v>3</v>
      </c>
      <c r="V731" s="53" t="str">
        <f>IFERROR(
IF(tbl_abs[[#This Row],[Month of absence]]=0,"Unknown",
CHOOSE(tbl_abs[[#This Row],[Month of absence]],
"Jan","Feb","Mar","Apr","May","Jun","Jul","Aug","Sep","Oct","Nov","Dec")),"")</f>
        <v>Dec</v>
      </c>
      <c r="W731" s="53" t="str">
        <f>IFERROR(
IF(tbl_abs[[#This Row],[Age]]&lt;30,"&lt;30",
IF(tbl_abs[[#This Row],[Age]]&lt;40,"30–39",
IF(tbl_abs[[#This Row],[Age]]&lt;50,"40–49",
IF(tbl_abs[[#This Row],[Age]]&lt;60,"50–59",
"60+")))),"")</f>
        <v>&lt;30</v>
      </c>
      <c r="X731" s="53" t="str">
        <f>IFERROR(
IF(tbl_abs[[#This Row],[Distance from Residence to Work]]&lt;=5,"0–5",
IF(tbl_abs[[#This Row],[Distance from Residence to Work]]&lt;=10,"6–10",
IF(tbl_abs[[#This Row],[Distance from Residence to Work]]&lt;=20,"11–20",
"21+"))),"")</f>
        <v>21+</v>
      </c>
      <c r="Y731" s="53" t="str">
        <f>IFERROR(
IF(tbl_abs[[#This Row],[Body Mass Index]]&lt;18.5,"Underweight",
IF(tbl_abs[[#This Row],[Body Mass Index]]&lt;25,"Normal",
IF(tbl_abs[[#This Row],[Body Mass Index]]&lt;30,"Overweight",
"Obese"))),"")</f>
        <v>Normal</v>
      </c>
      <c r="Z731" s="53" t="str">
        <f>IFERROR(
IF(tbl_abs[[#This Row],[Absenteeism time in hours]]&lt;=2,"0–2",
IF(tbl_abs[[#This Row],[Absenteeism time in hours]]&lt;=8,"3–8",
IF(tbl_abs[[#This Row],[Absenteeism time in hours]]&lt;=16,"9–16",
"17+"))),"")</f>
        <v>3–8</v>
      </c>
    </row>
    <row r="732" spans="1:26" ht="15" customHeight="1" x14ac:dyDescent="0.3">
      <c r="A732">
        <v>10</v>
      </c>
      <c r="B732">
        <v>14</v>
      </c>
      <c r="C732" s="1">
        <v>12</v>
      </c>
      <c r="D732">
        <v>5</v>
      </c>
      <c r="E732">
        <v>4</v>
      </c>
      <c r="F732">
        <v>361</v>
      </c>
      <c r="G732" s="1">
        <v>52</v>
      </c>
      <c r="H732">
        <v>3</v>
      </c>
      <c r="I732" s="1">
        <v>28</v>
      </c>
      <c r="J732" s="2">
        <v>280549</v>
      </c>
      <c r="K732">
        <v>98</v>
      </c>
      <c r="L732">
        <v>0</v>
      </c>
      <c r="M732">
        <v>1</v>
      </c>
      <c r="N732">
        <v>1</v>
      </c>
      <c r="O732">
        <v>1</v>
      </c>
      <c r="P732">
        <v>0</v>
      </c>
      <c r="Q732">
        <v>4</v>
      </c>
      <c r="R732">
        <v>80</v>
      </c>
      <c r="S732">
        <v>172</v>
      </c>
      <c r="T732">
        <v>27</v>
      </c>
      <c r="U732">
        <v>4</v>
      </c>
      <c r="V732" s="53" t="str">
        <f>IFERROR(
IF(tbl_abs[[#This Row],[Month of absence]]=0,"Unknown",
CHOOSE(tbl_abs[[#This Row],[Month of absence]],
"Jan","Feb","Mar","Apr","May","Jun","Jul","Aug","Sep","Oct","Nov","Dec")),"")</f>
        <v>Dec</v>
      </c>
      <c r="W732" s="53" t="str">
        <f>IFERROR(
IF(tbl_abs[[#This Row],[Age]]&lt;30,"&lt;30",
IF(tbl_abs[[#This Row],[Age]]&lt;40,"30–39",
IF(tbl_abs[[#This Row],[Age]]&lt;50,"40–49",
IF(tbl_abs[[#This Row],[Age]]&lt;60,"50–59",
"60+")))),"")</f>
        <v>&lt;30</v>
      </c>
      <c r="X732" s="53" t="str">
        <f>IFERROR(
IF(tbl_abs[[#This Row],[Distance from Residence to Work]]&lt;=5,"0–5",
IF(tbl_abs[[#This Row],[Distance from Residence to Work]]&lt;=10,"6–10",
IF(tbl_abs[[#This Row],[Distance from Residence to Work]]&lt;=20,"11–20",
"21+"))),"")</f>
        <v>21+</v>
      </c>
      <c r="Y732" s="53" t="str">
        <f>IFERROR(
IF(tbl_abs[[#This Row],[Body Mass Index]]&lt;18.5,"Underweight",
IF(tbl_abs[[#This Row],[Body Mass Index]]&lt;25,"Normal",
IF(tbl_abs[[#This Row],[Body Mass Index]]&lt;30,"Overweight",
"Obese"))),"")</f>
        <v>Overweight</v>
      </c>
      <c r="Z732" s="53" t="str">
        <f>IFERROR(
IF(tbl_abs[[#This Row],[Absenteeism time in hours]]&lt;=2,"0–2",
IF(tbl_abs[[#This Row],[Absenteeism time in hours]]&lt;=8,"3–8",
IF(tbl_abs[[#This Row],[Absenteeism time in hours]]&lt;=16,"9–16",
"17+"))),"")</f>
        <v>3–8</v>
      </c>
    </row>
    <row r="733" spans="1:26" ht="15" customHeight="1" x14ac:dyDescent="0.3">
      <c r="A733">
        <v>17</v>
      </c>
      <c r="B733">
        <v>18</v>
      </c>
      <c r="C733" s="1">
        <v>12</v>
      </c>
      <c r="D733">
        <v>6</v>
      </c>
      <c r="E733">
        <v>4</v>
      </c>
      <c r="F733">
        <v>179</v>
      </c>
      <c r="G733" s="1">
        <v>22</v>
      </c>
      <c r="H733">
        <v>17</v>
      </c>
      <c r="I733" s="1">
        <v>40</v>
      </c>
      <c r="J733" s="2">
        <v>280549</v>
      </c>
      <c r="K733">
        <v>98</v>
      </c>
      <c r="L733">
        <v>0</v>
      </c>
      <c r="M733">
        <v>2</v>
      </c>
      <c r="N733">
        <v>2</v>
      </c>
      <c r="O733">
        <v>0</v>
      </c>
      <c r="P733">
        <v>1</v>
      </c>
      <c r="Q733">
        <v>0</v>
      </c>
      <c r="R733">
        <v>63</v>
      </c>
      <c r="S733">
        <v>170</v>
      </c>
      <c r="T733">
        <v>22</v>
      </c>
      <c r="U733">
        <v>2</v>
      </c>
      <c r="V733" s="53" t="str">
        <f>IFERROR(
IF(tbl_abs[[#This Row],[Month of absence]]=0,"Unknown",
CHOOSE(tbl_abs[[#This Row],[Month of absence]],
"Jan","Feb","Mar","Apr","May","Jun","Jul","Aug","Sep","Oct","Nov","Dec")),"")</f>
        <v>Dec</v>
      </c>
      <c r="W733" s="53" t="str">
        <f>IFERROR(
IF(tbl_abs[[#This Row],[Age]]&lt;30,"&lt;30",
IF(tbl_abs[[#This Row],[Age]]&lt;40,"30–39",
IF(tbl_abs[[#This Row],[Age]]&lt;50,"40–49",
IF(tbl_abs[[#This Row],[Age]]&lt;60,"50–59",
"60+")))),"")</f>
        <v>40–49</v>
      </c>
      <c r="X733" s="53" t="str">
        <f>IFERROR(
IF(tbl_abs[[#This Row],[Distance from Residence to Work]]&lt;=5,"0–5",
IF(tbl_abs[[#This Row],[Distance from Residence to Work]]&lt;=10,"6–10",
IF(tbl_abs[[#This Row],[Distance from Residence to Work]]&lt;=20,"11–20",
"21+"))),"")</f>
        <v>21+</v>
      </c>
      <c r="Y733" s="53" t="str">
        <f>IFERROR(
IF(tbl_abs[[#This Row],[Body Mass Index]]&lt;18.5,"Underweight",
IF(tbl_abs[[#This Row],[Body Mass Index]]&lt;25,"Normal",
IF(tbl_abs[[#This Row],[Body Mass Index]]&lt;30,"Overweight",
"Obese"))),"")</f>
        <v>Normal</v>
      </c>
      <c r="Z733" s="53" t="str">
        <f>IFERROR(
IF(tbl_abs[[#This Row],[Absenteeism time in hours]]&lt;=2,"0–2",
IF(tbl_abs[[#This Row],[Absenteeism time in hours]]&lt;=8,"3–8",
IF(tbl_abs[[#This Row],[Absenteeism time in hours]]&lt;=16,"9–16",
"17+"))),"")</f>
        <v>0–2</v>
      </c>
    </row>
    <row r="734" spans="1:26" ht="15" customHeight="1" x14ac:dyDescent="0.3">
      <c r="A734">
        <v>5</v>
      </c>
      <c r="B734">
        <v>26</v>
      </c>
      <c r="C734" s="1">
        <v>12</v>
      </c>
      <c r="D734">
        <v>6</v>
      </c>
      <c r="E734">
        <v>4</v>
      </c>
      <c r="F734">
        <v>235</v>
      </c>
      <c r="G734" s="1">
        <v>20</v>
      </c>
      <c r="H734">
        <v>13</v>
      </c>
      <c r="I734" s="1">
        <v>43</v>
      </c>
      <c r="J734" s="2">
        <v>280549</v>
      </c>
      <c r="K734">
        <v>98</v>
      </c>
      <c r="L734">
        <v>0</v>
      </c>
      <c r="M734">
        <v>1</v>
      </c>
      <c r="N734">
        <v>1</v>
      </c>
      <c r="O734">
        <v>1</v>
      </c>
      <c r="P734">
        <v>0</v>
      </c>
      <c r="Q734">
        <v>0</v>
      </c>
      <c r="R734">
        <v>106</v>
      </c>
      <c r="S734">
        <v>167</v>
      </c>
      <c r="T734">
        <v>38</v>
      </c>
      <c r="U734">
        <v>8</v>
      </c>
      <c r="V734" s="53" t="str">
        <f>IFERROR(
IF(tbl_abs[[#This Row],[Month of absence]]=0,"Unknown",
CHOOSE(tbl_abs[[#This Row],[Month of absence]],
"Jan","Feb","Mar","Apr","May","Jun","Jul","Aug","Sep","Oct","Nov","Dec")),"")</f>
        <v>Dec</v>
      </c>
      <c r="W734" s="53" t="str">
        <f>IFERROR(
IF(tbl_abs[[#This Row],[Age]]&lt;30,"&lt;30",
IF(tbl_abs[[#This Row],[Age]]&lt;40,"30–39",
IF(tbl_abs[[#This Row],[Age]]&lt;50,"40–49",
IF(tbl_abs[[#This Row],[Age]]&lt;60,"50–59",
"60+")))),"")</f>
        <v>40–49</v>
      </c>
      <c r="X734" s="53" t="str">
        <f>IFERROR(
IF(tbl_abs[[#This Row],[Distance from Residence to Work]]&lt;=5,"0–5",
IF(tbl_abs[[#This Row],[Distance from Residence to Work]]&lt;=10,"6–10",
IF(tbl_abs[[#This Row],[Distance from Residence to Work]]&lt;=20,"11–20",
"21+"))),"")</f>
        <v>11–20</v>
      </c>
      <c r="Y734" s="53" t="str">
        <f>IFERROR(
IF(tbl_abs[[#This Row],[Body Mass Index]]&lt;18.5,"Underweight",
IF(tbl_abs[[#This Row],[Body Mass Index]]&lt;25,"Normal",
IF(tbl_abs[[#This Row],[Body Mass Index]]&lt;30,"Overweight",
"Obese"))),"")</f>
        <v>Obese</v>
      </c>
      <c r="Z734" s="53" t="str">
        <f>IFERROR(
IF(tbl_abs[[#This Row],[Absenteeism time in hours]]&lt;=2,"0–2",
IF(tbl_abs[[#This Row],[Absenteeism time in hours]]&lt;=8,"3–8",
IF(tbl_abs[[#This Row],[Absenteeism time in hours]]&lt;=16,"9–16",
"17+"))),"")</f>
        <v>3–8</v>
      </c>
    </row>
    <row r="735" spans="1:26" ht="15" customHeight="1" x14ac:dyDescent="0.3">
      <c r="A735">
        <v>12</v>
      </c>
      <c r="B735">
        <v>18</v>
      </c>
      <c r="C735" s="1">
        <v>12</v>
      </c>
      <c r="D735">
        <v>2</v>
      </c>
      <c r="E735">
        <v>4</v>
      </c>
      <c r="F735">
        <v>233</v>
      </c>
      <c r="G735" s="1">
        <v>51</v>
      </c>
      <c r="H735">
        <v>1</v>
      </c>
      <c r="I735" s="1">
        <v>31</v>
      </c>
      <c r="J735" s="2">
        <v>280549</v>
      </c>
      <c r="K735">
        <v>98</v>
      </c>
      <c r="L735">
        <v>0</v>
      </c>
      <c r="M735">
        <v>2</v>
      </c>
      <c r="N735">
        <v>1</v>
      </c>
      <c r="O735">
        <v>1</v>
      </c>
      <c r="P735">
        <v>0</v>
      </c>
      <c r="Q735">
        <v>8</v>
      </c>
      <c r="R735">
        <v>68</v>
      </c>
      <c r="S735">
        <v>178</v>
      </c>
      <c r="T735">
        <v>21</v>
      </c>
      <c r="U735">
        <v>8</v>
      </c>
      <c r="V735" s="53" t="str">
        <f>IFERROR(
IF(tbl_abs[[#This Row],[Month of absence]]=0,"Unknown",
CHOOSE(tbl_abs[[#This Row],[Month of absence]],
"Jan","Feb","Mar","Apr","May","Jun","Jul","Aug","Sep","Oct","Nov","Dec")),"")</f>
        <v>Dec</v>
      </c>
      <c r="W735" s="53" t="str">
        <f>IFERROR(
IF(tbl_abs[[#This Row],[Age]]&lt;30,"&lt;30",
IF(tbl_abs[[#This Row],[Age]]&lt;40,"30–39",
IF(tbl_abs[[#This Row],[Age]]&lt;50,"40–49",
IF(tbl_abs[[#This Row],[Age]]&lt;60,"50–59",
"60+")))),"")</f>
        <v>30–39</v>
      </c>
      <c r="X735" s="53" t="str">
        <f>IFERROR(
IF(tbl_abs[[#This Row],[Distance from Residence to Work]]&lt;=5,"0–5",
IF(tbl_abs[[#This Row],[Distance from Residence to Work]]&lt;=10,"6–10",
IF(tbl_abs[[#This Row],[Distance from Residence to Work]]&lt;=20,"11–20",
"21+"))),"")</f>
        <v>21+</v>
      </c>
      <c r="Y735" s="53" t="str">
        <f>IFERROR(
IF(tbl_abs[[#This Row],[Body Mass Index]]&lt;18.5,"Underweight",
IF(tbl_abs[[#This Row],[Body Mass Index]]&lt;25,"Normal",
IF(tbl_abs[[#This Row],[Body Mass Index]]&lt;30,"Overweight",
"Obese"))),"")</f>
        <v>Normal</v>
      </c>
      <c r="Z735" s="53" t="str">
        <f>IFERROR(
IF(tbl_abs[[#This Row],[Absenteeism time in hours]]&lt;=2,"0–2",
IF(tbl_abs[[#This Row],[Absenteeism time in hours]]&lt;=8,"3–8",
IF(tbl_abs[[#This Row],[Absenteeism time in hours]]&lt;=16,"9–16",
"17+"))),"")</f>
        <v>3–8</v>
      </c>
    </row>
    <row r="736" spans="1:26" ht="15" customHeight="1" x14ac:dyDescent="0.3">
      <c r="A736">
        <v>22</v>
      </c>
      <c r="B736">
        <v>13</v>
      </c>
      <c r="C736" s="1">
        <v>12</v>
      </c>
      <c r="D736">
        <v>3</v>
      </c>
      <c r="E736">
        <v>4</v>
      </c>
      <c r="F736">
        <v>179</v>
      </c>
      <c r="G736" s="1">
        <v>26</v>
      </c>
      <c r="H736">
        <v>9</v>
      </c>
      <c r="I736" s="1">
        <v>30</v>
      </c>
      <c r="J736" s="2">
        <v>280549</v>
      </c>
      <c r="K736">
        <v>98</v>
      </c>
      <c r="L736">
        <v>0</v>
      </c>
      <c r="M736">
        <v>3</v>
      </c>
      <c r="N736">
        <v>0</v>
      </c>
      <c r="O736">
        <v>0</v>
      </c>
      <c r="P736">
        <v>0</v>
      </c>
      <c r="Q736">
        <v>0</v>
      </c>
      <c r="R736">
        <v>56</v>
      </c>
      <c r="S736">
        <v>171</v>
      </c>
      <c r="T736">
        <v>19</v>
      </c>
      <c r="U736">
        <v>16</v>
      </c>
      <c r="V736" s="53" t="str">
        <f>IFERROR(
IF(tbl_abs[[#This Row],[Month of absence]]=0,"Unknown",
CHOOSE(tbl_abs[[#This Row],[Month of absence]],
"Jan","Feb","Mar","Apr","May","Jun","Jul","Aug","Sep","Oct","Nov","Dec")),"")</f>
        <v>Dec</v>
      </c>
      <c r="W736" s="53" t="str">
        <f>IFERROR(
IF(tbl_abs[[#This Row],[Age]]&lt;30,"&lt;30",
IF(tbl_abs[[#This Row],[Age]]&lt;40,"30–39",
IF(tbl_abs[[#This Row],[Age]]&lt;50,"40–49",
IF(tbl_abs[[#This Row],[Age]]&lt;60,"50–59",
"60+")))),"")</f>
        <v>30–39</v>
      </c>
      <c r="X736" s="53" t="str">
        <f>IFERROR(
IF(tbl_abs[[#This Row],[Distance from Residence to Work]]&lt;=5,"0–5",
IF(tbl_abs[[#This Row],[Distance from Residence to Work]]&lt;=10,"6–10",
IF(tbl_abs[[#This Row],[Distance from Residence to Work]]&lt;=20,"11–20",
"21+"))),"")</f>
        <v>21+</v>
      </c>
      <c r="Y736" s="53" t="str">
        <f>IFERROR(
IF(tbl_abs[[#This Row],[Body Mass Index]]&lt;18.5,"Underweight",
IF(tbl_abs[[#This Row],[Body Mass Index]]&lt;25,"Normal",
IF(tbl_abs[[#This Row],[Body Mass Index]]&lt;30,"Overweight",
"Obese"))),"")</f>
        <v>Normal</v>
      </c>
      <c r="Z736" s="53" t="str">
        <f>IFERROR(
IF(tbl_abs[[#This Row],[Absenteeism time in hours]]&lt;=2,"0–2",
IF(tbl_abs[[#This Row],[Absenteeism time in hours]]&lt;=8,"3–8",
IF(tbl_abs[[#This Row],[Absenteeism time in hours]]&lt;=16,"9–16",
"17+"))),"")</f>
        <v>9–16</v>
      </c>
    </row>
    <row r="737" spans="1:26" ht="15" customHeight="1" x14ac:dyDescent="0.3">
      <c r="A737">
        <v>28</v>
      </c>
      <c r="B737">
        <v>23</v>
      </c>
      <c r="C737" s="1">
        <v>12</v>
      </c>
      <c r="D737">
        <v>3</v>
      </c>
      <c r="E737">
        <v>4</v>
      </c>
      <c r="F737">
        <v>225</v>
      </c>
      <c r="G737" s="1">
        <v>26</v>
      </c>
      <c r="H737">
        <v>9</v>
      </c>
      <c r="I737" s="1">
        <v>28</v>
      </c>
      <c r="J737" s="2">
        <v>280549</v>
      </c>
      <c r="K737">
        <v>98</v>
      </c>
      <c r="L737">
        <v>0</v>
      </c>
      <c r="M737">
        <v>1</v>
      </c>
      <c r="N737">
        <v>1</v>
      </c>
      <c r="O737">
        <v>0</v>
      </c>
      <c r="P737">
        <v>0</v>
      </c>
      <c r="Q737">
        <v>2</v>
      </c>
      <c r="R737">
        <v>69</v>
      </c>
      <c r="S737">
        <v>169</v>
      </c>
      <c r="T737">
        <v>24</v>
      </c>
      <c r="U737">
        <v>2</v>
      </c>
      <c r="V737" s="53" t="str">
        <f>IFERROR(
IF(tbl_abs[[#This Row],[Month of absence]]=0,"Unknown",
CHOOSE(tbl_abs[[#This Row],[Month of absence]],
"Jan","Feb","Mar","Apr","May","Jun","Jul","Aug","Sep","Oct","Nov","Dec")),"")</f>
        <v>Dec</v>
      </c>
      <c r="W737" s="53" t="str">
        <f>IFERROR(
IF(tbl_abs[[#This Row],[Age]]&lt;30,"&lt;30",
IF(tbl_abs[[#This Row],[Age]]&lt;40,"30–39",
IF(tbl_abs[[#This Row],[Age]]&lt;50,"40–49",
IF(tbl_abs[[#This Row],[Age]]&lt;60,"50–59",
"60+")))),"")</f>
        <v>&lt;30</v>
      </c>
      <c r="X737" s="53" t="str">
        <f>IFERROR(
IF(tbl_abs[[#This Row],[Distance from Residence to Work]]&lt;=5,"0–5",
IF(tbl_abs[[#This Row],[Distance from Residence to Work]]&lt;=10,"6–10",
IF(tbl_abs[[#This Row],[Distance from Residence to Work]]&lt;=20,"11–20",
"21+"))),"")</f>
        <v>21+</v>
      </c>
      <c r="Y737" s="53" t="str">
        <f>IFERROR(
IF(tbl_abs[[#This Row],[Body Mass Index]]&lt;18.5,"Underweight",
IF(tbl_abs[[#This Row],[Body Mass Index]]&lt;25,"Normal",
IF(tbl_abs[[#This Row],[Body Mass Index]]&lt;30,"Overweight",
"Obese"))),"")</f>
        <v>Normal</v>
      </c>
      <c r="Z737" s="53" t="str">
        <f>IFERROR(
IF(tbl_abs[[#This Row],[Absenteeism time in hours]]&lt;=2,"0–2",
IF(tbl_abs[[#This Row],[Absenteeism time in hours]]&lt;=8,"3–8",
IF(tbl_abs[[#This Row],[Absenteeism time in hours]]&lt;=16,"9–16",
"17+"))),"")</f>
        <v>0–2</v>
      </c>
    </row>
    <row r="738" spans="1:26" ht="15" customHeight="1" x14ac:dyDescent="0.3">
      <c r="A738">
        <v>28</v>
      </c>
      <c r="B738">
        <v>23</v>
      </c>
      <c r="C738" s="1">
        <v>12</v>
      </c>
      <c r="D738">
        <v>5</v>
      </c>
      <c r="E738">
        <v>4</v>
      </c>
      <c r="F738">
        <v>225</v>
      </c>
      <c r="G738" s="1">
        <v>26</v>
      </c>
      <c r="H738">
        <v>9</v>
      </c>
      <c r="I738" s="1">
        <v>28</v>
      </c>
      <c r="J738" s="2">
        <v>280549</v>
      </c>
      <c r="K738">
        <v>98</v>
      </c>
      <c r="L738">
        <v>0</v>
      </c>
      <c r="M738">
        <v>1</v>
      </c>
      <c r="N738">
        <v>1</v>
      </c>
      <c r="O738">
        <v>0</v>
      </c>
      <c r="P738">
        <v>0</v>
      </c>
      <c r="Q738">
        <v>2</v>
      </c>
      <c r="R738">
        <v>69</v>
      </c>
      <c r="S738">
        <v>169</v>
      </c>
      <c r="T738">
        <v>24</v>
      </c>
      <c r="U738">
        <v>3</v>
      </c>
      <c r="V738" s="53" t="str">
        <f>IFERROR(
IF(tbl_abs[[#This Row],[Month of absence]]=0,"Unknown",
CHOOSE(tbl_abs[[#This Row],[Month of absence]],
"Jan","Feb","Mar","Apr","May","Jun","Jul","Aug","Sep","Oct","Nov","Dec")),"")</f>
        <v>Dec</v>
      </c>
      <c r="W738" s="53" t="str">
        <f>IFERROR(
IF(tbl_abs[[#This Row],[Age]]&lt;30,"&lt;30",
IF(tbl_abs[[#This Row],[Age]]&lt;40,"30–39",
IF(tbl_abs[[#This Row],[Age]]&lt;50,"40–49",
IF(tbl_abs[[#This Row],[Age]]&lt;60,"50–59",
"60+")))),"")</f>
        <v>&lt;30</v>
      </c>
      <c r="X738" s="53" t="str">
        <f>IFERROR(
IF(tbl_abs[[#This Row],[Distance from Residence to Work]]&lt;=5,"0–5",
IF(tbl_abs[[#This Row],[Distance from Residence to Work]]&lt;=10,"6–10",
IF(tbl_abs[[#This Row],[Distance from Residence to Work]]&lt;=20,"11–20",
"21+"))),"")</f>
        <v>21+</v>
      </c>
      <c r="Y738" s="53" t="str">
        <f>IFERROR(
IF(tbl_abs[[#This Row],[Body Mass Index]]&lt;18.5,"Underweight",
IF(tbl_abs[[#This Row],[Body Mass Index]]&lt;25,"Normal",
IF(tbl_abs[[#This Row],[Body Mass Index]]&lt;30,"Overweight",
"Obese"))),"")</f>
        <v>Normal</v>
      </c>
      <c r="Z738" s="53" t="str">
        <f>IFERROR(
IF(tbl_abs[[#This Row],[Absenteeism time in hours]]&lt;=2,"0–2",
IF(tbl_abs[[#This Row],[Absenteeism time in hours]]&lt;=8,"3–8",
IF(tbl_abs[[#This Row],[Absenteeism time in hours]]&lt;=16,"9–16",
"17+"))),"")</f>
        <v>3–8</v>
      </c>
    </row>
    <row r="739" spans="1:26" ht="15" customHeight="1" x14ac:dyDescent="0.3">
      <c r="A739">
        <v>28</v>
      </c>
      <c r="B739">
        <v>23</v>
      </c>
      <c r="C739" s="1">
        <v>12</v>
      </c>
      <c r="D739">
        <v>2</v>
      </c>
      <c r="E739">
        <v>4</v>
      </c>
      <c r="F739">
        <v>225</v>
      </c>
      <c r="G739" s="1">
        <v>26</v>
      </c>
      <c r="H739">
        <v>9</v>
      </c>
      <c r="I739" s="1">
        <v>28</v>
      </c>
      <c r="J739" s="2">
        <v>280549</v>
      </c>
      <c r="K739">
        <v>98</v>
      </c>
      <c r="L739">
        <v>0</v>
      </c>
      <c r="M739">
        <v>1</v>
      </c>
      <c r="N739">
        <v>1</v>
      </c>
      <c r="O739">
        <v>0</v>
      </c>
      <c r="P739">
        <v>0</v>
      </c>
      <c r="Q739">
        <v>2</v>
      </c>
      <c r="R739">
        <v>69</v>
      </c>
      <c r="S739">
        <v>169</v>
      </c>
      <c r="T739">
        <v>24</v>
      </c>
      <c r="U739">
        <v>2</v>
      </c>
      <c r="V739" s="53" t="str">
        <f>IFERROR(
IF(tbl_abs[[#This Row],[Month of absence]]=0,"Unknown",
CHOOSE(tbl_abs[[#This Row],[Month of absence]],
"Jan","Feb","Mar","Apr","May","Jun","Jul","Aug","Sep","Oct","Nov","Dec")),"")</f>
        <v>Dec</v>
      </c>
      <c r="W739" s="53" t="str">
        <f>IFERROR(
IF(tbl_abs[[#This Row],[Age]]&lt;30,"&lt;30",
IF(tbl_abs[[#This Row],[Age]]&lt;40,"30–39",
IF(tbl_abs[[#This Row],[Age]]&lt;50,"40–49",
IF(tbl_abs[[#This Row],[Age]]&lt;60,"50–59",
"60+")))),"")</f>
        <v>&lt;30</v>
      </c>
      <c r="X739" s="53" t="str">
        <f>IFERROR(
IF(tbl_abs[[#This Row],[Distance from Residence to Work]]&lt;=5,"0–5",
IF(tbl_abs[[#This Row],[Distance from Residence to Work]]&lt;=10,"6–10",
IF(tbl_abs[[#This Row],[Distance from Residence to Work]]&lt;=20,"11–20",
"21+"))),"")</f>
        <v>21+</v>
      </c>
      <c r="Y739" s="53" t="str">
        <f>IFERROR(
IF(tbl_abs[[#This Row],[Body Mass Index]]&lt;18.5,"Underweight",
IF(tbl_abs[[#This Row],[Body Mass Index]]&lt;25,"Normal",
IF(tbl_abs[[#This Row],[Body Mass Index]]&lt;30,"Overweight",
"Obese"))),"")</f>
        <v>Normal</v>
      </c>
      <c r="Z739" s="53" t="str">
        <f>IFERROR(
IF(tbl_abs[[#This Row],[Absenteeism time in hours]]&lt;=2,"0–2",
IF(tbl_abs[[#This Row],[Absenteeism time in hours]]&lt;=8,"3–8",
IF(tbl_abs[[#This Row],[Absenteeism time in hours]]&lt;=16,"9–16",
"17+"))),"")</f>
        <v>0–2</v>
      </c>
    </row>
    <row r="740" spans="1:26" ht="15" customHeight="1" x14ac:dyDescent="0.3">
      <c r="A740">
        <v>14</v>
      </c>
      <c r="B740">
        <v>18</v>
      </c>
      <c r="C740" s="1">
        <v>12</v>
      </c>
      <c r="D740">
        <v>3</v>
      </c>
      <c r="E740">
        <v>2</v>
      </c>
      <c r="F740">
        <v>155</v>
      </c>
      <c r="G740" s="1">
        <v>12</v>
      </c>
      <c r="H740">
        <v>14</v>
      </c>
      <c r="I740" s="1">
        <v>34</v>
      </c>
      <c r="J740" s="2">
        <v>280549</v>
      </c>
      <c r="K740">
        <v>98</v>
      </c>
      <c r="L740">
        <v>0</v>
      </c>
      <c r="M740">
        <v>1</v>
      </c>
      <c r="N740">
        <v>2</v>
      </c>
      <c r="O740">
        <v>1</v>
      </c>
      <c r="P740">
        <v>0</v>
      </c>
      <c r="Q740">
        <v>0</v>
      </c>
      <c r="R740">
        <v>95</v>
      </c>
      <c r="S740">
        <v>196</v>
      </c>
      <c r="T740">
        <v>25</v>
      </c>
      <c r="U740">
        <v>80</v>
      </c>
      <c r="V740" s="53" t="str">
        <f>IFERROR(
IF(tbl_abs[[#This Row],[Month of absence]]=0,"Unknown",
CHOOSE(tbl_abs[[#This Row],[Month of absence]],
"Jan","Feb","Mar","Apr","May","Jun","Jul","Aug","Sep","Oct","Nov","Dec")),"")</f>
        <v>Dec</v>
      </c>
      <c r="W740" s="53" t="str">
        <f>IFERROR(
IF(tbl_abs[[#This Row],[Age]]&lt;30,"&lt;30",
IF(tbl_abs[[#This Row],[Age]]&lt;40,"30–39",
IF(tbl_abs[[#This Row],[Age]]&lt;50,"40–49",
IF(tbl_abs[[#This Row],[Age]]&lt;60,"50–59",
"60+")))),"")</f>
        <v>30–39</v>
      </c>
      <c r="X740" s="53" t="str">
        <f>IFERROR(
IF(tbl_abs[[#This Row],[Distance from Residence to Work]]&lt;=5,"0–5",
IF(tbl_abs[[#This Row],[Distance from Residence to Work]]&lt;=10,"6–10",
IF(tbl_abs[[#This Row],[Distance from Residence to Work]]&lt;=20,"11–20",
"21+"))),"")</f>
        <v>11–20</v>
      </c>
      <c r="Y740" s="53" t="str">
        <f>IFERROR(
IF(tbl_abs[[#This Row],[Body Mass Index]]&lt;18.5,"Underweight",
IF(tbl_abs[[#This Row],[Body Mass Index]]&lt;25,"Normal",
IF(tbl_abs[[#This Row],[Body Mass Index]]&lt;30,"Overweight",
"Obese"))),"")</f>
        <v>Overweight</v>
      </c>
      <c r="Z740" s="53" t="str">
        <f>IFERROR(
IF(tbl_abs[[#This Row],[Absenteeism time in hours]]&lt;=2,"0–2",
IF(tbl_abs[[#This Row],[Absenteeism time in hours]]&lt;=8,"3–8",
IF(tbl_abs[[#This Row],[Absenteeism time in hours]]&lt;=16,"9–16",
"17+"))),"")</f>
        <v>17+</v>
      </c>
    </row>
    <row r="741" spans="1:26" ht="15" customHeight="1" x14ac:dyDescent="0.3">
      <c r="A741">
        <v>3</v>
      </c>
      <c r="B741">
        <v>23</v>
      </c>
      <c r="D741">
        <v>6</v>
      </c>
      <c r="E741">
        <v>4</v>
      </c>
      <c r="F741">
        <v>179</v>
      </c>
      <c r="G741" s="1">
        <v>51</v>
      </c>
      <c r="H741">
        <v>18</v>
      </c>
      <c r="I741" s="1">
        <v>38</v>
      </c>
      <c r="J741" s="2">
        <v>253465</v>
      </c>
      <c r="K741">
        <v>93</v>
      </c>
      <c r="L741">
        <v>0</v>
      </c>
      <c r="M741">
        <v>1</v>
      </c>
      <c r="N741">
        <v>0</v>
      </c>
      <c r="O741">
        <v>1</v>
      </c>
      <c r="P741">
        <v>0</v>
      </c>
      <c r="Q741">
        <v>0</v>
      </c>
      <c r="R741">
        <v>89</v>
      </c>
      <c r="S741">
        <v>170</v>
      </c>
      <c r="T741">
        <v>31</v>
      </c>
      <c r="U741">
        <v>3</v>
      </c>
      <c r="V741" s="53" t="str">
        <f>IFERROR(
IF(tbl_abs[[#This Row],[Month of absence]]=0,"Unknown",
CHOOSE(tbl_abs[[#This Row],[Month of absence]],
"Jan","Feb","Mar","Apr","May","Jun","Jul","Aug","Sep","Oct","Nov","Dec")),"")</f>
        <v>Unknown</v>
      </c>
      <c r="W741" s="53" t="str">
        <f>IFERROR(
IF(tbl_abs[[#This Row],[Age]]&lt;30,"&lt;30",
IF(tbl_abs[[#This Row],[Age]]&lt;40,"30–39",
IF(tbl_abs[[#This Row],[Age]]&lt;50,"40–49",
IF(tbl_abs[[#This Row],[Age]]&lt;60,"50–59",
"60+")))),"")</f>
        <v>30–39</v>
      </c>
      <c r="X741" s="53" t="str">
        <f>IFERROR(
IF(tbl_abs[[#This Row],[Distance from Residence to Work]]&lt;=5,"0–5",
IF(tbl_abs[[#This Row],[Distance from Residence to Work]]&lt;=10,"6–10",
IF(tbl_abs[[#This Row],[Distance from Residence to Work]]&lt;=20,"11–20",
"21+"))),"")</f>
        <v>21+</v>
      </c>
      <c r="Y741" s="53" t="str">
        <f>IFERROR(
IF(tbl_abs[[#This Row],[Body Mass Index]]&lt;18.5,"Underweight",
IF(tbl_abs[[#This Row],[Body Mass Index]]&lt;25,"Normal",
IF(tbl_abs[[#This Row],[Body Mass Index]]&lt;30,"Overweight",
"Obese"))),"")</f>
        <v>Obese</v>
      </c>
      <c r="Z741" s="53" t="str">
        <f>IFERROR(
IF(tbl_abs[[#This Row],[Absenteeism time in hours]]&lt;=2,"0–2",
IF(tbl_abs[[#This Row],[Absenteeism time in hours]]&lt;=8,"3–8",
IF(tbl_abs[[#This Row],[Absenteeism time in hours]]&lt;=16,"9–16",
"17+"))),"")</f>
        <v>3–8</v>
      </c>
    </row>
  </sheetData>
  <pageMargins left="0.7" right="0.7" top="0.75" bottom="0.75" header="0.3" footer="0.3"/>
  <pageSetup paperSize="9" orientation="portrait" horizontalDpi="0" verticalDpi="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9D13-CA21-400A-8568-90A08D11C3D5}">
  <dimension ref="A1:N40"/>
  <sheetViews>
    <sheetView zoomScale="70" zoomScaleNormal="70" workbookViewId="0">
      <selection activeCell="J26" sqref="J26"/>
    </sheetView>
  </sheetViews>
  <sheetFormatPr defaultRowHeight="14.4" x14ac:dyDescent="0.3"/>
  <cols>
    <col min="1" max="1" width="15.77734375" bestFit="1" customWidth="1"/>
    <col min="2" max="2" width="29.44140625" bestFit="1" customWidth="1"/>
    <col min="3" max="3" width="7.109375" customWidth="1"/>
    <col min="4" max="4" width="6.44140625" customWidth="1"/>
    <col min="5" max="5" width="16.33203125" bestFit="1" customWidth="1"/>
    <col min="6" max="6" width="28.88671875" bestFit="1" customWidth="1"/>
    <col min="7" max="7" width="6.44140625" customWidth="1"/>
    <col min="8" max="8" width="6.21875" customWidth="1"/>
    <col min="9" max="9" width="21.109375" bestFit="1" customWidth="1"/>
    <col min="10" max="10" width="29.44140625" bestFit="1" customWidth="1"/>
    <col min="11" max="11" width="6.44140625" bestFit="1" customWidth="1"/>
    <col min="12" max="12" width="4.77734375" bestFit="1" customWidth="1"/>
    <col min="13" max="13" width="9.88671875" bestFit="1" customWidth="1"/>
    <col min="14" max="14" width="29.6640625" customWidth="1"/>
    <col min="15" max="15" width="10.21875" bestFit="1" customWidth="1"/>
    <col min="16" max="16" width="7.21875" bestFit="1" customWidth="1"/>
    <col min="17" max="17" width="15.33203125" bestFit="1" customWidth="1"/>
    <col min="18" max="18" width="17.6640625" bestFit="1" customWidth="1"/>
    <col min="19" max="21" width="9.5546875" bestFit="1" customWidth="1"/>
    <col min="22" max="22" width="16.6640625" bestFit="1" customWidth="1"/>
    <col min="23" max="26" width="6.21875" bestFit="1" customWidth="1"/>
    <col min="27" max="27" width="13.33203125" bestFit="1" customWidth="1"/>
    <col min="28" max="30" width="6.88671875" bestFit="1" customWidth="1"/>
    <col min="31" max="31" width="14" bestFit="1" customWidth="1"/>
    <col min="32" max="35" width="8.44140625" bestFit="1" customWidth="1"/>
    <col min="36" max="36" width="15.5546875" bestFit="1" customWidth="1"/>
    <col min="37" max="40" width="6.77734375" bestFit="1" customWidth="1"/>
    <col min="41" max="41" width="13.88671875" bestFit="1" customWidth="1"/>
    <col min="42" max="45" width="11.88671875" bestFit="1" customWidth="1"/>
    <col min="46" max="46" width="19.109375" bestFit="1" customWidth="1"/>
    <col min="47" max="50" width="9.77734375" bestFit="1" customWidth="1"/>
    <col min="51" max="51" width="16.88671875" bestFit="1" customWidth="1"/>
    <col min="52" max="55" width="12.21875" bestFit="1" customWidth="1"/>
    <col min="56" max="56" width="19.44140625" bestFit="1" customWidth="1"/>
    <col min="57" max="58" width="9.21875" bestFit="1" customWidth="1"/>
    <col min="59" max="59" width="16.33203125" bestFit="1" customWidth="1"/>
    <col min="60" max="60" width="15.33203125" bestFit="1" customWidth="1"/>
    <col min="61" max="68" width="39.5546875" bestFit="1" customWidth="1"/>
    <col min="69" max="69" width="42.88671875" bestFit="1" customWidth="1"/>
    <col min="70" max="70" width="45.5546875" bestFit="1" customWidth="1"/>
    <col min="71" max="78" width="39.5546875" bestFit="1" customWidth="1"/>
    <col min="79" max="79" width="41.109375" bestFit="1" customWidth="1"/>
    <col min="80" max="80" width="43.88671875" bestFit="1" customWidth="1"/>
    <col min="81" max="88" width="39.5546875" bestFit="1" customWidth="1"/>
    <col min="89" max="89" width="46.44140625" bestFit="1" customWidth="1"/>
    <col min="90" max="90" width="49.109375" bestFit="1" customWidth="1"/>
    <col min="91" max="98" width="39.5546875" bestFit="1" customWidth="1"/>
    <col min="99" max="99" width="44.21875" bestFit="1" customWidth="1"/>
    <col min="100" max="100" width="47" bestFit="1" customWidth="1"/>
    <col min="101" max="108" width="39.5546875" bestFit="1" customWidth="1"/>
    <col min="109" max="109" width="46.77734375" bestFit="1" customWidth="1"/>
    <col min="110" max="110" width="49.44140625" bestFit="1" customWidth="1"/>
    <col min="111" max="114" width="39.5546875" bestFit="1" customWidth="1"/>
    <col min="115" max="115" width="43.6640625" bestFit="1" customWidth="1"/>
    <col min="116" max="116" width="46.44140625" bestFit="1" customWidth="1"/>
    <col min="117" max="117" width="46.109375" bestFit="1" customWidth="1"/>
    <col min="118" max="118" width="48.77734375" bestFit="1" customWidth="1"/>
  </cols>
  <sheetData>
    <row r="1" spans="1:14" x14ac:dyDescent="0.3">
      <c r="A1" s="74" t="s">
        <v>137</v>
      </c>
      <c r="B1" s="74"/>
      <c r="E1" s="74" t="s">
        <v>138</v>
      </c>
      <c r="F1" s="74"/>
      <c r="I1" s="74" t="s">
        <v>141</v>
      </c>
      <c r="J1" s="74"/>
      <c r="M1" s="74" t="s">
        <v>142</v>
      </c>
      <c r="N1" s="74"/>
    </row>
    <row r="2" spans="1:14" x14ac:dyDescent="0.3">
      <c r="A2" s="74"/>
      <c r="B2" s="74"/>
      <c r="E2" s="74"/>
      <c r="F2" s="74"/>
      <c r="I2" s="74"/>
      <c r="J2" s="74"/>
      <c r="M2" s="74"/>
      <c r="N2" s="74"/>
    </row>
    <row r="3" spans="1:14" x14ac:dyDescent="0.3">
      <c r="A3" s="56" t="s">
        <v>93</v>
      </c>
      <c r="B3" t="s">
        <v>104</v>
      </c>
      <c r="E3" s="56" t="s">
        <v>90</v>
      </c>
      <c r="F3" t="s">
        <v>105</v>
      </c>
      <c r="I3" s="56" t="s">
        <v>1</v>
      </c>
      <c r="J3" t="s">
        <v>104</v>
      </c>
      <c r="M3" s="56" t="s">
        <v>0</v>
      </c>
      <c r="N3" t="s">
        <v>104</v>
      </c>
    </row>
    <row r="4" spans="1:14" x14ac:dyDescent="0.3">
      <c r="A4" s="57" t="s">
        <v>124</v>
      </c>
      <c r="B4">
        <v>222</v>
      </c>
      <c r="E4" s="57" t="s">
        <v>97</v>
      </c>
      <c r="F4">
        <v>5.981854838709677</v>
      </c>
      <c r="I4" s="57">
        <v>1</v>
      </c>
      <c r="J4">
        <v>182</v>
      </c>
      <c r="M4" s="57">
        <v>11</v>
      </c>
      <c r="N4">
        <v>450</v>
      </c>
    </row>
    <row r="5" spans="1:14" x14ac:dyDescent="0.3">
      <c r="A5" s="57" t="s">
        <v>125</v>
      </c>
      <c r="B5">
        <v>294</v>
      </c>
      <c r="E5" s="57" t="s">
        <v>98</v>
      </c>
      <c r="F5">
        <v>6.3773584905660377</v>
      </c>
      <c r="I5" s="57">
        <v>12</v>
      </c>
      <c r="J5">
        <v>187</v>
      </c>
      <c r="M5" s="57">
        <v>3</v>
      </c>
      <c r="N5">
        <v>448</v>
      </c>
    </row>
    <row r="6" spans="1:14" x14ac:dyDescent="0.3">
      <c r="A6" s="57" t="s">
        <v>126</v>
      </c>
      <c r="B6">
        <v>749</v>
      </c>
      <c r="E6" s="57" t="s">
        <v>96</v>
      </c>
      <c r="F6">
        <v>9.6875</v>
      </c>
      <c r="I6" s="57">
        <v>18</v>
      </c>
      <c r="J6">
        <v>217</v>
      </c>
      <c r="M6" s="57">
        <v>14</v>
      </c>
      <c r="N6">
        <v>356</v>
      </c>
    </row>
    <row r="7" spans="1:14" x14ac:dyDescent="0.3">
      <c r="A7" s="57" t="s">
        <v>127</v>
      </c>
      <c r="B7">
        <v>482</v>
      </c>
      <c r="E7" s="57" t="s">
        <v>99</v>
      </c>
      <c r="F7">
        <v>17.222222222222221</v>
      </c>
      <c r="I7" s="57">
        <v>26</v>
      </c>
      <c r="J7">
        <v>232</v>
      </c>
      <c r="M7" s="57">
        <v>28</v>
      </c>
      <c r="N7">
        <v>345</v>
      </c>
    </row>
    <row r="8" spans="1:14" x14ac:dyDescent="0.3">
      <c r="A8" s="57" t="s">
        <v>95</v>
      </c>
      <c r="B8">
        <v>392</v>
      </c>
      <c r="E8" s="57" t="s">
        <v>136</v>
      </c>
      <c r="F8">
        <v>6.9777158774373262</v>
      </c>
      <c r="I8" s="57">
        <v>22</v>
      </c>
      <c r="J8">
        <v>253</v>
      </c>
      <c r="M8" s="57">
        <v>34</v>
      </c>
      <c r="N8">
        <v>341</v>
      </c>
    </row>
    <row r="9" spans="1:14" x14ac:dyDescent="0.3">
      <c r="A9" s="57" t="s">
        <v>128</v>
      </c>
      <c r="B9">
        <v>403</v>
      </c>
      <c r="I9" s="57">
        <v>10</v>
      </c>
      <c r="J9">
        <v>260</v>
      </c>
      <c r="M9" s="57">
        <v>36</v>
      </c>
      <c r="N9">
        <v>311</v>
      </c>
    </row>
    <row r="10" spans="1:14" x14ac:dyDescent="0.3">
      <c r="A10" s="57" t="s">
        <v>129</v>
      </c>
      <c r="B10">
        <v>724</v>
      </c>
      <c r="I10" s="57">
        <v>28</v>
      </c>
      <c r="J10">
        <v>328</v>
      </c>
      <c r="M10" s="57">
        <v>20</v>
      </c>
      <c r="N10">
        <v>295</v>
      </c>
    </row>
    <row r="11" spans="1:14" x14ac:dyDescent="0.3">
      <c r="A11" s="57" t="s">
        <v>130</v>
      </c>
      <c r="B11">
        <v>272</v>
      </c>
      <c r="E11" s="74" t="s">
        <v>139</v>
      </c>
      <c r="F11" s="74"/>
      <c r="I11" s="57">
        <v>23</v>
      </c>
      <c r="J11">
        <v>417</v>
      </c>
      <c r="M11" s="57">
        <v>9</v>
      </c>
      <c r="N11">
        <v>262</v>
      </c>
    </row>
    <row r="12" spans="1:14" x14ac:dyDescent="0.3">
      <c r="A12" s="57" t="s">
        <v>131</v>
      </c>
      <c r="B12">
        <v>284</v>
      </c>
      <c r="E12" s="74"/>
      <c r="F12" s="74"/>
      <c r="I12" s="57">
        <v>19</v>
      </c>
      <c r="J12">
        <v>729</v>
      </c>
      <c r="M12" s="57">
        <v>22</v>
      </c>
      <c r="N12">
        <v>253</v>
      </c>
    </row>
    <row r="13" spans="1:14" x14ac:dyDescent="0.3">
      <c r="A13" s="57" t="s">
        <v>132</v>
      </c>
      <c r="B13">
        <v>340</v>
      </c>
      <c r="E13" s="56" t="s">
        <v>91</v>
      </c>
      <c r="F13" t="s">
        <v>105</v>
      </c>
      <c r="I13" s="57">
        <v>13</v>
      </c>
      <c r="J13">
        <v>810</v>
      </c>
      <c r="M13" s="57">
        <v>15</v>
      </c>
      <c r="N13">
        <v>253</v>
      </c>
    </row>
    <row r="14" spans="1:14" x14ac:dyDescent="0.3">
      <c r="A14" s="57" t="s">
        <v>133</v>
      </c>
      <c r="B14">
        <v>463</v>
      </c>
      <c r="E14" s="57" t="s">
        <v>103</v>
      </c>
      <c r="F14">
        <v>7.0344827586206895</v>
      </c>
      <c r="I14" s="57" t="s">
        <v>136</v>
      </c>
      <c r="J14">
        <v>3615</v>
      </c>
      <c r="M14" s="57">
        <v>24</v>
      </c>
      <c r="N14">
        <v>238</v>
      </c>
    </row>
    <row r="15" spans="1:14" x14ac:dyDescent="0.3">
      <c r="A15" s="57" t="s">
        <v>134</v>
      </c>
      <c r="B15">
        <v>382</v>
      </c>
      <c r="E15" s="57" t="s">
        <v>100</v>
      </c>
      <c r="F15">
        <v>7.2655601659751037</v>
      </c>
      <c r="M15" s="57">
        <v>13</v>
      </c>
      <c r="N15">
        <v>175</v>
      </c>
    </row>
    <row r="16" spans="1:14" x14ac:dyDescent="0.3">
      <c r="A16" s="57" t="s">
        <v>123</v>
      </c>
      <c r="B16">
        <v>3</v>
      </c>
      <c r="E16" s="57" t="s">
        <v>102</v>
      </c>
      <c r="F16">
        <v>7.7477064220183482</v>
      </c>
      <c r="M16" s="57">
        <v>10</v>
      </c>
      <c r="N16">
        <v>170</v>
      </c>
    </row>
    <row r="17" spans="1:14" x14ac:dyDescent="0.3">
      <c r="A17" s="57" t="s">
        <v>136</v>
      </c>
      <c r="B17">
        <v>5010</v>
      </c>
      <c r="E17" s="57" t="s">
        <v>101</v>
      </c>
      <c r="F17">
        <v>5.9391304347826086</v>
      </c>
      <c r="M17" s="57">
        <v>7</v>
      </c>
      <c r="N17">
        <v>150</v>
      </c>
    </row>
    <row r="18" spans="1:14" x14ac:dyDescent="0.3">
      <c r="A18" s="57"/>
      <c r="E18" s="57" t="s">
        <v>136</v>
      </c>
      <c r="F18">
        <v>6.9777158774373262</v>
      </c>
      <c r="M18" s="57">
        <v>17</v>
      </c>
      <c r="N18">
        <v>126</v>
      </c>
    </row>
    <row r="19" spans="1:14" x14ac:dyDescent="0.3">
      <c r="A19" s="57"/>
      <c r="M19" s="57">
        <v>1</v>
      </c>
      <c r="N19">
        <v>121</v>
      </c>
    </row>
    <row r="20" spans="1:14" x14ac:dyDescent="0.3">
      <c r="M20" s="57">
        <v>18</v>
      </c>
      <c r="N20">
        <v>110</v>
      </c>
    </row>
    <row r="21" spans="1:14" x14ac:dyDescent="0.3">
      <c r="E21" s="74" t="s">
        <v>140</v>
      </c>
      <c r="F21" s="74"/>
      <c r="M21" s="57">
        <v>5</v>
      </c>
      <c r="N21">
        <v>104</v>
      </c>
    </row>
    <row r="22" spans="1:14" x14ac:dyDescent="0.3">
      <c r="E22" s="74"/>
      <c r="F22" s="74"/>
      <c r="M22" s="57">
        <v>26</v>
      </c>
      <c r="N22">
        <v>83</v>
      </c>
    </row>
    <row r="23" spans="1:14" x14ac:dyDescent="0.3">
      <c r="E23" s="56" t="s">
        <v>89</v>
      </c>
      <c r="F23" t="s">
        <v>105</v>
      </c>
      <c r="M23" s="57">
        <v>33</v>
      </c>
      <c r="N23">
        <v>73</v>
      </c>
    </row>
    <row r="24" spans="1:14" x14ac:dyDescent="0.3">
      <c r="E24" s="57" t="s">
        <v>109</v>
      </c>
      <c r="F24">
        <v>5.4206349206349209</v>
      </c>
      <c r="M24" s="57">
        <v>6</v>
      </c>
      <c r="N24">
        <v>72</v>
      </c>
    </row>
    <row r="25" spans="1:14" x14ac:dyDescent="0.3">
      <c r="E25" s="57" t="s">
        <v>110</v>
      </c>
      <c r="F25">
        <v>6.9949874686716793</v>
      </c>
      <c r="M25" s="57">
        <v>25</v>
      </c>
      <c r="N25">
        <v>42</v>
      </c>
    </row>
    <row r="26" spans="1:14" x14ac:dyDescent="0.3">
      <c r="E26" s="57" t="s">
        <v>111</v>
      </c>
      <c r="F26">
        <v>6.3557046979865772</v>
      </c>
      <c r="M26" s="57">
        <v>12</v>
      </c>
      <c r="N26">
        <v>34</v>
      </c>
    </row>
    <row r="27" spans="1:14" x14ac:dyDescent="0.3">
      <c r="E27" s="57" t="s">
        <v>112</v>
      </c>
      <c r="F27">
        <v>13.386363636363637</v>
      </c>
      <c r="M27" s="57">
        <v>23</v>
      </c>
      <c r="N27">
        <v>32</v>
      </c>
    </row>
    <row r="28" spans="1:14" x14ac:dyDescent="0.3">
      <c r="E28" s="57" t="s">
        <v>136</v>
      </c>
      <c r="F28">
        <v>6.9777158774373262</v>
      </c>
      <c r="M28" s="57">
        <v>30</v>
      </c>
      <c r="N28">
        <v>31</v>
      </c>
    </row>
    <row r="29" spans="1:14" x14ac:dyDescent="0.3">
      <c r="M29" s="57">
        <v>2</v>
      </c>
      <c r="N29">
        <v>25</v>
      </c>
    </row>
    <row r="30" spans="1:14" x14ac:dyDescent="0.3">
      <c r="M30" s="57">
        <v>29</v>
      </c>
      <c r="N30">
        <v>21</v>
      </c>
    </row>
    <row r="31" spans="1:14" x14ac:dyDescent="0.3">
      <c r="M31" s="57">
        <v>27</v>
      </c>
      <c r="N31">
        <v>19</v>
      </c>
    </row>
    <row r="32" spans="1:14" x14ac:dyDescent="0.3">
      <c r="M32" s="57">
        <v>16</v>
      </c>
      <c r="N32">
        <v>16</v>
      </c>
    </row>
    <row r="33" spans="13:14" x14ac:dyDescent="0.3">
      <c r="M33" s="57">
        <v>31</v>
      </c>
      <c r="N33">
        <v>16</v>
      </c>
    </row>
    <row r="34" spans="13:14" x14ac:dyDescent="0.3">
      <c r="M34" s="57">
        <v>21</v>
      </c>
      <c r="N34">
        <v>16</v>
      </c>
    </row>
    <row r="35" spans="13:14" x14ac:dyDescent="0.3">
      <c r="M35" s="57">
        <v>32</v>
      </c>
      <c r="N35">
        <v>16</v>
      </c>
    </row>
    <row r="36" spans="13:14" x14ac:dyDescent="0.3">
      <c r="M36" s="57">
        <v>19</v>
      </c>
      <c r="N36">
        <v>6</v>
      </c>
    </row>
    <row r="37" spans="13:14" x14ac:dyDescent="0.3">
      <c r="M37" s="57">
        <v>8</v>
      </c>
      <c r="N37">
        <v>0</v>
      </c>
    </row>
    <row r="38" spans="13:14" x14ac:dyDescent="0.3">
      <c r="M38" s="57">
        <v>4</v>
      </c>
      <c r="N38">
        <v>0</v>
      </c>
    </row>
    <row r="39" spans="13:14" x14ac:dyDescent="0.3">
      <c r="M39" s="57">
        <v>35</v>
      </c>
      <c r="N39">
        <v>0</v>
      </c>
    </row>
    <row r="40" spans="13:14" x14ac:dyDescent="0.3">
      <c r="M40" s="57" t="s">
        <v>136</v>
      </c>
      <c r="N40">
        <v>5010</v>
      </c>
    </row>
  </sheetData>
  <mergeCells count="6">
    <mergeCell ref="M1:N2"/>
    <mergeCell ref="A1:B2"/>
    <mergeCell ref="E1:F2"/>
    <mergeCell ref="E11:F12"/>
    <mergeCell ref="E21:F22"/>
    <mergeCell ref="I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57CB-D574-431D-8776-D78E26C3B830}">
  <dimension ref="A1:E7"/>
  <sheetViews>
    <sheetView workbookViewId="0">
      <selection activeCell="A5" sqref="A5"/>
    </sheetView>
  </sheetViews>
  <sheetFormatPr defaultRowHeight="21" x14ac:dyDescent="0.4"/>
  <cols>
    <col min="1" max="1" width="48.77734375" style="61" customWidth="1"/>
    <col min="2" max="2" width="14.21875" style="60" customWidth="1"/>
    <col min="5" max="5" width="11" customWidth="1"/>
  </cols>
  <sheetData>
    <row r="1" spans="1:5" ht="22.2" thickTop="1" thickBot="1" x14ac:dyDescent="0.35">
      <c r="A1" s="67" t="s">
        <v>106</v>
      </c>
      <c r="B1" s="65" t="s">
        <v>107</v>
      </c>
      <c r="E1" s="43" t="s">
        <v>135</v>
      </c>
    </row>
    <row r="2" spans="1:5" ht="21.6" thickTop="1" x14ac:dyDescent="0.4">
      <c r="A2" s="68" t="s">
        <v>143</v>
      </c>
      <c r="B2" s="64">
        <f>SUM(tbl_abs[Absenteeism time in hours])</f>
        <v>5010</v>
      </c>
      <c r="E2">
        <v>450</v>
      </c>
    </row>
    <row r="3" spans="1:5" x14ac:dyDescent="0.4">
      <c r="A3" s="69" t="s">
        <v>144</v>
      </c>
      <c r="B3" s="62">
        <f>ROWS(tbl_abs[Absenteeism time in hours])</f>
        <v>740</v>
      </c>
      <c r="E3">
        <v>448</v>
      </c>
    </row>
    <row r="4" spans="1:5" x14ac:dyDescent="0.4">
      <c r="A4" s="69" t="s">
        <v>145</v>
      </c>
      <c r="B4" s="62">
        <f>AVERAGE(tbl_abs[Absenteeism time in hours])</f>
        <v>6.9777158774373262</v>
      </c>
      <c r="E4">
        <v>356</v>
      </c>
    </row>
    <row r="5" spans="1:5" x14ac:dyDescent="0.4">
      <c r="A5" s="69" t="s">
        <v>146</v>
      </c>
      <c r="B5" s="62">
        <f>COUNT(tbl_ID[unique ID])</f>
        <v>36</v>
      </c>
      <c r="E5">
        <v>345</v>
      </c>
    </row>
    <row r="6" spans="1:5" x14ac:dyDescent="0.4">
      <c r="A6" s="69" t="s">
        <v>113</v>
      </c>
      <c r="B6" s="63">
        <f>SUM(E2:E6)/B2</f>
        <v>0.38722554890219563</v>
      </c>
      <c r="E6">
        <v>341</v>
      </c>
    </row>
    <row r="7" spans="1:5" s="43" customFormat="1" x14ac:dyDescent="0.4">
      <c r="A7" s="69" t="s">
        <v>114</v>
      </c>
      <c r="B7" s="66">
        <f>B3/B5</f>
        <v>20.555555555555557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59D5-6316-4BB9-A347-6CC6EDABD5C3}">
  <dimension ref="A1:L3"/>
  <sheetViews>
    <sheetView showGridLines="0" tabSelected="1" zoomScale="90" zoomScaleNormal="90" workbookViewId="0">
      <selection activeCell="U14" sqref="U14"/>
    </sheetView>
  </sheetViews>
  <sheetFormatPr defaultRowHeight="14.4" x14ac:dyDescent="0.3"/>
  <cols>
    <col min="1" max="12" width="10.77734375" customWidth="1"/>
  </cols>
  <sheetData>
    <row r="1" spans="1:12" s="61" customFormat="1" ht="18" x14ac:dyDescent="0.35">
      <c r="A1" s="75" t="s">
        <v>115</v>
      </c>
      <c r="B1" s="75"/>
      <c r="C1" s="75"/>
      <c r="D1" s="75" t="s">
        <v>116</v>
      </c>
      <c r="E1" s="75"/>
      <c r="F1" s="75"/>
      <c r="G1" s="75" t="s">
        <v>117</v>
      </c>
      <c r="H1" s="75"/>
      <c r="I1" s="75"/>
      <c r="J1" s="75" t="s">
        <v>118</v>
      </c>
      <c r="K1" s="75"/>
      <c r="L1" s="75"/>
    </row>
    <row r="2" spans="1:12" x14ac:dyDescent="0.3">
      <c r="A2" s="78">
        <f>KPI_Summary!B2</f>
        <v>5010</v>
      </c>
      <c r="B2" s="79"/>
      <c r="C2" s="80"/>
      <c r="D2" s="84">
        <f>KPI_Summary!B4</f>
        <v>6.9777158774373262</v>
      </c>
      <c r="E2" s="84"/>
      <c r="F2" s="84"/>
      <c r="G2" s="84">
        <f>KPI_Summary!B5</f>
        <v>36</v>
      </c>
      <c r="H2" s="84"/>
      <c r="I2" s="84"/>
      <c r="J2" s="76">
        <f>KPI_Summary!B6</f>
        <v>0.38722554890219563</v>
      </c>
      <c r="K2" s="76"/>
      <c r="L2" s="76"/>
    </row>
    <row r="3" spans="1:12" x14ac:dyDescent="0.3">
      <c r="A3" s="81"/>
      <c r="B3" s="82"/>
      <c r="C3" s="83"/>
      <c r="D3" s="85"/>
      <c r="E3" s="85"/>
      <c r="F3" s="85"/>
      <c r="G3" s="85"/>
      <c r="H3" s="85"/>
      <c r="I3" s="85"/>
      <c r="J3" s="77"/>
      <c r="K3" s="77"/>
      <c r="L3" s="77"/>
    </row>
  </sheetData>
  <mergeCells count="8">
    <mergeCell ref="J1:L1"/>
    <mergeCell ref="J2:L3"/>
    <mergeCell ref="A1:C1"/>
    <mergeCell ref="A2:C3"/>
    <mergeCell ref="D1:F1"/>
    <mergeCell ref="D2:F3"/>
    <mergeCell ref="G1:I1"/>
    <mergeCell ref="G2: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5153-A6C1-4FAF-9571-8D56338AFF2B}">
  <dimension ref="A1:A23"/>
  <sheetViews>
    <sheetView showGridLines="0" workbookViewId="0">
      <selection activeCell="A20" sqref="A20"/>
    </sheetView>
  </sheetViews>
  <sheetFormatPr defaultRowHeight="14.4" x14ac:dyDescent="0.3"/>
  <cols>
    <col min="1" max="1" width="120.77734375" customWidth="1"/>
  </cols>
  <sheetData>
    <row r="1" spans="1:1" ht="21" x14ac:dyDescent="0.4">
      <c r="A1" s="60" t="s">
        <v>120</v>
      </c>
    </row>
    <row r="3" spans="1:1" ht="18" x14ac:dyDescent="0.35">
      <c r="A3" s="59" t="s">
        <v>121</v>
      </c>
    </row>
    <row r="4" spans="1:1" ht="18" x14ac:dyDescent="0.35">
      <c r="A4" s="59"/>
    </row>
    <row r="5" spans="1:1" ht="28.8" x14ac:dyDescent="0.3">
      <c r="A5" s="45" t="s">
        <v>147</v>
      </c>
    </row>
    <row r="6" spans="1:1" ht="28.8" x14ac:dyDescent="0.3">
      <c r="A6" s="45" t="s">
        <v>148</v>
      </c>
    </row>
    <row r="7" spans="1:1" x14ac:dyDescent="0.3">
      <c r="A7" s="45" t="s">
        <v>149</v>
      </c>
    </row>
    <row r="8" spans="1:1" x14ac:dyDescent="0.3">
      <c r="A8" s="45" t="s">
        <v>150</v>
      </c>
    </row>
    <row r="9" spans="1:1" ht="28.8" x14ac:dyDescent="0.3">
      <c r="A9" s="45" t="s">
        <v>151</v>
      </c>
    </row>
    <row r="10" spans="1:1" x14ac:dyDescent="0.3">
      <c r="A10" s="3"/>
    </row>
    <row r="11" spans="1:1" x14ac:dyDescent="0.3">
      <c r="A11" s="3"/>
    </row>
    <row r="12" spans="1:1" ht="18" x14ac:dyDescent="0.35">
      <c r="A12" s="59" t="s">
        <v>122</v>
      </c>
    </row>
    <row r="13" spans="1:1" ht="9.6" customHeight="1" x14ac:dyDescent="0.35">
      <c r="A13" s="59"/>
    </row>
    <row r="14" spans="1:1" x14ac:dyDescent="0.3">
      <c r="A14" s="45" t="s">
        <v>152</v>
      </c>
    </row>
    <row r="15" spans="1:1" ht="28.8" x14ac:dyDescent="0.3">
      <c r="A15" s="45" t="s">
        <v>153</v>
      </c>
    </row>
    <row r="16" spans="1:1" ht="24" customHeight="1" x14ac:dyDescent="0.3">
      <c r="A16" s="45" t="s">
        <v>154</v>
      </c>
    </row>
    <row r="17" spans="1:1" ht="16.8" customHeight="1" x14ac:dyDescent="0.3">
      <c r="A17" s="45" t="s">
        <v>155</v>
      </c>
    </row>
    <row r="18" spans="1:1" ht="28.8" x14ac:dyDescent="0.3">
      <c r="A18" s="45" t="s">
        <v>156</v>
      </c>
    </row>
    <row r="20" spans="1:1" ht="10.8" customHeight="1" x14ac:dyDescent="0.3">
      <c r="A20" s="45" t="s">
        <v>119</v>
      </c>
    </row>
    <row r="23" spans="1:1" x14ac:dyDescent="0.3">
      <c r="A23" s="4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
  <sheetViews>
    <sheetView topLeftCell="D1" zoomScale="80" zoomScaleNormal="80" workbookViewId="0">
      <selection activeCell="J10" sqref="J10"/>
    </sheetView>
  </sheetViews>
  <sheetFormatPr defaultRowHeight="14.4" x14ac:dyDescent="0.3"/>
  <cols>
    <col min="1" max="1" width="23" customWidth="1"/>
    <col min="2" max="2" width="23.5546875" customWidth="1"/>
    <col min="3" max="3" width="142.88671875" style="29" bestFit="1" customWidth="1"/>
    <col min="4" max="4" width="19.88671875" style="37" customWidth="1"/>
  </cols>
  <sheetData>
    <row r="1" spans="1:4" ht="21.9" customHeight="1" thickBot="1" x14ac:dyDescent="0.35">
      <c r="A1" s="42" t="s">
        <v>21</v>
      </c>
      <c r="B1" s="42" t="s">
        <v>22</v>
      </c>
      <c r="C1" s="28" t="s">
        <v>23</v>
      </c>
      <c r="D1" s="30" t="s">
        <v>24</v>
      </c>
    </row>
    <row r="2" spans="1:4" ht="21.9" customHeight="1" x14ac:dyDescent="0.35">
      <c r="A2" s="15">
        <v>1</v>
      </c>
      <c r="B2" s="6"/>
      <c r="C2" s="24" t="s">
        <v>26</v>
      </c>
      <c r="D2" s="38" t="e">
        <f>COUNTIF(#REF!,23)</f>
        <v>#REF!</v>
      </c>
    </row>
    <row r="3" spans="1:4" ht="21.9" customHeight="1" x14ac:dyDescent="0.35">
      <c r="A3" s="16">
        <v>2</v>
      </c>
      <c r="B3" s="7"/>
      <c r="C3" s="27" t="s">
        <v>49</v>
      </c>
      <c r="D3" s="39" t="e">
        <f>COUNTIF(#REF!,1)</f>
        <v>#REF!</v>
      </c>
    </row>
    <row r="4" spans="1:4" ht="21.9" customHeight="1" x14ac:dyDescent="0.35">
      <c r="A4" s="16">
        <v>3</v>
      </c>
      <c r="B4" s="7"/>
      <c r="C4" s="27" t="s">
        <v>50</v>
      </c>
      <c r="D4" s="39" t="e">
        <f>COUNTIF(#REF!,"&gt;1")</f>
        <v>#REF!</v>
      </c>
    </row>
    <row r="5" spans="1:4" ht="21.9" customHeight="1" x14ac:dyDescent="0.35">
      <c r="A5" s="16"/>
      <c r="B5" s="7" t="s">
        <v>25</v>
      </c>
      <c r="C5" s="27"/>
      <c r="D5" s="39"/>
    </row>
    <row r="6" spans="1:4" ht="21.9" customHeight="1" x14ac:dyDescent="0.35">
      <c r="A6" s="16">
        <v>4</v>
      </c>
      <c r="B6" s="7"/>
      <c r="C6" s="27" t="s">
        <v>51</v>
      </c>
      <c r="D6" s="39" t="e">
        <f>COUNTIF(#REF!,"&lt;25")</f>
        <v>#REF!</v>
      </c>
    </row>
    <row r="7" spans="1:4" ht="21.9" customHeight="1" x14ac:dyDescent="0.35">
      <c r="A7" s="16">
        <v>5</v>
      </c>
      <c r="B7" s="7"/>
      <c r="C7" s="27" t="s">
        <v>79</v>
      </c>
      <c r="D7" s="39" t="e">
        <f>COUNTIF(#REF!,2)</f>
        <v>#REF!</v>
      </c>
    </row>
    <row r="8" spans="1:4" ht="21.9" customHeight="1" thickBot="1" x14ac:dyDescent="0.4">
      <c r="A8" s="17">
        <v>6</v>
      </c>
      <c r="B8" s="4"/>
      <c r="C8" s="25" t="s">
        <v>27</v>
      </c>
      <c r="D8" s="40" t="e">
        <f>COUNTIF(#REF!,1)</f>
        <v>#REF!</v>
      </c>
    </row>
    <row r="9" spans="1:4" ht="21.9" customHeight="1" x14ac:dyDescent="0.35">
      <c r="A9" s="18">
        <v>7</v>
      </c>
      <c r="B9" s="5"/>
      <c r="C9" s="22" t="s">
        <v>29</v>
      </c>
      <c r="D9" s="41" t="e">
        <f>COUNTIFS(#REF!,"&gt;40",#REF!,1)</f>
        <v>#REF!</v>
      </c>
    </row>
    <row r="10" spans="1:4" ht="21.9" customHeight="1" x14ac:dyDescent="0.35">
      <c r="A10" s="19">
        <v>8</v>
      </c>
      <c r="B10" s="9"/>
      <c r="C10" s="26" t="s">
        <v>52</v>
      </c>
      <c r="D10" s="41" t="e">
        <f>COUNTIFS(#REF!,"&gt;30",#REF!,23)</f>
        <v>#REF!</v>
      </c>
    </row>
    <row r="11" spans="1:4" ht="21.9" customHeight="1" x14ac:dyDescent="0.35">
      <c r="A11" s="19">
        <v>9</v>
      </c>
      <c r="B11" s="9"/>
      <c r="C11" s="26" t="s">
        <v>80</v>
      </c>
      <c r="D11" s="41" t="e">
        <f>COUNTIFS(#REF!,1,#REF!,2)</f>
        <v>#REF!</v>
      </c>
    </row>
    <row r="12" spans="1:4" ht="21.9" customHeight="1" x14ac:dyDescent="0.35">
      <c r="A12" s="19"/>
      <c r="B12" s="10" t="s">
        <v>28</v>
      </c>
      <c r="C12" s="26"/>
      <c r="D12" s="41"/>
    </row>
    <row r="13" spans="1:4" ht="21.9" customHeight="1" x14ac:dyDescent="0.35">
      <c r="A13" s="19">
        <v>10</v>
      </c>
      <c r="B13" s="9"/>
      <c r="C13" s="26" t="s">
        <v>53</v>
      </c>
      <c r="D13" s="41" t="e">
        <f>COUNTIFS(#REF!,"&gt;10",#REF!,"&gt;4")</f>
        <v>#REF!</v>
      </c>
    </row>
    <row r="14" spans="1:4" ht="21.9" customHeight="1" x14ac:dyDescent="0.35">
      <c r="A14" s="19">
        <v>11</v>
      </c>
      <c r="B14" s="9"/>
      <c r="C14" s="26" t="s">
        <v>54</v>
      </c>
      <c r="D14" s="41" t="e">
        <f>COUNTIFS(#REF!,1,#REF!,23,#REF!,"&gt;30")</f>
        <v>#REF!</v>
      </c>
    </row>
    <row r="15" spans="1:4" ht="21.9" customHeight="1" thickBot="1" x14ac:dyDescent="0.4">
      <c r="A15" s="19">
        <v>12</v>
      </c>
      <c r="B15" s="11"/>
      <c r="C15" s="23" t="s">
        <v>30</v>
      </c>
      <c r="D15" s="41" t="e">
        <f>COUNTIFS(#REF!,23,#REF!,"&gt;2")</f>
        <v>#REF!</v>
      </c>
    </row>
    <row r="16" spans="1:4" ht="21.9" customHeight="1" x14ac:dyDescent="0.35">
      <c r="A16" s="15">
        <v>13</v>
      </c>
      <c r="B16" s="6"/>
      <c r="C16" s="24" t="s">
        <v>32</v>
      </c>
      <c r="D16" s="38" t="e">
        <f>SUM(#REF!)</f>
        <v>#REF!</v>
      </c>
    </row>
    <row r="17" spans="1:4" ht="21.9" customHeight="1" x14ac:dyDescent="0.35">
      <c r="A17" s="16">
        <v>14</v>
      </c>
      <c r="B17" s="7"/>
      <c r="C17" s="27" t="s">
        <v>55</v>
      </c>
      <c r="D17" s="39" t="e">
        <f>SUM(#REF!)</f>
        <v>#REF!</v>
      </c>
    </row>
    <row r="18" spans="1:4" ht="21.9" customHeight="1" x14ac:dyDescent="0.35">
      <c r="A18" s="16">
        <v>15</v>
      </c>
      <c r="B18" s="7"/>
      <c r="C18" s="27" t="s">
        <v>56</v>
      </c>
      <c r="D18" s="39" t="e">
        <f>SUM(#REF!)</f>
        <v>#REF!</v>
      </c>
    </row>
    <row r="19" spans="1:4" ht="21.9" customHeight="1" x14ac:dyDescent="0.35">
      <c r="A19" s="16"/>
      <c r="B19" s="7" t="s">
        <v>31</v>
      </c>
      <c r="C19" s="27"/>
      <c r="D19" s="39"/>
    </row>
    <row r="20" spans="1:4" ht="21.9" customHeight="1" x14ac:dyDescent="0.35">
      <c r="A20" s="16">
        <v>16</v>
      </c>
      <c r="B20" s="7"/>
      <c r="C20" s="27" t="s">
        <v>57</v>
      </c>
      <c r="D20" s="39" t="e">
        <f>SUM(#REF!)</f>
        <v>#REF!</v>
      </c>
    </row>
    <row r="21" spans="1:4" ht="21.9" customHeight="1" x14ac:dyDescent="0.35">
      <c r="A21" s="16">
        <v>17</v>
      </c>
      <c r="B21" s="7"/>
      <c r="C21" s="27" t="s">
        <v>58</v>
      </c>
      <c r="D21" s="39" t="e">
        <f>SUM(#REF!)</f>
        <v>#REF!</v>
      </c>
    </row>
    <row r="22" spans="1:4" ht="21.9" customHeight="1" thickBot="1" x14ac:dyDescent="0.4">
      <c r="A22" s="17">
        <v>18</v>
      </c>
      <c r="B22" s="4"/>
      <c r="C22" s="25" t="s">
        <v>33</v>
      </c>
      <c r="D22" s="40" t="e">
        <f>SUM(#REF!)</f>
        <v>#REF!</v>
      </c>
    </row>
    <row r="23" spans="1:4" ht="21.9" customHeight="1" x14ac:dyDescent="0.35">
      <c r="A23" s="18">
        <v>19</v>
      </c>
      <c r="B23" s="5"/>
      <c r="C23" s="22" t="s">
        <v>35</v>
      </c>
      <c r="D23" s="41" t="e">
        <f>SUMIF(#REF!,"=30",#REF!)</f>
        <v>#REF!</v>
      </c>
    </row>
    <row r="24" spans="1:4" ht="21.9" customHeight="1" x14ac:dyDescent="0.35">
      <c r="A24" s="19">
        <v>20</v>
      </c>
      <c r="B24" s="9"/>
      <c r="C24" s="26" t="s">
        <v>59</v>
      </c>
      <c r="D24" s="41" t="e">
        <f>SUMIF(#REF!,1,#REF!)</f>
        <v>#REF!</v>
      </c>
    </row>
    <row r="25" spans="1:4" ht="21.9" customHeight="1" x14ac:dyDescent="0.35">
      <c r="A25" s="19">
        <v>21</v>
      </c>
      <c r="B25" s="9"/>
      <c r="C25" s="26" t="s">
        <v>60</v>
      </c>
      <c r="D25" s="41" t="e">
        <f>SUMIF(#REF!,"&gt;1",#REF!)</f>
        <v>#REF!</v>
      </c>
    </row>
    <row r="26" spans="1:4" ht="21.9" customHeight="1" x14ac:dyDescent="0.35">
      <c r="A26" s="19"/>
      <c r="B26" s="10" t="s">
        <v>34</v>
      </c>
      <c r="C26" s="26"/>
      <c r="D26" s="41"/>
    </row>
    <row r="27" spans="1:4" ht="21.9" customHeight="1" x14ac:dyDescent="0.35">
      <c r="A27" s="19">
        <v>22</v>
      </c>
      <c r="B27" s="9"/>
      <c r="C27" s="26" t="s">
        <v>61</v>
      </c>
      <c r="D27" s="41" t="e">
        <f>SUMIF(#REF!,"&gt;40",#REF!)</f>
        <v>#REF!</v>
      </c>
    </row>
    <row r="28" spans="1:4" ht="21.9" customHeight="1" x14ac:dyDescent="0.35">
      <c r="A28" s="19">
        <v>23</v>
      </c>
      <c r="B28" s="9"/>
      <c r="C28" s="26" t="s">
        <v>62</v>
      </c>
      <c r="D28" s="41" t="e">
        <f>SUMIF(#REF!,7,#REF!)</f>
        <v>#REF!</v>
      </c>
    </row>
    <row r="29" spans="1:4" ht="21.9" customHeight="1" thickBot="1" x14ac:dyDescent="0.4">
      <c r="A29" s="19">
        <v>24</v>
      </c>
      <c r="B29" s="11"/>
      <c r="C29" s="23" t="s">
        <v>36</v>
      </c>
      <c r="D29" s="41" t="e">
        <f>SUMIF(#REF!,11,#REF!)</f>
        <v>#REF!</v>
      </c>
    </row>
    <row r="30" spans="1:4" ht="21.9" customHeight="1" x14ac:dyDescent="0.35">
      <c r="A30" s="15">
        <v>25</v>
      </c>
      <c r="B30" s="6"/>
      <c r="C30" s="24" t="s">
        <v>38</v>
      </c>
      <c r="D30" s="38" t="e">
        <f>SUMIFS(#REF!,#REF!,"&gt;40",#REF!,1)</f>
        <v>#REF!</v>
      </c>
    </row>
    <row r="31" spans="1:4" ht="21.9" customHeight="1" x14ac:dyDescent="0.35">
      <c r="A31" s="16">
        <v>26</v>
      </c>
      <c r="B31" s="7"/>
      <c r="C31" s="27" t="s">
        <v>63</v>
      </c>
      <c r="D31" s="39" t="e">
        <f>SUMIFS(#REF!,#REF!,"&gt;30",#REF!,1)</f>
        <v>#REF!</v>
      </c>
    </row>
    <row r="32" spans="1:4" ht="21.9" customHeight="1" x14ac:dyDescent="0.35">
      <c r="A32" s="16">
        <v>27</v>
      </c>
      <c r="B32" s="7"/>
      <c r="C32" s="27" t="s">
        <v>64</v>
      </c>
      <c r="D32" s="39" t="e">
        <f>SUMIFS(#REF!,#REF!,"&gt;1",#REF!,1)</f>
        <v>#REF!</v>
      </c>
    </row>
    <row r="33" spans="1:4" ht="21.9" customHeight="1" x14ac:dyDescent="0.35">
      <c r="A33" s="16"/>
      <c r="B33" s="7" t="s">
        <v>37</v>
      </c>
      <c r="C33" s="27"/>
      <c r="D33" s="39"/>
    </row>
    <row r="34" spans="1:4" ht="21.9" customHeight="1" x14ac:dyDescent="0.35">
      <c r="A34" s="16">
        <v>28</v>
      </c>
      <c r="B34" s="7"/>
      <c r="C34" s="27" t="s">
        <v>65</v>
      </c>
      <c r="D34" s="39" t="e">
        <f>SUMIFS(#REF!,#REF!,"&gt;40",#REF!,23)</f>
        <v>#REF!</v>
      </c>
    </row>
    <row r="35" spans="1:4" ht="21.9" customHeight="1" x14ac:dyDescent="0.35">
      <c r="A35" s="16">
        <v>29</v>
      </c>
      <c r="B35" s="7"/>
      <c r="C35" s="27" t="s">
        <v>66</v>
      </c>
      <c r="D35" s="39" t="e">
        <f>SUMIFS(#REF!,#REF!,"&lt;25",#REF!,1)</f>
        <v>#REF!</v>
      </c>
    </row>
    <row r="36" spans="1:4" ht="21.9" customHeight="1" thickBot="1" x14ac:dyDescent="0.4">
      <c r="A36" s="17">
        <v>30</v>
      </c>
      <c r="B36" s="4"/>
      <c r="C36" s="25" t="s">
        <v>39</v>
      </c>
      <c r="D36" s="40" t="e">
        <f>SUMIFS(#REF!,#REF!,30,#REF!,4)</f>
        <v>#REF!</v>
      </c>
    </row>
    <row r="37" spans="1:4" ht="21.9" customHeight="1" x14ac:dyDescent="0.35">
      <c r="A37" s="18">
        <v>31</v>
      </c>
      <c r="B37" s="5"/>
      <c r="C37" s="22" t="s">
        <v>41</v>
      </c>
      <c r="D37" s="34" t="e">
        <f>AVERAGE(#REF!)</f>
        <v>#REF!</v>
      </c>
    </row>
    <row r="38" spans="1:4" ht="21.9" customHeight="1" x14ac:dyDescent="0.35">
      <c r="A38" s="19">
        <v>32</v>
      </c>
      <c r="B38" s="9"/>
      <c r="C38" s="26" t="s">
        <v>67</v>
      </c>
      <c r="D38" s="34" t="e">
        <f>AVERAGE(#REF!)</f>
        <v>#REF!</v>
      </c>
    </row>
    <row r="39" spans="1:4" ht="21.9" customHeight="1" x14ac:dyDescent="0.35">
      <c r="A39" s="19">
        <v>33</v>
      </c>
      <c r="B39" s="9"/>
      <c r="C39" s="26" t="s">
        <v>78</v>
      </c>
      <c r="D39" s="34" t="e">
        <f>AVERAGE(#REF!)</f>
        <v>#REF!</v>
      </c>
    </row>
    <row r="40" spans="1:4" ht="21.9" customHeight="1" x14ac:dyDescent="0.35">
      <c r="A40" s="19"/>
      <c r="B40" s="10" t="s">
        <v>40</v>
      </c>
      <c r="C40" s="26"/>
      <c r="D40" s="34"/>
    </row>
    <row r="41" spans="1:4" ht="21.9" customHeight="1" x14ac:dyDescent="0.35">
      <c r="A41" s="19">
        <v>34</v>
      </c>
      <c r="B41" s="9"/>
      <c r="C41" s="26" t="s">
        <v>68</v>
      </c>
      <c r="D41" s="34" t="e">
        <f>AVERAGE(#REF!)</f>
        <v>#REF!</v>
      </c>
    </row>
    <row r="42" spans="1:4" ht="21.9" customHeight="1" x14ac:dyDescent="0.35">
      <c r="A42" s="19">
        <v>35</v>
      </c>
      <c r="B42" s="9"/>
      <c r="C42" s="26" t="s">
        <v>69</v>
      </c>
      <c r="D42" s="34" t="e">
        <f>AVERAGE(#REF!)</f>
        <v>#REF!</v>
      </c>
    </row>
    <row r="43" spans="1:4" ht="21.9" customHeight="1" thickBot="1" x14ac:dyDescent="0.4">
      <c r="A43" s="19">
        <v>36</v>
      </c>
      <c r="B43" s="11"/>
      <c r="C43" s="23" t="s">
        <v>42</v>
      </c>
      <c r="D43" s="34" t="e">
        <f>AVERAGE(#REF!)</f>
        <v>#REF!</v>
      </c>
    </row>
    <row r="44" spans="1:4" ht="21.9" customHeight="1" x14ac:dyDescent="0.35">
      <c r="A44" s="15">
        <v>37</v>
      </c>
      <c r="B44" s="6"/>
      <c r="C44" s="24" t="s">
        <v>44</v>
      </c>
      <c r="D44" s="31" t="e">
        <f>AVERAGEIF(#REF!,1,#REF!)</f>
        <v>#REF!</v>
      </c>
    </row>
    <row r="45" spans="1:4" ht="21.9" customHeight="1" x14ac:dyDescent="0.35">
      <c r="A45" s="16">
        <v>38</v>
      </c>
      <c r="B45" s="7"/>
      <c r="C45" s="27" t="s">
        <v>70</v>
      </c>
      <c r="D45" s="32" t="e">
        <f>AVERAGEIF(#REF!,1,#REF!)</f>
        <v>#REF!</v>
      </c>
    </row>
    <row r="46" spans="1:4" ht="21.9" customHeight="1" x14ac:dyDescent="0.35">
      <c r="A46" s="16">
        <v>39</v>
      </c>
      <c r="B46" s="7"/>
      <c r="C46" s="27" t="s">
        <v>71</v>
      </c>
      <c r="D46" s="32" t="e">
        <f>AVERAGEIF(#REF!,"&gt;1",#REF!)</f>
        <v>#REF!</v>
      </c>
    </row>
    <row r="47" spans="1:4" ht="21.9" customHeight="1" x14ac:dyDescent="0.35">
      <c r="A47" s="16"/>
      <c r="B47" s="7" t="s">
        <v>43</v>
      </c>
      <c r="C47" s="27"/>
      <c r="D47" s="32"/>
    </row>
    <row r="48" spans="1:4" ht="21.9" customHeight="1" x14ac:dyDescent="0.35">
      <c r="A48" s="16">
        <v>40</v>
      </c>
      <c r="B48" s="7"/>
      <c r="C48" s="27" t="s">
        <v>72</v>
      </c>
      <c r="D48" s="32" t="e">
        <f>AVERAGEIF(#REF!,7,#REF!)</f>
        <v>#REF!</v>
      </c>
    </row>
    <row r="49" spans="1:4" ht="21.9" customHeight="1" x14ac:dyDescent="0.35">
      <c r="A49" s="16">
        <v>41</v>
      </c>
      <c r="B49" s="7"/>
      <c r="C49" s="27" t="s">
        <v>73</v>
      </c>
      <c r="D49" s="32" t="e">
        <f>AVERAGEIF(#REF!,1,#REF!)</f>
        <v>#REF!</v>
      </c>
    </row>
    <row r="50" spans="1:4" ht="21.9" customHeight="1" thickBot="1" x14ac:dyDescent="0.4">
      <c r="A50" s="17">
        <v>42</v>
      </c>
      <c r="B50" s="4"/>
      <c r="C50" s="25" t="s">
        <v>45</v>
      </c>
      <c r="D50" s="33" t="e">
        <f>AVERAGEIF(#REF!,23,#REF!)</f>
        <v>#REF!</v>
      </c>
    </row>
    <row r="51" spans="1:4" ht="21.9" customHeight="1" x14ac:dyDescent="0.35">
      <c r="A51" s="18">
        <v>43</v>
      </c>
      <c r="B51" s="12"/>
      <c r="C51" s="22" t="s">
        <v>47</v>
      </c>
      <c r="D51" s="35" t="e">
        <f>AVERAGEIFS(#REF!,#REF!,"&gt;40",#REF!,1)</f>
        <v>#REF!</v>
      </c>
    </row>
    <row r="52" spans="1:4" ht="21.9" customHeight="1" x14ac:dyDescent="0.35">
      <c r="A52" s="20">
        <v>44</v>
      </c>
      <c r="B52" s="13"/>
      <c r="C52" s="26" t="s">
        <v>74</v>
      </c>
      <c r="D52" s="34" t="e">
        <f>AVERAGEIFS(#REF!,#REF!,1,#REF!,"&gt;30")</f>
        <v>#REF!</v>
      </c>
    </row>
    <row r="53" spans="1:4" ht="21.9" customHeight="1" x14ac:dyDescent="0.35">
      <c r="A53" s="20">
        <v>45</v>
      </c>
      <c r="B53" s="13"/>
      <c r="C53" s="26" t="s">
        <v>75</v>
      </c>
      <c r="D53" s="34" t="e">
        <f>AVERAGEIFS(#REF!,#REF!,"&gt;1",#REF!,1)</f>
        <v>#REF!</v>
      </c>
    </row>
    <row r="54" spans="1:4" ht="21.9" customHeight="1" x14ac:dyDescent="0.35">
      <c r="A54" s="20"/>
      <c r="B54" s="8" t="s">
        <v>46</v>
      </c>
      <c r="C54" s="26"/>
      <c r="D54" s="34"/>
    </row>
    <row r="55" spans="1:4" ht="21.9" customHeight="1" x14ac:dyDescent="0.35">
      <c r="A55" s="20">
        <v>46</v>
      </c>
      <c r="B55" s="13"/>
      <c r="C55" s="26" t="s">
        <v>76</v>
      </c>
      <c r="D55" s="34" t="e">
        <f>AVERAGEIFS(#REF!,#REF!,"&gt;40",#REF!,23)</f>
        <v>#REF!</v>
      </c>
    </row>
    <row r="56" spans="1:4" ht="21.9" customHeight="1" x14ac:dyDescent="0.35">
      <c r="A56" s="20">
        <v>47</v>
      </c>
      <c r="B56" s="13"/>
      <c r="C56" s="26" t="s">
        <v>77</v>
      </c>
      <c r="D56" s="34" t="e">
        <f>AVERAGEIFS(#REF!,#REF!,"&lt;25",#REF!,1)</f>
        <v>#REF!</v>
      </c>
    </row>
    <row r="57" spans="1:4" ht="21.9" customHeight="1" thickBot="1" x14ac:dyDescent="0.4">
      <c r="A57" s="21">
        <v>48</v>
      </c>
      <c r="B57" s="14"/>
      <c r="C57" s="23" t="s">
        <v>48</v>
      </c>
      <c r="D57" s="36" t="e">
        <f>AVERAGEIFS(#REF!,#REF!,30,#REF!,4)</f>
        <v>#REF!</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Raw_Data</vt:lpstr>
      <vt:lpstr>Data_Preparation</vt:lpstr>
      <vt:lpstr>Pivot_Analysis</vt:lpstr>
      <vt:lpstr>KPI_Summary</vt:lpstr>
      <vt:lpstr>Dashboard</vt:lpstr>
      <vt:lpstr>Insights_Recommendations</vt:lpstr>
      <vt:lpstr>Exercises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openpyxl</dc:creator>
  <cp:lastModifiedBy>Fwteini Nikolaidou</cp:lastModifiedBy>
  <dcterms:created xsi:type="dcterms:W3CDTF">2006-09-16T03:00:00Z</dcterms:created>
  <dcterms:modified xsi:type="dcterms:W3CDTF">2026-01-10T15:31:41Z</dcterms:modified>
</cp:coreProperties>
</file>